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虚拟商品-2026年"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3">
    <font>
      <sz val="11"/>
      <color theme="1"/>
      <name val="DengXian"/>
      <family val="2"/>
    </font>
    <font>
      <sz val="10"/>
      <color/>
      <name val="Calibri"/>
      <family val="2"/>
    </font>
    <font>
      <u val="single"/>
      <sz val="11"/>
      <color rgb="FF0000FF"/>
      <name val="DengXian"/>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true">
      <alignment vertical="center"/>
    </xf>
    <xf numFmtId="0" fontId="2" fillId="0" borderId="0" xfId="0" applyFont="true" applyAlignment="false">
      <alignment/>
    </xf>
    <xf numFmtId="164" fontId="0" fillId="0" borderId="0" xfId="0" applyNumberFormat="true" applyAlignment="false">
      <alignment/>
    </xf>
  </cellXfs>
  <cellStyles count="1">
    <cellStyle name="Normal" xfId="0" builtinId="0" customBuiltin="true"/>
  </cellStyles>
  <dxfs count="1">
    <dxf>
      <fill>
        <patternFill patternType="solid">
          <bgColor rgb="FFFEF0F0"/>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0"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19" customWidth="1"/>
    <col min="14" max="14" width="19" customWidth="1"/>
    <col min="15" max="15" width="19" customWidth="1"/>
    <col min="16" max="16" width="19" customWidth="1"/>
    <col min="17" max="17" width="19" customWidth="1"/>
    <col min="18" max="18" width="0" customWidth="1"/>
    <col min="19" max="19" width="19" customWidth="1"/>
    <col min="20" max="20" width="0" customWidth="1"/>
    <col min="21" max="21" width="19" customWidth="1"/>
    <col min="22" max="22" width="0" customWidth="1"/>
    <col min="23" max="23" width="19" customWidth="1"/>
    <col min="24" max="24" width="0" customWidth="1"/>
    <col min="25" max="25" width="19" customWidth="1"/>
  </cols>
  <sheetData>
    <row r="1" ht="13" customHeight="1">
      <c r="A1" s="1" t="inlineStr">
        <is>
          <t>商品标题</t>
        </is>
      </c>
      <c r="B1" s="1" t="inlineStr">
        <is>
          <t>商品主图</t>
        </is>
      </c>
      <c r="C1" s="1" t="inlineStr">
        <is>
          <t>商品链接</t>
        </is>
      </c>
      <c r="D1" s="1" t="inlineStr">
        <is>
          <t>是否异常</t>
        </is>
      </c>
      <c r="E1" s="1" t="inlineStr">
        <is>
          <t>商品销量</t>
        </is>
      </c>
      <c r="F1" s="1" t="inlineStr">
        <is>
          <t>商品原价</t>
        </is>
      </c>
      <c r="G1" s="1" t="inlineStr">
        <is>
          <t>到手价</t>
        </is>
      </c>
      <c r="H1" s="1" t="inlineStr">
        <is>
          <t>近30天新增好评数</t>
        </is>
      </c>
      <c r="I1" s="1" t="inlineStr">
        <is>
          <t>3个月内购买人数</t>
        </is>
      </c>
      <c r="J1" s="1" t="inlineStr">
        <is>
          <t>24小时内加购</t>
        </is>
      </c>
      <c r="K1" s="1" t="inlineStr">
        <is>
          <t>搜索关键词</t>
        </is>
      </c>
      <c r="L1" s="1" t="inlineStr">
        <is>
          <t>🔺销量粉丝比-分类</t>
        </is>
      </c>
      <c r="M1" s="1" t="inlineStr">
        <is>
          <t>店铺名称</t>
        </is>
      </c>
      <c r="N1" s="1" t="inlineStr">
        <is>
          <t>粉丝数</t>
        </is>
      </c>
      <c r="O1" s="1" t="inlineStr">
        <is>
          <t>店铺评分</t>
        </is>
      </c>
      <c r="P1" s="1" t="inlineStr">
        <is>
          <t>店铺已售</t>
        </is>
      </c>
      <c r="Q1" s="1" t="inlineStr">
        <is>
          <t>商品id</t>
        </is>
      </c>
      <c r="R1" s="1" t="inlineStr">
        <is>
          <t>店铺是否重复</t>
        </is>
      </c>
      <c r="S1" s="1" t="inlineStr">
        <is>
          <t>商品分类</t>
        </is>
      </c>
      <c r="T1" s="1" t="inlineStr">
        <is>
          <t>销量粉丝比</t>
        </is>
      </c>
      <c r="U1" s="1" t="inlineStr">
        <is>
          <t>创建时间</t>
        </is>
      </c>
      <c r="V1" s="1" t="inlineStr">
        <is>
          <t>产品分类</t>
        </is>
      </c>
      <c r="W1" s="1" t="inlineStr">
        <is>
          <t>收录时间</t>
        </is>
      </c>
      <c r="X1" s="1" t="inlineStr">
        <is>
          <t>月份</t>
        </is>
      </c>
      <c r="Y1" s="1" t="inlineStr">
        <is>
          <t>季度</t>
        </is>
      </c>
    </row>
    <row r="2" ht="38.25" customHeight="1">
      <c r="A2" t="inlineStr">
        <is>
          <t>25/26国考省考事业编公务员考公行测瞪哥168绝技训练营下单发短信</t>
        </is>
      </c>
      <c r="B2" t="inlineStr">
        <is>
          <t>__upload_recv6abanzzW0X.jpg</t>
        </is>
      </c>
      <c r="C2" s="2" t="str">
        <f>=HYPERLINK("https://www.xiaohongshu.com/goods-detail/6773547bf8c1a800013671fd?xsec_token=XB1_BTSCED8X7XhpwJLlzQgk9345ChYTvt3dI1Mmo8yes%3D&amp;xsec_source=app_share&amp;instation_link=xhsdiscover%3A%2F%2Fgoods_detail%2F6773547bf8c1a800013671fd%3Ftrade_ext%3DeyJjaGFubmVsSW5mbyI6bnVsbCwiZHNUb2tlbkluZm8iOm51bGwsInNoYXJlTGluayI6Imh0dHBzOi8vd3d3LnhpYW9ob25nc2h1LmNvbS9nb29kcy1kZXRhaWwvNjc3MzU0N2JmOGMxYTgwMDAxMzY3MWZkP2FwcHVpZD02ODAxYmYwZjAwMDAwMDAwMGQwMDhjNjEiLCJsaXZlSW5mbyI6bnVsbCwic2hvcEluZm8iOm51bGwsImdvb2RzTm90ZUluZm8iOm51bGwsImNoYXRJbmZvIjpudWxsLCJzZWFyY2hJbmZvIjpudWxsLCJwcmVmZXIiOm51bGx9%26rate_limit_meta%3DitemId%253D6773547bf8c1a800013671fc%26source%3D%26rn%3Dtrue&amp;xhsshare=&amp;appuid=6801bf0f000000000d008c61&amp;apptime=1766419680&amp;share_id=4fcea808d15c45b1a96fb6ca27b052b0&amp;share_channel=copy_link", "https://www.xiaohongshu.com/goods-detail/6773547bf8c1a800013671fd?xsec_token=XB1_BTSCED8X7XhpwJLlzQgk9345ChYTvt3dI1Mmo8yes%3D&amp;xsec_source=app_share&amp;instation_link=xhsdiscover%3A%2F%2Fgoods_detail%2F6773547bf8c1a800013671fd%3Ftrade_ext%3DeyJjaGFubmVsSW5mbyI6bnVsbCwiZHNUb2tlbkluZm8iOm51bGwsInNoYXJlTGluayI6Imh0dHBzOi8vd3d3LnhpYW9ob25nc2h1LmNvbS9nb29kcy1kZXRhaWwvNjc3MzU0N2JmOGMxYTgwMDAxMzY3MWZkP2FwcHVpZD02ODAxYmYwZjAwMDAwMDAwMGQwMDhjNjEiLCJsaXZlSW5mbyI6bnVsbCwic2hvcEluZm8iOm51bGwsImdvb2RzTm90ZUluZm8iOm51bGwsImNoYXRJbmZvIjpudWxsLCJzZWFyY2hJbmZvIjpudWxsLCJwcmVmZXIiOm51bGx9%26rate_limit_meta%3DitemId%253D6773547bf8c1a800013671fc%26source%3D%26rn%3Dtrue&amp;xhsshare=&amp;appuid=6801bf0f000000000d008c61&amp;apptime=1766419680&amp;share_id=4fcea808d15c45b1a96fb6ca27b052b0&amp;share_channel=copy_link")</f>
        <v>https://www.xiaohongshu.com/goods-detail/6773547bf8c1a800013671fd?xsec_token=XB1_BTSCED8X7XhpwJLlzQgk9345ChYTvt3dI1Mmo8yes%3D&amp;xsec_source=app_share&amp;instation_link=xhsdiscover%3A%2F%2Fgoods_detail%2F6773547bf8c1a800013671fd%3Ftrade_ext%3DeyJjaGFubmVsSW5mbyI6bnVsbCwiZHNUb2tlbkluZm8iOm51bGwsInNoYXJlTGluayI6Imh0dHBzOi8vd3d3LnhpYW9ob25nc2h1LmNvbS9nb29kcy1kZXRhaWwvNjc3MzU0N2JmOGMxYTgwMDAxMzY3MWZkP2FwcHVpZD02ODAxYmYwZjAwMDAwMDAwMGQwMDhjNjEiLCJsaXZlSW5mbyI6bnVsbCwic2hvcEluZm8iOm51bGwsImdvb2RzTm90ZUluZm8iOm51bGwsImNoYXRJbmZvIjpudWxsLCJzZWFyY2hJbmZvIjpudWxsLCJwcmVmZXIiOm51bGx9%26rate_limit_meta%3DitemId%253D6773547bf8c1a800013671fc%26source%3D%26rn%3Dtrue&amp;xhsshare=&amp;appuid=6801bf0f000000000d008c61&amp;apptime=1766419680&amp;share_id=4fcea808d15c45b1a96fb6ca27b052b0&amp;share_channel=copy_link</v>
      </c>
      <c r="D2"/>
      <c r="E2">
        <v>5734</v>
      </c>
      <c r="F2">
        <v>99</v>
      </c>
      <c r="G2"/>
      <c r="H2"/>
      <c r="I2">
        <v>3000</v>
      </c>
      <c r="J2">
        <v>100</v>
      </c>
      <c r="K2" t="inlineStr">
        <is>
          <t>考公</t>
        </is>
      </c>
      <c r="L2"/>
      <c r="M2" t="inlineStr">
        <is>
          <t>瞪哥公考的店</t>
        </is>
      </c>
      <c r="N2">
        <v>17000</v>
      </c>
      <c r="O2">
        <v>4.47</v>
      </c>
      <c r="P2">
        <v>15000</v>
      </c>
      <c r="Q2" t="inlineStr">
        <is>
          <t>6773547bf8c1a800013671fd</t>
        </is>
      </c>
      <c r="R2"/>
      <c r="S2" t="inlineStr">
        <is>
          <t>考公资料</t>
        </is>
      </c>
      <c r="T2" t="inlineStr">
        <is>
          <t>0.34</t>
        </is>
      </c>
      <c r="U2" s="3">
        <v>46112.78107638889</v>
      </c>
      <c r="V2"/>
      <c r="W2" s="3">
        <v>46023</v>
      </c>
      <c r="X2" t="inlineStr">
        <is>
          <t>01</t>
        </is>
      </c>
      <c r="Y2" t="inlineStr">
        <is>
          <t>2026-Q1</t>
        </is>
      </c>
    </row>
    <row r="3" ht="38.25" customHeight="1">
      <c r="A3" t="inlineStr">
        <is>
          <t>初中各学科七八九年级上下册语数英政史地物化生知识点总结电子版</t>
        </is>
      </c>
      <c r="B3" t="inlineStr">
        <is>
          <t>__upload_recv79SbVThuxQ.jpg</t>
        </is>
      </c>
      <c r="C3" s="2" t="str">
        <f>=HYPERLINK("https://xhslink.com/m/A499o5UPazX", "https://xhslink.com/m/A499o5UPazX")</f>
        <v>https://xhslink.com/m/A499o5UPazX</v>
      </c>
      <c r="D3"/>
      <c r="E3">
        <v>4247</v>
      </c>
      <c r="F3">
        <v>4.9</v>
      </c>
      <c r="G3"/>
      <c r="H3">
        <v>300</v>
      </c>
      <c r="I3">
        <v>1000</v>
      </c>
      <c r="J3"/>
      <c r="K3" t="inlineStr">
        <is>
          <t>初中数学资料</t>
        </is>
      </c>
      <c r="L3"/>
      <c r="M3" t="inlineStr">
        <is>
          <t>田欣老师的店</t>
        </is>
      </c>
      <c r="N3">
        <v>3075</v>
      </c>
      <c r="O3">
        <v>4.47</v>
      </c>
      <c r="P3">
        <v>6668</v>
      </c>
      <c r="Q3" t="inlineStr">
        <is>
          <t>6914988ab51a380001e42c25</t>
        </is>
      </c>
      <c r="R3" t="inlineStr">
        <is>
          <t>🚫重复</t>
        </is>
      </c>
      <c r="S3" t="inlineStr">
        <is>
          <t>中小学教辅/教材</t>
        </is>
      </c>
      <c r="T3" t="inlineStr">
        <is>
          <t>1.38</t>
        </is>
      </c>
      <c r="U3" s="3">
        <v>46112.78107638889</v>
      </c>
      <c r="V3"/>
      <c r="W3" s="3">
        <v>46023</v>
      </c>
      <c r="X3" t="inlineStr">
        <is>
          <t>01</t>
        </is>
      </c>
      <c r="Y3" t="inlineStr">
        <is>
          <t>2026-Q1</t>
        </is>
      </c>
    </row>
    <row r="4" ht="38.25" customHeight="1">
      <c r="A4" t="inlineStr">
        <is>
          <t>初一初二期中期末考试多套模拟试卷+专项训练人教版【电子版】</t>
        </is>
      </c>
      <c r="B4" t="inlineStr">
        <is>
          <t>__upload_recv79SbVTdfsH.jpg</t>
        </is>
      </c>
      <c r="C4" s="2" t="str">
        <f>=HYPERLINK("https://xhslink.com/m/2TtXWt1lMce", "https://xhslink.com/m/2TtXWt1lMce")</f>
        <v>https://xhslink.com/m/2TtXWt1lMce</v>
      </c>
      <c r="D4"/>
      <c r="E4">
        <v>2614</v>
      </c>
      <c r="F4">
        <v>7.8</v>
      </c>
      <c r="G4"/>
      <c r="H4">
        <v>1000</v>
      </c>
      <c r="I4">
        <v>2000</v>
      </c>
      <c r="J4"/>
      <c r="K4" t="inlineStr">
        <is>
          <t>初中数学资料</t>
        </is>
      </c>
      <c r="L4"/>
      <c r="M4" t="inlineStr">
        <is>
          <t>备考高分资料的店</t>
        </is>
      </c>
      <c r="N4">
        <v>3684</v>
      </c>
      <c r="O4">
        <v>4.45</v>
      </c>
      <c r="P4">
        <v>4200</v>
      </c>
      <c r="Q4" t="inlineStr">
        <is>
          <t>692a3e8818096d0001dd18f3</t>
        </is>
      </c>
      <c r="R4" t="inlineStr">
        <is>
          <t>🚫重复</t>
        </is>
      </c>
      <c r="S4" t="inlineStr">
        <is>
          <t>中小学教辅/教材</t>
        </is>
      </c>
      <c r="T4" t="inlineStr">
        <is>
          <t>0.71</t>
        </is>
      </c>
      <c r="U4" s="3">
        <v>46112.78107638889</v>
      </c>
      <c r="V4"/>
      <c r="W4" s="3">
        <v>46023</v>
      </c>
      <c r="X4" t="inlineStr">
        <is>
          <t>01</t>
        </is>
      </c>
      <c r="Y4" t="inlineStr">
        <is>
          <t>2026-Q1</t>
        </is>
      </c>
    </row>
    <row r="5" ht="38.25" customHeight="1">
      <c r="A5" t="inlineStr">
        <is>
          <t>1-6年级数学必考思维训练题合集 PDF电子版，非实物</t>
        </is>
      </c>
      <c r="B5" t="inlineStr">
        <is>
          <t>__upload_recv79SbVTeKjg.jpg</t>
        </is>
      </c>
      <c r="C5" s="2" t="str">
        <f>=HYPERLINK("https://xhslink.com/m/6hYaIdsZUY0", "https://xhslink.com/m/6hYaIdsZUY0")</f>
        <v>https://xhslink.com/m/6hYaIdsZUY0</v>
      </c>
      <c r="D5"/>
      <c r="E5">
        <v>2556</v>
      </c>
      <c r="F5">
        <v>4.9</v>
      </c>
      <c r="G5"/>
      <c r="H5">
        <v>650</v>
      </c>
      <c r="I5">
        <v>1000</v>
      </c>
      <c r="J5"/>
      <c r="K5" t="inlineStr">
        <is>
          <t>初中数学资料</t>
        </is>
      </c>
      <c r="L5"/>
      <c r="M5" t="inlineStr">
        <is>
          <t>余老师爱分享的店</t>
        </is>
      </c>
      <c r="N5">
        <v>5292</v>
      </c>
      <c r="O5">
        <v>4.52</v>
      </c>
      <c r="P5">
        <v>20000</v>
      </c>
      <c r="Q5" t="inlineStr">
        <is>
          <t>68ac2b76ec7fed0001e44542</t>
        </is>
      </c>
      <c r="R5" t="inlineStr">
        <is>
          <t>🚫重复</t>
        </is>
      </c>
      <c r="S5" t="inlineStr">
        <is>
          <t>中小学教辅/教材</t>
        </is>
      </c>
      <c r="T5" t="inlineStr">
        <is>
          <t>0.48</t>
        </is>
      </c>
      <c r="U5" s="3">
        <v>46112.78107638889</v>
      </c>
      <c r="V5"/>
      <c r="W5" s="3">
        <v>46023</v>
      </c>
      <c r="X5" t="inlineStr">
        <is>
          <t>01</t>
        </is>
      </c>
      <c r="Y5" t="inlineStr">
        <is>
          <t>2026-Q1</t>
        </is>
      </c>
    </row>
    <row r="6" ht="38.25" customHeight="1">
      <c r="A6" t="inlineStr">
        <is>
          <t>2025版 ‖ 期中考试真题专项练习（考试真题）【电子版】</t>
        </is>
      </c>
      <c r="B6" t="inlineStr">
        <is>
          <t>__upload_recv79SbVTX2NV.jpg</t>
        </is>
      </c>
      <c r="C6" s="2" t="str">
        <f>=HYPERLINK("https://xhslink.com/m/9b95g2wpWoC", "https://xhslink.com/m/9b95g2wpWoC")</f>
        <v>https://xhslink.com/m/9b95g2wpWoC</v>
      </c>
      <c r="D6"/>
      <c r="E6">
        <v>6171</v>
      </c>
      <c r="F6">
        <v>4</v>
      </c>
      <c r="G6"/>
      <c r="H6">
        <v>800</v>
      </c>
      <c r="I6">
        <v>2000</v>
      </c>
      <c r="J6"/>
      <c r="K6" t="inlineStr">
        <is>
          <t>初中数学资料</t>
        </is>
      </c>
      <c r="L6"/>
      <c r="M6" t="inlineStr">
        <is>
          <t>小羊同学！的店</t>
        </is>
      </c>
      <c r="N6">
        <v>277000</v>
      </c>
      <c r="O6">
        <v>4.5</v>
      </c>
      <c r="P6">
        <v>203000</v>
      </c>
      <c r="Q6" t="inlineStr">
        <is>
          <t>67c5313bcb5e42000176d741</t>
        </is>
      </c>
      <c r="R6" t="inlineStr">
        <is>
          <t>🚫重复</t>
        </is>
      </c>
      <c r="S6" t="inlineStr">
        <is>
          <t>中小学教辅/教材</t>
        </is>
      </c>
      <c r="T6" t="inlineStr">
        <is>
          <t>0.02</t>
        </is>
      </c>
      <c r="U6" s="3">
        <v>46112.78107638889</v>
      </c>
      <c r="V6"/>
      <c r="W6" s="3">
        <v>46023</v>
      </c>
      <c r="X6" t="inlineStr">
        <is>
          <t>01</t>
        </is>
      </c>
      <c r="Y6" t="inlineStr">
        <is>
          <t>2026-Q1</t>
        </is>
      </c>
    </row>
    <row r="7" ht="38.25" customHeight="1">
      <c r="A7" t="inlineStr">
        <is>
          <t>2025春新人教版初一七年级各科早背晚默小纸条电子版资料</t>
        </is>
      </c>
      <c r="B7" t="inlineStr">
        <is>
          <t>__upload_recv79SbVTGe0n.jpg</t>
        </is>
      </c>
      <c r="C7" s="2" t="str">
        <f>=HYPERLINK("https://xhslink.com/m/1OQY1waJtOz", "https://xhslink.com/m/1OQY1waJtOz")</f>
        <v>https://xhslink.com/m/1OQY1waJtOz</v>
      </c>
      <c r="D7"/>
      <c r="E7">
        <v>5644</v>
      </c>
      <c r="F7">
        <v>9.9</v>
      </c>
      <c r="G7"/>
      <c r="H7">
        <v>900</v>
      </c>
      <c r="I7">
        <v>2000</v>
      </c>
      <c r="J7"/>
      <c r="K7" t="inlineStr">
        <is>
          <t>初中数学资料</t>
        </is>
      </c>
      <c r="L7"/>
      <c r="M7" t="inlineStr">
        <is>
          <t>崔老师的资料库的店</t>
        </is>
      </c>
      <c r="N7">
        <v>2509</v>
      </c>
      <c r="O7">
        <v>4.52</v>
      </c>
      <c r="P7">
        <v>6561</v>
      </c>
      <c r="Q7" t="inlineStr">
        <is>
          <t>683e01be317c900001b5b775</t>
        </is>
      </c>
      <c r="R7" t="inlineStr">
        <is>
          <t>🚫重复</t>
        </is>
      </c>
      <c r="S7" t="inlineStr">
        <is>
          <t>中小学教辅/教材</t>
        </is>
      </c>
      <c r="T7" t="inlineStr">
        <is>
          <t>2.25</t>
        </is>
      </c>
      <c r="U7" s="3">
        <v>46112.78107638889</v>
      </c>
      <c r="V7"/>
      <c r="W7" s="3">
        <v>46023</v>
      </c>
      <c r="X7" t="inlineStr">
        <is>
          <t>01</t>
        </is>
      </c>
      <c r="Y7" t="inlineStr">
        <is>
          <t>2026-Q1</t>
        </is>
      </c>
    </row>
    <row r="8" ht="38.25" customHeight="1">
      <c r="A8" t="inlineStr">
        <is>
          <t>考研数学公式默写 数一数二数三 线代 概率（默写+完整版）电子版</t>
        </is>
      </c>
      <c r="B8" t="inlineStr">
        <is>
          <t>__upload_recv79SbVT68MO.jpg</t>
        </is>
      </c>
      <c r="C8" s="2" t="str">
        <f>=HYPERLINK("https://xhslink.com/m/55ycnQf6szh", "https://xhslink.com/m/55ycnQf6szh")</f>
        <v>https://xhslink.com/m/55ycnQf6szh</v>
      </c>
      <c r="D8"/>
      <c r="E8">
        <v>4762</v>
      </c>
      <c r="F8">
        <v>1.98</v>
      </c>
      <c r="G8"/>
      <c r="H8">
        <v>1000</v>
      </c>
      <c r="I8">
        <v>4000</v>
      </c>
      <c r="J8"/>
      <c r="K8" t="inlineStr">
        <is>
          <t>初中数学资料</t>
        </is>
      </c>
      <c r="L8" t="inlineStr">
        <is>
          <t>🔥低粉爆款</t>
        </is>
      </c>
      <c r="M8" t="inlineStr">
        <is>
          <t>小瑾资料的店</t>
        </is>
      </c>
      <c r="N8">
        <v>126</v>
      </c>
      <c r="O8">
        <v>4.45</v>
      </c>
      <c r="P8">
        <v>4788</v>
      </c>
      <c r="Q8" t="inlineStr">
        <is>
          <t>68bebf515c55f200019d6cd0</t>
        </is>
      </c>
      <c r="R8" t="inlineStr">
        <is>
          <t>🚫重复</t>
        </is>
      </c>
      <c r="S8" t="inlineStr">
        <is>
          <t>考研资料</t>
        </is>
      </c>
      <c r="T8" t="inlineStr">
        <is>
          <t>37.79</t>
        </is>
      </c>
      <c r="U8" s="3">
        <v>46112.78107638889</v>
      </c>
      <c r="V8"/>
      <c r="W8" s="3">
        <v>46023</v>
      </c>
      <c r="X8" t="inlineStr">
        <is>
          <t>01</t>
        </is>
      </c>
      <c r="Y8" t="inlineStr">
        <is>
          <t>2026-Q1</t>
        </is>
      </c>
    </row>
    <row r="9" ht="38.25" customHeight="1">
      <c r="A9" t="inlineStr">
        <is>
          <t>【电子版】幼儿园益智区数学区扑克牌主题教具</t>
        </is>
      </c>
      <c r="B9" t="inlineStr">
        <is>
          <t>__upload_recv79SbVT9iwD.jpg</t>
        </is>
      </c>
      <c r="C9" s="2" t="str">
        <f>=HYPERLINK("https://xhslink.com/m/4OktAOWAl6H", "https://xhslink.com/m/4OktAOWAl6H")</f>
        <v>https://xhslink.com/m/4OktAOWAl6H</v>
      </c>
      <c r="D9"/>
      <c r="E9">
        <v>4589</v>
      </c>
      <c r="F9">
        <v>1.5</v>
      </c>
      <c r="G9"/>
      <c r="H9">
        <v>750</v>
      </c>
      <c r="I9">
        <v>1000</v>
      </c>
      <c r="J9"/>
      <c r="K9" t="inlineStr">
        <is>
          <t>初中数学资料</t>
        </is>
      </c>
      <c r="L9"/>
      <c r="M9" t="inlineStr">
        <is>
          <t>晓言呀的店</t>
        </is>
      </c>
      <c r="N9">
        <v>7752</v>
      </c>
      <c r="O9">
        <v>4.59</v>
      </c>
      <c r="P9">
        <v>37000</v>
      </c>
      <c r="Q9" t="inlineStr">
        <is>
          <t>689f576e0991b400013d3c6c</t>
        </is>
      </c>
      <c r="R9"/>
      <c r="S9" t="inlineStr">
        <is>
          <t>幼教资料</t>
        </is>
      </c>
      <c r="T9" t="inlineStr">
        <is>
          <t>0.59</t>
        </is>
      </c>
      <c r="U9" s="3">
        <v>46112.78107638889</v>
      </c>
      <c r="V9"/>
      <c r="W9" s="3">
        <v>46023</v>
      </c>
      <c r="X9" t="inlineStr">
        <is>
          <t>01</t>
        </is>
      </c>
      <c r="Y9" t="inlineStr">
        <is>
          <t>2026-Q1</t>
        </is>
      </c>
    </row>
    <row r="10" ht="38.25" customHeight="1">
      <c r="A10" t="inlineStr">
        <is>
          <t>数学期中家长会（上学期）（自选年级）</t>
        </is>
      </c>
      <c r="B10" t="inlineStr">
        <is>
          <t>__upload_recv79SbVTfZyo.jpg</t>
        </is>
      </c>
      <c r="C10" s="2" t="str">
        <f>=HYPERLINK("https://xhslink.com/m/7MbxLxdoHE6", "https://xhslink.com/m/7MbxLxdoHE6")</f>
        <v>https://xhslink.com/m/7MbxLxdoHE6</v>
      </c>
      <c r="D10"/>
      <c r="E10">
        <v>4563</v>
      </c>
      <c r="F10">
        <v>9.9</v>
      </c>
      <c r="G10"/>
      <c r="H10">
        <v>1500</v>
      </c>
      <c r="I10">
        <v>1000</v>
      </c>
      <c r="J10"/>
      <c r="K10" t="inlineStr">
        <is>
          <t>初中数学资料</t>
        </is>
      </c>
      <c r="L10"/>
      <c r="M10" t="inlineStr">
        <is>
          <t>小鹿伢的店</t>
        </is>
      </c>
      <c r="N10">
        <v>17000</v>
      </c>
      <c r="O10">
        <v>4.29</v>
      </c>
      <c r="P10">
        <v>65000</v>
      </c>
      <c r="Q10" t="inlineStr">
        <is>
          <t>6906f98f7d4dcd00018c8561</t>
        </is>
      </c>
      <c r="R10" t="inlineStr">
        <is>
          <t>🚫重复</t>
        </is>
      </c>
      <c r="S10" t="inlineStr">
        <is>
          <t>老师资料</t>
        </is>
      </c>
      <c r="T10" t="inlineStr">
        <is>
          <t>0.27</t>
        </is>
      </c>
      <c r="U10" s="3">
        <v>46112.78107638889</v>
      </c>
      <c r="V10"/>
      <c r="W10" s="3">
        <v>46023</v>
      </c>
      <c r="X10" t="inlineStr">
        <is>
          <t>01</t>
        </is>
      </c>
      <c r="Y10" t="inlineStr">
        <is>
          <t>2026-Q1</t>
        </is>
      </c>
    </row>
    <row r="11" ht="38.25" customHeight="1">
      <c r="A11" t="inlineStr">
        <is>
          <t>【单份资料】点击选项选课_内容详见笔记  幼儿园大班领域公开课</t>
        </is>
      </c>
      <c r="B11" t="inlineStr">
        <is>
          <t>__upload_recv79SbVTRNKF.jpg</t>
        </is>
      </c>
      <c r="C11" s="2" t="str">
        <f>=HYPERLINK("https://xhslink.com/m/6a42wCdgmXv", "https://xhslink.com/m/6a42wCdgmXv")</f>
        <v>https://xhslink.com/m/6a42wCdgmXv</v>
      </c>
      <c r="D11"/>
      <c r="E11">
        <v>3633</v>
      </c>
      <c r="F11">
        <v>9.9</v>
      </c>
      <c r="G11"/>
      <c r="H11">
        <v>350</v>
      </c>
      <c r="I11">
        <v>1000</v>
      </c>
      <c r="J11"/>
      <c r="K11" t="inlineStr">
        <is>
          <t>初中数学资料</t>
        </is>
      </c>
      <c r="L11"/>
      <c r="M11" t="inlineStr">
        <is>
          <t>小鹿老师幼儿教育咨询的店</t>
        </is>
      </c>
      <c r="N11">
        <v>3515</v>
      </c>
      <c r="O11">
        <v>4.48</v>
      </c>
      <c r="P11">
        <v>18000</v>
      </c>
      <c r="Q11" t="inlineStr">
        <is>
          <t>689c902d4dbac20001a24c62</t>
        </is>
      </c>
      <c r="R11" t="inlineStr">
        <is>
          <t>🚫重复</t>
        </is>
      </c>
      <c r="S11" t="inlineStr">
        <is>
          <t>幼教资料</t>
        </is>
      </c>
      <c r="T11" t="inlineStr">
        <is>
          <t>1.03</t>
        </is>
      </c>
      <c r="U11" s="3">
        <v>46112.78107638889</v>
      </c>
      <c r="V11"/>
      <c r="W11" s="3">
        <v>46023</v>
      </c>
      <c r="X11" t="inlineStr">
        <is>
          <t>01</t>
        </is>
      </c>
      <c r="Y11" t="inlineStr">
        <is>
          <t>2026-Q1</t>
        </is>
      </c>
    </row>
    <row r="12" ht="38.25" customHeight="1">
      <c r="A12" t="inlineStr">
        <is>
          <t>小学全套资料·电子版【自动发货】</t>
        </is>
      </c>
      <c r="B12" t="inlineStr">
        <is>
          <t>__upload_recv79SbVTMdQO.jpg</t>
        </is>
      </c>
      <c r="C12" s="2" t="str">
        <f>=HYPERLINK("https://xhslink.com/m/5QJ0ovp0QvF", "https://xhslink.com/m/5QJ0ovp0QvF")</f>
        <v>https://xhslink.com/m/5QJ0ovp0QvF</v>
      </c>
      <c r="D12"/>
      <c r="E12">
        <v>3336</v>
      </c>
      <c r="F12">
        <v>5.99</v>
      </c>
      <c r="G12"/>
      <c r="H12">
        <v>950</v>
      </c>
      <c r="I12">
        <v>2000</v>
      </c>
      <c r="J12"/>
      <c r="K12" t="inlineStr">
        <is>
          <t>初中数学资料</t>
        </is>
      </c>
      <c r="L12" t="inlineStr">
        <is>
          <t>🔥低粉爆款</t>
        </is>
      </c>
      <c r="M12" t="inlineStr">
        <is>
          <t>初阳资料库的店</t>
        </is>
      </c>
      <c r="N12">
        <v>304</v>
      </c>
      <c r="O12">
        <v>4.52</v>
      </c>
      <c r="P12">
        <v>17000</v>
      </c>
      <c r="Q12" t="inlineStr">
        <is>
          <t>6877acee9e837400013d2cfe</t>
        </is>
      </c>
      <c r="R12"/>
      <c r="S12" t="inlineStr">
        <is>
          <t>中小学教辅/教材</t>
        </is>
      </c>
      <c r="T12" t="inlineStr">
        <is>
          <t>10.97</t>
        </is>
      </c>
      <c r="U12" s="3">
        <v>46112.78107638889</v>
      </c>
      <c r="V12"/>
      <c r="W12" s="3">
        <v>46023</v>
      </c>
      <c r="X12" t="inlineStr">
        <is>
          <t>01</t>
        </is>
      </c>
      <c r="Y12" t="inlineStr">
        <is>
          <t>2026-Q1</t>
        </is>
      </c>
    </row>
    <row r="13" ht="38.25" customHeight="1">
      <c r="A13" t="inlineStr">
        <is>
          <t>【多维全练】高中数学PDF+word基础提分</t>
        </is>
      </c>
      <c r="B13" t="inlineStr">
        <is>
          <t>__upload_recv79SbVTuuZV.jpg</t>
        </is>
      </c>
      <c r="C13" s="2" t="str">
        <f>=HYPERLINK("https://xhslink.com/m/9Iod3nsZQ8W", "https://xhslink.com/m/9Iod3nsZQ8W")</f>
        <v>https://xhslink.com/m/9Iod3nsZQ8W</v>
      </c>
      <c r="D13"/>
      <c r="E13">
        <v>3390</v>
      </c>
      <c r="F13">
        <v>68</v>
      </c>
      <c r="G13"/>
      <c r="H13">
        <v>400</v>
      </c>
      <c r="I13">
        <v>1000</v>
      </c>
      <c r="J13"/>
      <c r="K13" t="inlineStr">
        <is>
          <t>初中数学资料</t>
        </is>
      </c>
      <c r="L13"/>
      <c r="M13" t="inlineStr">
        <is>
          <t>小安数学老师的店</t>
        </is>
      </c>
      <c r="N13">
        <v>9963</v>
      </c>
      <c r="O13">
        <v>4.5</v>
      </c>
      <c r="P13">
        <v>8818</v>
      </c>
      <c r="Q13" t="inlineStr">
        <is>
          <t>6874c0084485460001e69bd3</t>
        </is>
      </c>
      <c r="R13" t="inlineStr">
        <is>
          <t>🚫重复</t>
        </is>
      </c>
      <c r="S13" t="inlineStr">
        <is>
          <t>高中/高考资料</t>
        </is>
      </c>
      <c r="T13" t="inlineStr">
        <is>
          <t>0.34</t>
        </is>
      </c>
      <c r="U13" s="3">
        <v>46112.78107638889</v>
      </c>
      <c r="V13"/>
      <c r="W13" s="3">
        <v>46023</v>
      </c>
      <c r="X13" t="inlineStr">
        <is>
          <t>01</t>
        </is>
      </c>
      <c r="Y13" t="inlineStr">
        <is>
          <t>2026-Q1</t>
        </is>
      </c>
    </row>
    <row r="14" ht="38.25" customHeight="1">
      <c r="A14" t="inlineStr">
        <is>
          <t>2026初中速用答题模板道法地生物化语数英7-9年级通用小豆同学</t>
        </is>
      </c>
      <c r="B14" t="inlineStr">
        <is>
          <t>__upload_recv79SbVTl0cv.jpg</t>
        </is>
      </c>
      <c r="C14" s="2" t="str">
        <f>=HYPERLINK("https://xhslink.com/m/8cM955Ugzbf", "https://xhslink.com/m/8cM955Ugzbf")</f>
        <v>https://xhslink.com/m/8cM955Ugzbf</v>
      </c>
      <c r="D14"/>
      <c r="E14">
        <v>2841</v>
      </c>
      <c r="F14">
        <v>29.8</v>
      </c>
      <c r="G14"/>
      <c r="H14">
        <v>350</v>
      </c>
      <c r="I14">
        <v>1000</v>
      </c>
      <c r="J14"/>
      <c r="K14" t="inlineStr">
        <is>
          <t>初中数学资料</t>
        </is>
      </c>
      <c r="L14" t="inlineStr">
        <is>
          <t>🔥低粉爆款</t>
        </is>
      </c>
      <c r="M14" t="inlineStr">
        <is>
          <t>致美星广图书的店</t>
        </is>
      </c>
      <c r="N14">
        <v>691</v>
      </c>
      <c r="O14">
        <v>4.69</v>
      </c>
      <c r="P14">
        <v>7970</v>
      </c>
      <c r="Q14" t="inlineStr">
        <is>
          <t>67c563d420e47e001570a885</t>
        </is>
      </c>
      <c r="R14" t="inlineStr">
        <is>
          <t>🚫重复</t>
        </is>
      </c>
      <c r="S14" t="inlineStr">
        <is>
          <t>中小学教辅/教材</t>
        </is>
      </c>
      <c r="T14" t="inlineStr">
        <is>
          <t>4.11</t>
        </is>
      </c>
      <c r="U14" s="3">
        <v>46112.78107638889</v>
      </c>
      <c r="V14"/>
      <c r="W14" s="3">
        <v>46023</v>
      </c>
      <c r="X14" t="inlineStr">
        <is>
          <t>01</t>
        </is>
      </c>
      <c r="Y14" t="inlineStr">
        <is>
          <t>2026-Q1</t>
        </is>
      </c>
    </row>
    <row r="15" ht="38.25" customHeight="1">
      <c r="A15" t="inlineStr">
        <is>
          <t>小学常考二十个阅读理解专题+训练专题（PDF电子资料）</t>
        </is>
      </c>
      <c r="B15" t="inlineStr">
        <is>
          <t>__upload_recv79SbVTSqQa.jpg</t>
        </is>
      </c>
      <c r="C15" s="2" t="str">
        <f>=HYPERLINK("https://xhslink.com/m/7lH14E8t7F1", "https://xhslink.com/m/7lH14E8t7F1")</f>
        <v>https://xhslink.com/m/7lH14E8t7F1</v>
      </c>
      <c r="D15"/>
      <c r="E15">
        <v>2491</v>
      </c>
      <c r="F15">
        <v>1.99</v>
      </c>
      <c r="G15"/>
      <c r="H15">
        <v>500</v>
      </c>
      <c r="I15">
        <v>1000</v>
      </c>
      <c r="J15"/>
      <c r="K15" t="inlineStr">
        <is>
          <t>初中数学资料</t>
        </is>
      </c>
      <c r="L15"/>
      <c r="M15" t="inlineStr">
        <is>
          <t>鸭妮大过山的店</t>
        </is>
      </c>
      <c r="N15">
        <v>52000</v>
      </c>
      <c r="O15">
        <v>4.3</v>
      </c>
      <c r="P15">
        <v>9942</v>
      </c>
      <c r="Q15" t="inlineStr">
        <is>
          <t>687c6ef60e13d500012aae9e</t>
        </is>
      </c>
      <c r="R15" t="inlineStr">
        <is>
          <t>🚫重复</t>
        </is>
      </c>
      <c r="S15" t="inlineStr">
        <is>
          <t>中小学教辅/教材</t>
        </is>
      </c>
      <c r="T15" t="inlineStr">
        <is>
          <t>0.05</t>
        </is>
      </c>
      <c r="U15" s="3">
        <v>46112.78107638889</v>
      </c>
      <c r="V15"/>
      <c r="W15" s="3">
        <v>46023</v>
      </c>
      <c r="X15" t="inlineStr">
        <is>
          <t>01</t>
        </is>
      </c>
      <c r="Y15" t="inlineStr">
        <is>
          <t>2026-Q1</t>
        </is>
      </c>
    </row>
    <row r="16" ht="38.25" customHeight="1">
      <c r="A16" t="inlineStr">
        <is>
          <t>2025年初中地理默写小卡片 (含答案) 高分必备！人教版湘教版</t>
        </is>
      </c>
      <c r="B16" t="inlineStr">
        <is>
          <t>__upload_recv79XgN0kR8l.jpg</t>
        </is>
      </c>
      <c r="C16" s="2" t="str">
        <f>=HYPERLINK("https://xhslink.com/m/47YlTdqprCp", "https://xhslink.com/m/47YlTdqprCp")</f>
        <v>https://xhslink.com/m/47YlTdqprCp</v>
      </c>
      <c r="D16"/>
      <c r="E16">
        <v>1541</v>
      </c>
      <c r="F16">
        <v>9.99</v>
      </c>
      <c r="G16"/>
      <c r="H16">
        <v>600</v>
      </c>
      <c r="I16">
        <v>1000</v>
      </c>
      <c r="J16"/>
      <c r="K16" t="inlineStr">
        <is>
          <t>小升初</t>
        </is>
      </c>
      <c r="L16"/>
      <c r="M16" t="inlineStr">
        <is>
          <t>教地理的跳老师的店</t>
        </is>
      </c>
      <c r="N16">
        <v>10000</v>
      </c>
      <c r="O16">
        <v>4.5</v>
      </c>
      <c r="P16">
        <v>3916</v>
      </c>
      <c r="Q16" t="inlineStr">
        <is>
          <t>68bef346096c870001a68501</t>
        </is>
      </c>
      <c r="R16"/>
      <c r="S16" t="inlineStr">
        <is>
          <t>中小学教辅/教材</t>
        </is>
      </c>
      <c r="T16" t="inlineStr">
        <is>
          <t>0.15</t>
        </is>
      </c>
      <c r="U16" s="3">
        <v>46112.78107638889</v>
      </c>
      <c r="V16"/>
      <c r="W16" s="3">
        <v>46024</v>
      </c>
      <c r="X16" t="inlineStr">
        <is>
          <t>01</t>
        </is>
      </c>
      <c r="Y16" t="inlineStr">
        <is>
          <t>2026-Q1</t>
        </is>
      </c>
    </row>
    <row r="17" ht="38.25" customHeight="1">
      <c r="A17" t="inlineStr">
        <is>
          <t>小四门必背知识点初中电子版人教版道法每日一练睡前默写练习题全</t>
        </is>
      </c>
      <c r="B17" t="inlineStr">
        <is>
          <t>__upload_recv79XhrtFDxL.jpg</t>
        </is>
      </c>
      <c r="C17" s="2" t="str">
        <f>=HYPERLINK("https://xhslink.com/m/A7iFLdb3zEq", "https://xhslink.com/m/A7iFLdb3zEq")</f>
        <v>https://xhslink.com/m/A7iFLdb3zEq</v>
      </c>
      <c r="D17"/>
      <c r="E17">
        <v>1407</v>
      </c>
      <c r="F17">
        <v>6.78</v>
      </c>
      <c r="G17"/>
      <c r="H17">
        <v>300</v>
      </c>
      <c r="I17">
        <v>1000</v>
      </c>
      <c r="J17"/>
      <c r="K17" t="inlineStr">
        <is>
          <t>小升初</t>
        </is>
      </c>
      <c r="L17"/>
      <c r="M17" t="inlineStr">
        <is>
          <t>婷婷老师的学习库的店</t>
        </is>
      </c>
      <c r="N17">
        <v>3760</v>
      </c>
      <c r="O17">
        <v>4.67</v>
      </c>
      <c r="P17">
        <v>14000</v>
      </c>
      <c r="Q17" t="inlineStr">
        <is>
          <t>688dd50a6d60540001ec39ee</t>
        </is>
      </c>
      <c r="R17" t="inlineStr">
        <is>
          <t>🚫重复</t>
        </is>
      </c>
      <c r="S17" t="inlineStr">
        <is>
          <t>中小学教辅/教材</t>
        </is>
      </c>
      <c r="T17" t="inlineStr">
        <is>
          <t>0.37</t>
        </is>
      </c>
      <c r="U17" s="3">
        <v>46112.78107638889</v>
      </c>
      <c r="V17"/>
      <c r="W17" s="3">
        <v>46024</v>
      </c>
      <c r="X17" t="inlineStr">
        <is>
          <t>01</t>
        </is>
      </c>
      <c r="Y17" t="inlineStr">
        <is>
          <t>2026-Q1</t>
        </is>
      </c>
    </row>
    <row r="18" ht="38.25" customHeight="1">
      <c r="A18" t="inlineStr">
        <is>
          <t>2025春新人教版初一七年级各科早背晚默小纸条电子版资料</t>
        </is>
      </c>
      <c r="B18" t="inlineStr">
        <is>
          <t>__upload_recv79Xhrt0X6f.jpg</t>
        </is>
      </c>
      <c r="C18" s="2" t="str">
        <f>=HYPERLINK("https://xhslink.com/m/1y63zYECvDx", "https://xhslink.com/m/1y63zYECvDx")</f>
        <v>https://xhslink.com/m/1y63zYECvDx</v>
      </c>
      <c r="D18"/>
      <c r="E18">
        <v>5644</v>
      </c>
      <c r="F18">
        <v>9.9</v>
      </c>
      <c r="G18"/>
      <c r="H18">
        <v>900</v>
      </c>
      <c r="I18">
        <v>2000</v>
      </c>
      <c r="J18"/>
      <c r="K18" t="inlineStr">
        <is>
          <t>小升初</t>
        </is>
      </c>
      <c r="L18"/>
      <c r="M18" t="inlineStr">
        <is>
          <t>崔老师的资料库的店</t>
        </is>
      </c>
      <c r="N18">
        <v>2509</v>
      </c>
      <c r="O18">
        <v>4.52</v>
      </c>
      <c r="P18">
        <v>6561</v>
      </c>
      <c r="Q18" t="inlineStr">
        <is>
          <t>683e01be317c900001b5b78a</t>
        </is>
      </c>
      <c r="R18" t="inlineStr">
        <is>
          <t>🚫重复</t>
        </is>
      </c>
      <c r="S18" t="inlineStr">
        <is>
          <t>中小学教辅/教材</t>
        </is>
      </c>
      <c r="T18" t="inlineStr">
        <is>
          <t>2.25</t>
        </is>
      </c>
      <c r="U18" s="3">
        <v>46112.78107638889</v>
      </c>
      <c r="V18"/>
      <c r="W18" s="3">
        <v>46024</v>
      </c>
      <c r="X18" t="inlineStr">
        <is>
          <t>01</t>
        </is>
      </c>
      <c r="Y18" t="inlineStr">
        <is>
          <t>2026-Q1</t>
        </is>
      </c>
    </row>
    <row r="19" ht="38.25" customHeight="1">
      <c r="A19" t="inlineStr">
        <is>
          <t>数学期中家长会（上学期）（自选年级）</t>
        </is>
      </c>
      <c r="B19" t="inlineStr">
        <is>
          <t>__upload_recv79XhrteJxM.jpg</t>
        </is>
      </c>
      <c r="C19" s="2" t="str">
        <f>=HYPERLINK("https://xhslink.com/m/5YvepdpEZMf", "https://xhslink.com/m/5YvepdpEZMf")</f>
        <v>https://xhslink.com/m/5YvepdpEZMf</v>
      </c>
      <c r="D19"/>
      <c r="E19">
        <v>4563</v>
      </c>
      <c r="F19">
        <v>9.9</v>
      </c>
      <c r="G19"/>
      <c r="H19">
        <v>1500</v>
      </c>
      <c r="I19">
        <v>1000</v>
      </c>
      <c r="J19"/>
      <c r="K19" t="inlineStr">
        <is>
          <t>小升初</t>
        </is>
      </c>
      <c r="L19"/>
      <c r="M19" t="inlineStr">
        <is>
          <t>小鹿伢的店</t>
        </is>
      </c>
      <c r="N19">
        <v>17000</v>
      </c>
      <c r="O19">
        <v>4.29</v>
      </c>
      <c r="P19">
        <v>65000</v>
      </c>
      <c r="Q19" t="inlineStr">
        <is>
          <t>6906f98f7d4dcd00018c8564</t>
        </is>
      </c>
      <c r="R19" t="inlineStr">
        <is>
          <t>🚫重复</t>
        </is>
      </c>
      <c r="S19" t="inlineStr">
        <is>
          <t>老师资料</t>
        </is>
      </c>
      <c r="T19" t="inlineStr">
        <is>
          <t>0.27</t>
        </is>
      </c>
      <c r="U19" s="3">
        <v>46112.78107638889</v>
      </c>
      <c r="V19"/>
      <c r="W19" s="3">
        <v>46024</v>
      </c>
      <c r="X19" t="inlineStr">
        <is>
          <t>01</t>
        </is>
      </c>
      <c r="Y19" t="inlineStr">
        <is>
          <t>2026-Q1</t>
        </is>
      </c>
    </row>
    <row r="20" ht="38.25" customHeight="1">
      <c r="A20" t="inlineStr">
        <is>
          <t>2025新版小学数学画图法玩转应用题天天练2-6年级数学思维训练</t>
        </is>
      </c>
      <c r="B20" t="inlineStr">
        <is>
          <t>__upload_recv79Xhrt31Ez.jpg</t>
        </is>
      </c>
      <c r="C20" s="2" t="str">
        <f>=HYPERLINK("https://xhslink.com/m/8dS58GYoJAG", "https://xhslink.com/m/8dS58GYoJAG")</f>
        <v>https://xhslink.com/m/8dS58GYoJAG</v>
      </c>
      <c r="D20"/>
      <c r="E20">
        <v>4069</v>
      </c>
      <c r="F20">
        <v>13.8</v>
      </c>
      <c r="G20"/>
      <c r="H20">
        <v>700</v>
      </c>
      <c r="I20">
        <v>2000</v>
      </c>
      <c r="J20"/>
      <c r="K20" t="inlineStr">
        <is>
          <t>小升初</t>
        </is>
      </c>
      <c r="L20"/>
      <c r="M20" t="inlineStr">
        <is>
          <t>凤凰文渊图书璟焱阁的店</t>
        </is>
      </c>
      <c r="N20">
        <v>3072</v>
      </c>
      <c r="O20">
        <v>4.21</v>
      </c>
      <c r="P20">
        <v>59000</v>
      </c>
      <c r="Q20" t="inlineStr">
        <is>
          <t>6867422df563b80001d7e163</t>
        </is>
      </c>
      <c r="R20"/>
      <c r="S20" t="inlineStr">
        <is>
          <t>中小学教辅/教材</t>
        </is>
      </c>
      <c r="T20" t="inlineStr">
        <is>
          <t>1.32</t>
        </is>
      </c>
      <c r="U20" s="3">
        <v>46112.78107638889</v>
      </c>
      <c r="V20"/>
      <c r="W20" s="3">
        <v>46024</v>
      </c>
      <c r="X20" t="inlineStr">
        <is>
          <t>01</t>
        </is>
      </c>
      <c r="Y20" t="inlineStr">
        <is>
          <t>2026-Q1</t>
        </is>
      </c>
    </row>
    <row r="21" ht="38.25" customHeight="1">
      <c r="A21" t="inlineStr">
        <is>
          <t>三年级上册数学《必考15种思维题合集》难点应用题 电子版 PDF</t>
        </is>
      </c>
      <c r="B21" t="inlineStr">
        <is>
          <t>__upload_recv79XhrtAZ5z.jpg</t>
        </is>
      </c>
      <c r="C21" s="2" t="str">
        <f>=HYPERLINK("https://xhslink.com/m/3k3aXnhMfwL", "https://xhslink.com/m/3k3aXnhMfwL")</f>
        <v>https://xhslink.com/m/3k3aXnhMfwL</v>
      </c>
      <c r="D21"/>
      <c r="E21">
        <v>2356</v>
      </c>
      <c r="F21">
        <v>2.99</v>
      </c>
      <c r="G21"/>
      <c r="H21">
        <v>550</v>
      </c>
      <c r="I21">
        <v>1000</v>
      </c>
      <c r="J21"/>
      <c r="K21" t="inlineStr">
        <is>
          <t>小升初</t>
        </is>
      </c>
      <c r="L21"/>
      <c r="M21" t="inlineStr">
        <is>
          <t>星月老师💕的店</t>
        </is>
      </c>
      <c r="N21">
        <v>10000</v>
      </c>
      <c r="O21">
        <v>4.6</v>
      </c>
      <c r="P21">
        <v>54000</v>
      </c>
      <c r="Q21" t="inlineStr">
        <is>
          <t>68a6aa0fec7fed0001f94c99</t>
        </is>
      </c>
      <c r="R21"/>
      <c r="S21" t="inlineStr">
        <is>
          <t>中小学教辅/教材</t>
        </is>
      </c>
      <c r="T21" t="inlineStr">
        <is>
          <t>0.24</t>
        </is>
      </c>
      <c r="U21" s="3">
        <v>46112.78107638889</v>
      </c>
      <c r="V21"/>
      <c r="W21" s="3">
        <v>46024</v>
      </c>
      <c r="X21" t="inlineStr">
        <is>
          <t>01</t>
        </is>
      </c>
      <c r="Y21" t="inlineStr">
        <is>
          <t>2026-Q1</t>
        </is>
      </c>
    </row>
    <row r="22" ht="38.25" customHeight="1">
      <c r="A22" t="inlineStr">
        <is>
          <t>一二三四五六年级上册数学人教版北师大同步课本每日一练小纸条</t>
        </is>
      </c>
      <c r="B22" t="inlineStr">
        <is>
          <t>__upload_recv79Xhrtv7nw.jpg</t>
        </is>
      </c>
      <c r="C22" s="2" t="str">
        <f>=HYPERLINK("https://xhslink.com/m/4WdJEnyJU5O", "https://xhslink.com/m/4WdJEnyJU5O")</f>
        <v>https://xhslink.com/m/4WdJEnyJU5O</v>
      </c>
      <c r="D22"/>
      <c r="E22">
        <v>2121</v>
      </c>
      <c r="F22">
        <v>2.49</v>
      </c>
      <c r="G22"/>
      <c r="H22">
        <v>400</v>
      </c>
      <c r="I22">
        <v>1000</v>
      </c>
      <c r="J22"/>
      <c r="K22" t="inlineStr">
        <is>
          <t>小升初</t>
        </is>
      </c>
      <c r="L22"/>
      <c r="M22" t="inlineStr">
        <is>
          <t>墨香拾华的店</t>
        </is>
      </c>
      <c r="N22">
        <v>1964</v>
      </c>
      <c r="O22">
        <v>4.4</v>
      </c>
      <c r="P22">
        <v>28000</v>
      </c>
      <c r="Q22" t="inlineStr">
        <is>
          <t>68ca6f4e24f1f8000136d8ef</t>
        </is>
      </c>
      <c r="R22" t="inlineStr">
        <is>
          <t>🚫重复</t>
        </is>
      </c>
      <c r="S22" t="inlineStr">
        <is>
          <t>中小学教辅/教材</t>
        </is>
      </c>
      <c r="T22" t="inlineStr">
        <is>
          <t>1.08</t>
        </is>
      </c>
      <c r="U22" s="3">
        <v>46112.78107638889</v>
      </c>
      <c r="V22"/>
      <c r="W22" s="3">
        <v>46024</v>
      </c>
      <c r="X22" t="inlineStr">
        <is>
          <t>01</t>
        </is>
      </c>
      <c r="Y22" t="inlineStr">
        <is>
          <t>2026-Q1</t>
        </is>
      </c>
    </row>
    <row r="23" ht="38.25" customHeight="1">
      <c r="A23" t="inlineStr">
        <is>
          <t>152 一年级上册数学思维练习96页，PDF电子版，非实物</t>
        </is>
      </c>
      <c r="B23" t="inlineStr">
        <is>
          <t>__upload_recv79XhrteEMg.jpg</t>
        </is>
      </c>
      <c r="C23" s="2" t="str">
        <f>=HYPERLINK("https://xhslink.com/m/6pMEeN5z7Jx", "https://xhslink.com/m/6pMEeN5z7Jx")</f>
        <v>https://xhslink.com/m/6pMEeN5z7Jx</v>
      </c>
      <c r="D23"/>
      <c r="E23">
        <v>1121</v>
      </c>
      <c r="F23">
        <v>4.8</v>
      </c>
      <c r="G23"/>
      <c r="H23">
        <v>400</v>
      </c>
      <c r="I23">
        <v>1000</v>
      </c>
      <c r="J23"/>
      <c r="K23" t="inlineStr">
        <is>
          <t>小升初</t>
        </is>
      </c>
      <c r="L23"/>
      <c r="M23" t="inlineStr">
        <is>
          <t>🍀Ruby老师吖✨的店</t>
        </is>
      </c>
      <c r="N23">
        <v>15000</v>
      </c>
      <c r="O23">
        <v>4.63</v>
      </c>
      <c r="P23">
        <v>47000</v>
      </c>
      <c r="Q23" t="inlineStr">
        <is>
          <t>68b7c6840c1e9b0001d28153</t>
        </is>
      </c>
      <c r="R23" t="inlineStr">
        <is>
          <t>🚫重复</t>
        </is>
      </c>
      <c r="S23" t="inlineStr">
        <is>
          <t>中小学教辅/教材</t>
        </is>
      </c>
      <c r="T23" t="inlineStr">
        <is>
          <t>0.07</t>
        </is>
      </c>
      <c r="U23" s="3">
        <v>46112.78107638889</v>
      </c>
      <c r="V23"/>
      <c r="W23" s="3">
        <v>46024</v>
      </c>
      <c r="X23" t="inlineStr">
        <is>
          <t>01</t>
        </is>
      </c>
      <c r="Y23" t="inlineStr">
        <is>
          <t>2026-Q1</t>
        </is>
      </c>
    </row>
    <row r="24" ht="38.25" customHeight="1">
      <c r="A24" t="inlineStr">
        <is>
          <t>402号：四上综合类资料</t>
        </is>
      </c>
      <c r="B24" t="inlineStr">
        <is>
          <t>__upload_recv79XhrtrAXH.jpg</t>
        </is>
      </c>
      <c r="C24" s="2" t="str">
        <f>=HYPERLINK("https://xhslink.com/m/2jp7VqijTXV", "https://xhslink.com/m/2jp7VqijTXV")</f>
        <v>https://xhslink.com/m/2jp7VqijTXV</v>
      </c>
      <c r="D24"/>
      <c r="E24">
        <v>8056</v>
      </c>
      <c r="F24">
        <v>2</v>
      </c>
      <c r="G24"/>
      <c r="H24">
        <v>1000</v>
      </c>
      <c r="I24">
        <v>1000</v>
      </c>
      <c r="J24"/>
      <c r="K24" t="inlineStr">
        <is>
          <t>小升初</t>
        </is>
      </c>
      <c r="L24"/>
      <c r="M24" t="inlineStr">
        <is>
          <t>张主任的情报库的店</t>
        </is>
      </c>
      <c r="N24">
        <v>28000</v>
      </c>
      <c r="O24">
        <v>4.56</v>
      </c>
      <c r="P24">
        <v>216000</v>
      </c>
      <c r="Q24" t="inlineStr">
        <is>
          <t>6910bb14f73ffe0001b96dd2</t>
        </is>
      </c>
      <c r="R24" t="inlineStr">
        <is>
          <t>🚫重复</t>
        </is>
      </c>
      <c r="S24" t="inlineStr">
        <is>
          <t>中小学教辅/教材</t>
        </is>
      </c>
      <c r="T24" t="inlineStr">
        <is>
          <t>0.29</t>
        </is>
      </c>
      <c r="U24" s="3">
        <v>46112.78107638889</v>
      </c>
      <c r="V24"/>
      <c r="W24" s="3">
        <v>46024</v>
      </c>
      <c r="X24" t="inlineStr">
        <is>
          <t>01</t>
        </is>
      </c>
      <c r="Y24" t="inlineStr">
        <is>
          <t>2026-Q1</t>
        </is>
      </c>
    </row>
    <row r="25" ht="38.25" customHeight="1">
      <c r="A25" t="inlineStr">
        <is>
          <t>新人教版初中数学每日一练默写小纸条知识点789年级上下册电子版</t>
        </is>
      </c>
      <c r="B25" t="inlineStr">
        <is>
          <t>__upload_recv79XhrtQ16M.jpg</t>
        </is>
      </c>
      <c r="C25" s="2" t="str">
        <f>=HYPERLINK("https://xhslink.com/m/3RpXeGy4IqL", "https://xhslink.com/m/3RpXeGy4IqL")</f>
        <v>https://xhslink.com/m/3RpXeGy4IqL</v>
      </c>
      <c r="D25"/>
      <c r="E25">
        <v>2876</v>
      </c>
      <c r="F25">
        <v>6.8</v>
      </c>
      <c r="G25"/>
      <c r="H25">
        <v>750</v>
      </c>
      <c r="I25">
        <v>1000</v>
      </c>
      <c r="J25"/>
      <c r="K25" t="inlineStr">
        <is>
          <t>小升初</t>
        </is>
      </c>
      <c r="L25"/>
      <c r="M25" t="inlineStr">
        <is>
          <t>清华宋老师（宝藏资料库)的店</t>
        </is>
      </c>
      <c r="N25">
        <v>2797</v>
      </c>
      <c r="O25">
        <v>4.59</v>
      </c>
      <c r="P25">
        <v>4370</v>
      </c>
      <c r="Q25" t="inlineStr">
        <is>
          <t>682de5237805d7000134d011</t>
        </is>
      </c>
      <c r="R25" t="inlineStr">
        <is>
          <t>🚫重复</t>
        </is>
      </c>
      <c r="S25" t="inlineStr">
        <is>
          <t>中小学教辅/教材</t>
        </is>
      </c>
      <c r="T25" t="inlineStr">
        <is>
          <t>1.03</t>
        </is>
      </c>
      <c r="U25" s="3">
        <v>46112.78107638889</v>
      </c>
      <c r="V25"/>
      <c r="W25" s="3">
        <v>46024</v>
      </c>
      <c r="X25" t="inlineStr">
        <is>
          <t>01</t>
        </is>
      </c>
      <c r="Y25" t="inlineStr">
        <is>
          <t>2026-Q1</t>
        </is>
      </c>
    </row>
    <row r="26" ht="38.25" customHeight="1">
      <c r="A26" t="inlineStr">
        <is>
          <t>2025秋新版一年级上册教学课件上课教案PPT（原创课件）</t>
        </is>
      </c>
      <c r="B26" t="inlineStr">
        <is>
          <t>__upload_recv79XhrtjVl1.jpg</t>
        </is>
      </c>
      <c r="C26" s="2" t="str">
        <f>=HYPERLINK("https://xhslink.com/m/88GcAVF95ze", "https://xhslink.com/m/88GcAVF95ze")</f>
        <v>https://xhslink.com/m/88GcAVF95ze</v>
      </c>
      <c r="D26"/>
      <c r="E26">
        <v>1917</v>
      </c>
      <c r="F26">
        <v>9.9</v>
      </c>
      <c r="G26"/>
      <c r="H26">
        <v>450</v>
      </c>
      <c r="I26">
        <v>1000</v>
      </c>
      <c r="J26"/>
      <c r="K26" t="inlineStr">
        <is>
          <t>小升初</t>
        </is>
      </c>
      <c r="L26"/>
      <c r="M26" t="inlineStr">
        <is>
          <t>小满老师资料库的店</t>
        </is>
      </c>
      <c r="N26">
        <v>2181</v>
      </c>
      <c r="O26">
        <v>4.1</v>
      </c>
      <c r="P26">
        <v>2013</v>
      </c>
      <c r="Q26" t="inlineStr">
        <is>
          <t>68ad900d8ec6fa00014883c4</t>
        </is>
      </c>
      <c r="R26"/>
      <c r="S26" t="inlineStr">
        <is>
          <t>中小学教辅/教材</t>
        </is>
      </c>
      <c r="T26" t="inlineStr">
        <is>
          <t>0.88</t>
        </is>
      </c>
      <c r="U26" s="3">
        <v>46112.78107638889</v>
      </c>
      <c r="V26"/>
      <c r="W26" s="3">
        <v>46024</v>
      </c>
      <c r="X26" t="inlineStr">
        <is>
          <t>01</t>
        </is>
      </c>
      <c r="Y26" t="inlineStr">
        <is>
          <t>2026-Q1</t>
        </is>
      </c>
    </row>
    <row r="27" ht="38.25" customHeight="1">
      <c r="A27" t="inlineStr">
        <is>
          <t>A14一年级上同步生字组词造句19页（赠数学必备知识）PDF电子版</t>
        </is>
      </c>
      <c r="B27" t="inlineStr">
        <is>
          <t>__upload_recv79XhrtTq9N.jpg</t>
        </is>
      </c>
      <c r="C27" s="2" t="str">
        <f>=HYPERLINK("https://xhslink.com/m/9mrB44XtRR9", "https://xhslink.com/m/9mrB44XtRR9")</f>
        <v>https://xhslink.com/m/9mrB44XtRR9</v>
      </c>
      <c r="D27"/>
      <c r="E27">
        <v>1814</v>
      </c>
      <c r="F27">
        <v>2</v>
      </c>
      <c r="G27"/>
      <c r="H27">
        <v>400</v>
      </c>
      <c r="I27">
        <v>1000</v>
      </c>
      <c r="J27"/>
      <c r="K27" t="inlineStr">
        <is>
          <t>小升初</t>
        </is>
      </c>
      <c r="L27"/>
      <c r="M27" t="inlineStr">
        <is>
          <t>晴天🍃老师呀的店</t>
        </is>
      </c>
      <c r="N27">
        <v>8219</v>
      </c>
      <c r="O27">
        <v>4.57</v>
      </c>
      <c r="P27">
        <v>43000</v>
      </c>
      <c r="Q27" t="inlineStr">
        <is>
          <t>6874c61acdcd2b0001200d40</t>
        </is>
      </c>
      <c r="R27"/>
      <c r="S27" t="inlineStr">
        <is>
          <t>中小学教辅/教材</t>
        </is>
      </c>
      <c r="T27" t="inlineStr">
        <is>
          <t>0.22</t>
        </is>
      </c>
      <c r="U27" s="3">
        <v>46112.78107638889</v>
      </c>
      <c r="V27"/>
      <c r="W27" s="3">
        <v>46024</v>
      </c>
      <c r="X27" t="inlineStr">
        <is>
          <t>01</t>
        </is>
      </c>
      <c r="Y27" t="inlineStr">
        <is>
          <t>2026-Q1</t>
        </is>
      </c>
    </row>
    <row r="28" ht="38.25" customHeight="1">
      <c r="A28" t="inlineStr">
        <is>
          <t>【单份资料】点击选项选课_内容详见笔记  幼儿园公开课小班领域</t>
        </is>
      </c>
      <c r="B28" t="inlineStr">
        <is>
          <t>__upload_recv79XhrtUcGU.jpg</t>
        </is>
      </c>
      <c r="C28" s="2" t="str">
        <f>=HYPERLINK("https://xhslink.com/m/1H0fT3GsyqI", "https://xhslink.com/m/1H0fT3GsyqI")</f>
        <v>https://xhslink.com/m/1H0fT3GsyqI</v>
      </c>
      <c r="D28"/>
      <c r="E28">
        <v>1520</v>
      </c>
      <c r="F28">
        <v>9.9</v>
      </c>
      <c r="G28"/>
      <c r="H28">
        <v>400</v>
      </c>
      <c r="I28">
        <v>1000</v>
      </c>
      <c r="J28"/>
      <c r="K28" t="inlineStr">
        <is>
          <t>小升初</t>
        </is>
      </c>
      <c r="L28"/>
      <c r="M28" t="inlineStr">
        <is>
          <t>小鹿老师幼儿教育咨询的店</t>
        </is>
      </c>
      <c r="N28">
        <v>3515</v>
      </c>
      <c r="O28">
        <v>4.48</v>
      </c>
      <c r="P28">
        <v>18000</v>
      </c>
      <c r="Q28" t="inlineStr">
        <is>
          <t>68707b4868b50f0001c36384</t>
        </is>
      </c>
      <c r="R28" t="inlineStr">
        <is>
          <t>🚫重复</t>
        </is>
      </c>
      <c r="S28" t="inlineStr">
        <is>
          <t>幼教资料</t>
        </is>
      </c>
      <c r="T28" t="inlineStr">
        <is>
          <t>0.43</t>
        </is>
      </c>
      <c r="U28" s="3">
        <v>46112.78107638889</v>
      </c>
      <c r="V28"/>
      <c r="W28" s="3">
        <v>46024</v>
      </c>
      <c r="X28" t="inlineStr">
        <is>
          <t>01</t>
        </is>
      </c>
      <c r="Y28" t="inlineStr">
        <is>
          <t>2026-Q1</t>
        </is>
      </c>
    </row>
    <row r="29" ht="38.25" customHeight="1">
      <c r="A29" t="inlineStr">
        <is>
          <t>初中练习单元期中期末月考检测卷初一初二初三多版本【电子版】</t>
        </is>
      </c>
      <c r="B29" t="inlineStr">
        <is>
          <t>__upload_recv79XhrtdSX9.jpg</t>
        </is>
      </c>
      <c r="C29" s="2" t="str">
        <f>=HYPERLINK("https://xhslink.com/m/9ikZfrTNSmL", "https://xhslink.com/m/9ikZfrTNSmL")</f>
        <v>https://xhslink.com/m/9ikZfrTNSmL</v>
      </c>
      <c r="D29"/>
      <c r="E29">
        <v>5786</v>
      </c>
      <c r="F29">
        <v>4.8</v>
      </c>
      <c r="G29"/>
      <c r="H29">
        <v>600</v>
      </c>
      <c r="I29">
        <v>1000</v>
      </c>
      <c r="J29"/>
      <c r="K29" t="inlineStr">
        <is>
          <t>小升初</t>
        </is>
      </c>
      <c r="L29" t="inlineStr">
        <is>
          <t>🔥低粉爆款</t>
        </is>
      </c>
      <c r="M29" t="inlineStr">
        <is>
          <t>周老师的资料库的店</t>
        </is>
      </c>
      <c r="N29">
        <v>1411</v>
      </c>
      <c r="O29">
        <v>4.56</v>
      </c>
      <c r="P29">
        <v>10000</v>
      </c>
      <c r="Q29" t="inlineStr">
        <is>
          <t>683e925ba006060015629496</t>
        </is>
      </c>
      <c r="R29" t="inlineStr">
        <is>
          <t>🚫重复</t>
        </is>
      </c>
      <c r="S29" t="inlineStr">
        <is>
          <t>中小学教辅/教材</t>
        </is>
      </c>
      <c r="T29" t="inlineStr">
        <is>
          <t>4.10</t>
        </is>
      </c>
      <c r="U29" s="3">
        <v>46112.78107638889</v>
      </c>
      <c r="V29"/>
      <c r="W29" s="3">
        <v>46024</v>
      </c>
      <c r="X29" t="inlineStr">
        <is>
          <t>01</t>
        </is>
      </c>
      <c r="Y29" t="inlineStr">
        <is>
          <t>2026-Q1</t>
        </is>
      </c>
    </row>
    <row r="30" ht="38.25" customHeight="1">
      <c r="A30" t="inlineStr">
        <is>
          <t>2025幼儿园最新超火公开课</t>
        </is>
      </c>
      <c r="B30" t="inlineStr">
        <is>
          <t>__upload_recv79XhrtzFuH.jpg</t>
        </is>
      </c>
      <c r="C30" s="2" t="str">
        <f>=HYPERLINK("https://xhslink.com/m/6nryc0hsAZ2", "https://xhslink.com/m/6nryc0hsAZ2")</f>
        <v>https://xhslink.com/m/6nryc0hsAZ2</v>
      </c>
      <c r="D30"/>
      <c r="E30">
        <v>4934</v>
      </c>
      <c r="F30">
        <v>15</v>
      </c>
      <c r="G30"/>
      <c r="H30">
        <v>550</v>
      </c>
      <c r="I30">
        <v>1000</v>
      </c>
      <c r="J30"/>
      <c r="K30" t="inlineStr">
        <is>
          <t>初中数学资料</t>
        </is>
      </c>
      <c r="L30"/>
      <c r="M30" t="inlineStr">
        <is>
          <t>饼饼幼教咨询的店</t>
        </is>
      </c>
      <c r="N30">
        <v>5705</v>
      </c>
      <c r="O30">
        <v>4.38</v>
      </c>
      <c r="P30">
        <v>39000</v>
      </c>
      <c r="Q30" t="inlineStr">
        <is>
          <t>67c54e9c29b9f70001fc806e</t>
        </is>
      </c>
      <c r="R30" t="inlineStr">
        <is>
          <t>🚫重复</t>
        </is>
      </c>
      <c r="S30" t="inlineStr">
        <is>
          <t>幼教资料</t>
        </is>
      </c>
      <c r="T30" t="inlineStr">
        <is>
          <t>0.86</t>
        </is>
      </c>
      <c r="U30" s="3">
        <v>46112.78107638889</v>
      </c>
      <c r="V30"/>
      <c r="W30" s="3">
        <v>46024</v>
      </c>
      <c r="X30" t="inlineStr">
        <is>
          <t>01</t>
        </is>
      </c>
      <c r="Y30" t="inlineStr">
        <is>
          <t>2026-Q1</t>
        </is>
      </c>
    </row>
    <row r="31" ht="38.25" customHeight="1">
      <c r="A31" t="inlineStr">
        <is>
          <t>考研数学公式默写 数一数二数三 线代 概率（默写+完整版）电子版</t>
        </is>
      </c>
      <c r="B31" t="inlineStr">
        <is>
          <t>__upload_recv79XhrtTe95.jpg</t>
        </is>
      </c>
      <c r="C31" s="2" t="str">
        <f>=HYPERLINK("https://xhslink.com/m/14ijRYzdAmG", "https://xhslink.com/m/14ijRYzdAmG")</f>
        <v>https://xhslink.com/m/14ijRYzdAmG</v>
      </c>
      <c r="D31"/>
      <c r="E31">
        <v>4762</v>
      </c>
      <c r="F31">
        <v>1.98</v>
      </c>
      <c r="G31"/>
      <c r="H31">
        <v>1000</v>
      </c>
      <c r="I31">
        <v>4000</v>
      </c>
      <c r="J31"/>
      <c r="K31" t="inlineStr">
        <is>
          <t>初中数学资料</t>
        </is>
      </c>
      <c r="L31" t="inlineStr">
        <is>
          <t>🔥低粉爆款</t>
        </is>
      </c>
      <c r="M31" t="inlineStr">
        <is>
          <t>小瑾资料的店</t>
        </is>
      </c>
      <c r="N31">
        <v>126</v>
      </c>
      <c r="O31">
        <v>4.45</v>
      </c>
      <c r="P31">
        <v>4788</v>
      </c>
      <c r="Q31" t="inlineStr">
        <is>
          <t>68bebf515c55f200019d6cd3</t>
        </is>
      </c>
      <c r="R31" t="inlineStr">
        <is>
          <t>🚫重复</t>
        </is>
      </c>
      <c r="S31" t="inlineStr">
        <is>
          <t>考研资料</t>
        </is>
      </c>
      <c r="T31" t="inlineStr">
        <is>
          <t>37.79</t>
        </is>
      </c>
      <c r="U31" s="3">
        <v>46112.78107638889</v>
      </c>
      <c r="V31"/>
      <c r="W31" s="3">
        <v>46024</v>
      </c>
      <c r="X31" t="inlineStr">
        <is>
          <t>01</t>
        </is>
      </c>
      <c r="Y31" t="inlineStr">
        <is>
          <t>2026-Q1</t>
        </is>
      </c>
    </row>
    <row r="32" ht="38.25" customHeight="1">
      <c r="A32" t="inlineStr">
        <is>
          <t>03｜208页2-6岁幼儿早教数学启蒙数物对应电子素材，无实物非纸质</t>
        </is>
      </c>
      <c r="B32" t="inlineStr">
        <is>
          <t>__upload_recv79XhrtDrbk.jpg</t>
        </is>
      </c>
      <c r="C32" s="2" t="str">
        <f>=HYPERLINK("https://xhslink.com/m/5Wo5pH3kjtE", "https://xhslink.com/m/5Wo5pH3kjtE")</f>
        <v>https://xhslink.com/m/5Wo5pH3kjtE</v>
      </c>
      <c r="D32"/>
      <c r="E32">
        <v>2522</v>
      </c>
      <c r="F32">
        <v>9.98</v>
      </c>
      <c r="G32"/>
      <c r="H32">
        <v>400</v>
      </c>
      <c r="I32">
        <v>1000</v>
      </c>
      <c r="J32"/>
      <c r="K32" t="inlineStr">
        <is>
          <t>初中数学资料</t>
        </is>
      </c>
      <c r="L32"/>
      <c r="M32" t="inlineStr">
        <is>
          <t>明哲妈妈的店</t>
        </is>
      </c>
      <c r="N32">
        <v>19000</v>
      </c>
      <c r="O32">
        <v>4.51</v>
      </c>
      <c r="P32">
        <v>4918</v>
      </c>
      <c r="Q32" t="inlineStr">
        <is>
          <t>683beff58a6cef0001cc9879</t>
        </is>
      </c>
      <c r="R32"/>
      <c r="S32" t="inlineStr">
        <is>
          <t>幼教资料</t>
        </is>
      </c>
      <c r="T32" t="inlineStr">
        <is>
          <t>0.13</t>
        </is>
      </c>
      <c r="U32" s="3">
        <v>46112.78107638889</v>
      </c>
      <c r="V32"/>
      <c r="W32" s="3">
        <v>46024</v>
      </c>
      <c r="X32" t="inlineStr">
        <is>
          <t>01</t>
        </is>
      </c>
      <c r="Y32" t="inlineStr">
        <is>
          <t>2026-Q1</t>
        </is>
      </c>
    </row>
    <row r="33" ht="38.25" customHeight="1">
      <c r="A33" t="inlineStr">
        <is>
          <t>初中数学睡前默写小纸条资料包中考合集通用版（电子版资料）</t>
        </is>
      </c>
      <c r="B33" t="inlineStr">
        <is>
          <t>__upload_recv79Xhrtht5q.jpg</t>
        </is>
      </c>
      <c r="C33" s="2" t="str">
        <f>=HYPERLINK("https://xhslink.com/m/AXqUHeTZEDt", "https://xhslink.com/m/AXqUHeTZEDt")</f>
        <v>https://xhslink.com/m/AXqUHeTZEDt</v>
      </c>
      <c r="D33"/>
      <c r="E33">
        <v>2298</v>
      </c>
      <c r="F33">
        <v>12.8</v>
      </c>
      <c r="G33"/>
      <c r="H33">
        <v>300</v>
      </c>
      <c r="I33">
        <v>1000</v>
      </c>
      <c r="J33"/>
      <c r="K33" t="inlineStr">
        <is>
          <t>初中数学资料</t>
        </is>
      </c>
      <c r="L33"/>
      <c r="M33" t="inlineStr">
        <is>
          <t>马老师资料库的店</t>
        </is>
      </c>
      <c r="N33">
        <v>1695</v>
      </c>
      <c r="O33">
        <v>4.18</v>
      </c>
      <c r="P33">
        <v>3186</v>
      </c>
      <c r="Q33" t="inlineStr">
        <is>
          <t>691d5f1214b5260001c269e1</t>
        </is>
      </c>
      <c r="R33" t="inlineStr">
        <is>
          <t>🚫重复</t>
        </is>
      </c>
      <c r="S33" t="inlineStr">
        <is>
          <t>中小学教辅/教材</t>
        </is>
      </c>
      <c r="T33" t="inlineStr">
        <is>
          <t>1.36</t>
        </is>
      </c>
      <c r="U33" s="3">
        <v>46112.78107638889</v>
      </c>
      <c r="V33"/>
      <c r="W33" s="3">
        <v>46024</v>
      </c>
      <c r="X33" t="inlineStr">
        <is>
          <t>01</t>
        </is>
      </c>
      <c r="Y33" t="inlineStr">
        <is>
          <t>2026-Q1</t>
        </is>
      </c>
    </row>
    <row r="34" ht="38.25" customHeight="1">
      <c r="A34" t="inlineStr">
        <is>
          <t>初中各学科七八九年级上下册语数英政史地物化生知识点总结电子版</t>
        </is>
      </c>
      <c r="B34" t="inlineStr">
        <is>
          <t>__upload_recv79XhrtAM1J.jpg</t>
        </is>
      </c>
      <c r="C34" s="2" t="str">
        <f>=HYPERLINK("https://xhslink.com/m/8vuSrssSOQV", "https://xhslink.com/m/8vuSrssSOQV")</f>
        <v>https://xhslink.com/m/8vuSrssSOQV</v>
      </c>
      <c r="D34"/>
      <c r="E34">
        <v>4247</v>
      </c>
      <c r="F34">
        <v>7.9</v>
      </c>
      <c r="G34"/>
      <c r="H34">
        <v>300</v>
      </c>
      <c r="I34">
        <v>1000</v>
      </c>
      <c r="J34"/>
      <c r="K34" t="inlineStr">
        <is>
          <t>初中数学资料</t>
        </is>
      </c>
      <c r="L34"/>
      <c r="M34" t="inlineStr">
        <is>
          <t>田欣老师的店</t>
        </is>
      </c>
      <c r="N34">
        <v>3075</v>
      </c>
      <c r="O34">
        <v>4.47</v>
      </c>
      <c r="P34">
        <v>6668</v>
      </c>
      <c r="Q34" t="inlineStr">
        <is>
          <t>6914988ab51a380001e42c88</t>
        </is>
      </c>
      <c r="R34" t="inlineStr">
        <is>
          <t>🚫重复</t>
        </is>
      </c>
      <c r="S34" t="inlineStr">
        <is>
          <t>中小学教辅/教材</t>
        </is>
      </c>
      <c r="T34" t="inlineStr">
        <is>
          <t>1.38</t>
        </is>
      </c>
      <c r="U34" s="3">
        <v>46112.78107638889</v>
      </c>
      <c r="V34"/>
      <c r="W34" s="3">
        <v>46024</v>
      </c>
      <c r="X34" t="inlineStr">
        <is>
          <t>01</t>
        </is>
      </c>
      <c r="Y34" t="inlineStr">
        <is>
          <t>2026-Q1</t>
        </is>
      </c>
    </row>
    <row r="35" ht="38.25" customHeight="1">
      <c r="A35" t="inlineStr">
        <is>
          <t>2026初中速用答题模板道法地生物化语数英7-9年级通用小豆同学</t>
        </is>
      </c>
      <c r="B35" t="inlineStr">
        <is>
          <t>__upload_recv79XhrtHAQ6.jpg</t>
        </is>
      </c>
      <c r="C35" s="2" t="str">
        <f>=HYPERLINK("https://xhslink.com/m/2tN6kpPTjNZ", "https://xhslink.com/m/2tN6kpPTjNZ")</f>
        <v>https://xhslink.com/m/2tN6kpPTjNZ</v>
      </c>
      <c r="D35"/>
      <c r="E35">
        <v>2841</v>
      </c>
      <c r="F35">
        <v>29.8</v>
      </c>
      <c r="G35"/>
      <c r="H35">
        <v>350</v>
      </c>
      <c r="I35">
        <v>1000</v>
      </c>
      <c r="J35"/>
      <c r="K35" t="inlineStr">
        <is>
          <t>初中数学资料</t>
        </is>
      </c>
      <c r="L35" t="inlineStr">
        <is>
          <t>🔥低粉爆款</t>
        </is>
      </c>
      <c r="M35" t="inlineStr">
        <is>
          <t>致美星广图书的店</t>
        </is>
      </c>
      <c r="N35">
        <v>691</v>
      </c>
      <c r="O35">
        <v>4.69</v>
      </c>
      <c r="P35">
        <v>7970</v>
      </c>
      <c r="Q35" t="inlineStr">
        <is>
          <t>67c563d420e47e001570a881</t>
        </is>
      </c>
      <c r="R35" t="inlineStr">
        <is>
          <t>🚫重复</t>
        </is>
      </c>
      <c r="S35" t="inlineStr">
        <is>
          <t>中小学教辅/教材</t>
        </is>
      </c>
      <c r="T35" t="inlineStr">
        <is>
          <t>4.11</t>
        </is>
      </c>
      <c r="U35" s="3">
        <v>46112.78107638889</v>
      </c>
      <c r="V35"/>
      <c r="W35" s="3">
        <v>46024</v>
      </c>
      <c r="X35" t="inlineStr">
        <is>
          <t>01</t>
        </is>
      </c>
      <c r="Y35" t="inlineStr">
        <is>
          <t>2026-Q1</t>
        </is>
      </c>
    </row>
    <row r="36" ht="38.25" customHeight="1">
      <c r="A36" t="inlineStr">
        <is>
          <t>初中语文文言文150实词16虚词综合练习本（含答案）</t>
        </is>
      </c>
      <c r="B36" t="inlineStr">
        <is>
          <t>__upload_recv79XhrtCaxC.jpg</t>
        </is>
      </c>
      <c r="C36" s="2" t="str">
        <f>=HYPERLINK("https://xhslink.com/m/7Fx5EQYlWt8", "https://xhslink.com/m/7Fx5EQYlWt8")</f>
        <v>https://xhslink.com/m/7Fx5EQYlWt8</v>
      </c>
      <c r="D36"/>
      <c r="E36">
        <v>1620</v>
      </c>
      <c r="F36">
        <v>28.8</v>
      </c>
      <c r="G36"/>
      <c r="H36">
        <v>450</v>
      </c>
      <c r="I36">
        <v>1000</v>
      </c>
      <c r="J36"/>
      <c r="K36" t="inlineStr">
        <is>
          <t>初中数学资料</t>
        </is>
      </c>
      <c r="L36"/>
      <c r="M36" t="inlineStr">
        <is>
          <t>云边老师教语文的店</t>
        </is>
      </c>
      <c r="N36">
        <v>4865</v>
      </c>
      <c r="O36">
        <v>4.85</v>
      </c>
      <c r="P36">
        <v>15000</v>
      </c>
      <c r="Q36" t="inlineStr">
        <is>
          <t>68a340571745f600010ee221</t>
        </is>
      </c>
      <c r="R36"/>
      <c r="S36" t="inlineStr">
        <is>
          <t>中小学教辅/教材</t>
        </is>
      </c>
      <c r="T36" t="inlineStr">
        <is>
          <t>0.33</t>
        </is>
      </c>
      <c r="U36" s="3">
        <v>46112.78107638889</v>
      </c>
      <c r="V36"/>
      <c r="W36" s="3">
        <v>46024</v>
      </c>
      <c r="X36" t="inlineStr">
        <is>
          <t>01</t>
        </is>
      </c>
      <c r="Y36" t="inlineStr">
        <is>
          <t>2026-Q1</t>
        </is>
      </c>
    </row>
    <row r="37" ht="38.25" customHeight="1">
      <c r="A37" t="inlineStr">
        <is>
          <t>初一初二期中期末考试多套模拟试卷+专项训练人教版【电子版】</t>
        </is>
      </c>
      <c r="B37" t="inlineStr">
        <is>
          <t>__upload_recv79XhrtbzP9.jpg</t>
        </is>
      </c>
      <c r="C37" s="2" t="str">
        <f>=HYPERLINK("https://xhslink.com/m/9N6mscP8IpK", "https://xhslink.com/m/9N6mscP8IpK")</f>
        <v>https://xhslink.com/m/9N6mscP8IpK</v>
      </c>
      <c r="D37"/>
      <c r="E37">
        <v>2615</v>
      </c>
      <c r="F37">
        <v>7.8</v>
      </c>
      <c r="G37"/>
      <c r="H37">
        <v>1000</v>
      </c>
      <c r="I37">
        <v>2000</v>
      </c>
      <c r="J37"/>
      <c r="K37" t="inlineStr">
        <is>
          <t>初中数学资料</t>
        </is>
      </c>
      <c r="L37"/>
      <c r="M37" t="inlineStr">
        <is>
          <t>备考高分资料的店</t>
        </is>
      </c>
      <c r="N37">
        <v>3684</v>
      </c>
      <c r="O37">
        <v>4.45</v>
      </c>
      <c r="P37">
        <v>4200</v>
      </c>
      <c r="Q37" t="inlineStr">
        <is>
          <t>68fd981fce94ee0001b00cfa</t>
        </is>
      </c>
      <c r="R37" t="inlineStr">
        <is>
          <t>🚫重复</t>
        </is>
      </c>
      <c r="S37" t="inlineStr">
        <is>
          <t>中小学教辅/教材</t>
        </is>
      </c>
      <c r="T37" t="inlineStr">
        <is>
          <t>0.71</t>
        </is>
      </c>
      <c r="U37" s="3">
        <v>46112.78107638889</v>
      </c>
      <c r="V37"/>
      <c r="W37" s="3">
        <v>46024</v>
      </c>
      <c r="X37" t="inlineStr">
        <is>
          <t>01</t>
        </is>
      </c>
      <c r="Y37" t="inlineStr">
        <is>
          <t>2026-Q1</t>
        </is>
      </c>
    </row>
    <row r="38" ht="38.25" customHeight="1">
      <c r="A38" t="inlineStr">
        <is>
          <t>艾宾浩斯背单词本—单词积累神器初高中四六级考研都通用</t>
        </is>
      </c>
      <c r="B38" t="inlineStr">
        <is>
          <t>__upload_recv79Xhrt2Tt9.jpg</t>
        </is>
      </c>
      <c r="C38" s="2" t="str">
        <f>=HYPERLINK("https://xhslink.com/m/2kYuhJUWNLS", "https://xhslink.com/m/2kYuhJUWNLS")</f>
        <v>https://xhslink.com/m/2kYuhJUWNLS</v>
      </c>
      <c r="D38"/>
      <c r="E38">
        <v>22000</v>
      </c>
      <c r="F38">
        <v>19.9</v>
      </c>
      <c r="G38"/>
      <c r="H38">
        <v>300</v>
      </c>
      <c r="I38">
        <v>1000</v>
      </c>
      <c r="J38"/>
      <c r="K38" t="inlineStr">
        <is>
          <t>初中数学资料</t>
        </is>
      </c>
      <c r="L38" t="inlineStr">
        <is>
          <t>🔥低粉爆款</t>
        </is>
      </c>
      <c r="M38" t="inlineStr">
        <is>
          <t>饺子真能吃文具的店</t>
        </is>
      </c>
      <c r="N38">
        <v>2988</v>
      </c>
      <c r="O38">
        <v>4.67</v>
      </c>
      <c r="P38">
        <v>79000</v>
      </c>
      <c r="Q38" t="inlineStr">
        <is>
          <t>64f006e86f3ef000019f3a83</t>
        </is>
      </c>
      <c r="R38" t="inlineStr">
        <is>
          <t>🚫重复</t>
        </is>
      </c>
      <c r="S38" t="inlineStr">
        <is>
          <t>英语资料</t>
        </is>
      </c>
      <c r="T38" t="inlineStr">
        <is>
          <t>7.36</t>
        </is>
      </c>
      <c r="U38" s="3">
        <v>46112.78107638889</v>
      </c>
      <c r="V38"/>
      <c r="W38" s="3">
        <v>46024</v>
      </c>
      <c r="X38" t="inlineStr">
        <is>
          <t>01</t>
        </is>
      </c>
      <c r="Y38" t="inlineStr">
        <is>
          <t>2026-Q1</t>
        </is>
      </c>
    </row>
    <row r="39" ht="38.25" customHeight="1">
      <c r="A39" t="inlineStr">
        <is>
          <t>2025版 ‖ 期中考试真题专项练习（考试真题）【电子版】</t>
        </is>
      </c>
      <c r="B39" t="inlineStr">
        <is>
          <t>__upload_recv79XhrtAKgW.jpg</t>
        </is>
      </c>
      <c r="C39" s="2" t="str">
        <f>=HYPERLINK("https://xhslink.com/m/8Er5vC7gVX9", "https://xhslink.com/m/8Er5vC7gVX9")</f>
        <v>https://xhslink.com/m/8Er5vC7gVX9</v>
      </c>
      <c r="D39"/>
      <c r="E39">
        <v>6171</v>
      </c>
      <c r="F39">
        <v>3.8</v>
      </c>
      <c r="G39"/>
      <c r="H39">
        <v>800</v>
      </c>
      <c r="I39">
        <v>2000</v>
      </c>
      <c r="J39"/>
      <c r="K39" t="inlineStr">
        <is>
          <t>小升初</t>
        </is>
      </c>
      <c r="L39"/>
      <c r="M39" t="inlineStr">
        <is>
          <t>小羊同学！的店</t>
        </is>
      </c>
      <c r="N39">
        <v>277000</v>
      </c>
      <c r="O39">
        <v>4.5</v>
      </c>
      <c r="P39">
        <v>203000</v>
      </c>
      <c r="Q39" t="inlineStr">
        <is>
          <t>67c5313bcb5e42000176d750</t>
        </is>
      </c>
      <c r="R39" t="inlineStr">
        <is>
          <t>🚫重复</t>
        </is>
      </c>
      <c r="S39" t="inlineStr">
        <is>
          <t>中小学教辅/教材</t>
        </is>
      </c>
      <c r="T39" t="inlineStr">
        <is>
          <t>0.02</t>
        </is>
      </c>
      <c r="U39" s="3">
        <v>46112.78107638889</v>
      </c>
      <c r="V39"/>
      <c r="W39" s="3">
        <v>46024</v>
      </c>
      <c r="X39" t="inlineStr">
        <is>
          <t>01</t>
        </is>
      </c>
      <c r="Y39" t="inlineStr">
        <is>
          <t>2026-Q1</t>
        </is>
      </c>
    </row>
    <row r="40" ht="38.25" customHeight="1">
      <c r="A40" t="inlineStr">
        <is>
          <t>【大班课程链接】幼儿园小中大班语言数学科学健康领域优质公开课</t>
        </is>
      </c>
      <c r="B40" t="inlineStr">
        <is>
          <t>__upload_recv79Xhrt3AFr.jpg</t>
        </is>
      </c>
      <c r="C40" s="2" t="str">
        <f>=HYPERLINK("https://xhslink.com/m/7pZSSo17Up", "https://xhslink.com/m/7pZSSo17Up")</f>
        <v>https://xhslink.com/m/7pZSSo17Up</v>
      </c>
      <c r="D40"/>
      <c r="E40">
        <v>4486</v>
      </c>
      <c r="F40">
        <v>6.8</v>
      </c>
      <c r="G40"/>
      <c r="H40">
        <v>700</v>
      </c>
      <c r="I40">
        <v>2000</v>
      </c>
      <c r="J40"/>
      <c r="K40" t="inlineStr">
        <is>
          <t>小升初</t>
        </is>
      </c>
      <c r="L40"/>
      <c r="M40" t="inlineStr">
        <is>
          <t>小团子幼教的店</t>
        </is>
      </c>
      <c r="N40">
        <v>2071</v>
      </c>
      <c r="O40">
        <v>4.41</v>
      </c>
      <c r="P40">
        <v>8235</v>
      </c>
      <c r="Q40" t="inlineStr">
        <is>
          <t>679085e65ed7270001113f23</t>
        </is>
      </c>
      <c r="R40" t="inlineStr">
        <is>
          <t>🚫重复</t>
        </is>
      </c>
      <c r="S40" t="inlineStr">
        <is>
          <t>幼教资料</t>
        </is>
      </c>
      <c r="T40" t="inlineStr">
        <is>
          <t>2.17</t>
        </is>
      </c>
      <c r="U40" s="3">
        <v>46112.78107638889</v>
      </c>
      <c r="V40"/>
      <c r="W40" s="3">
        <v>46024</v>
      </c>
      <c r="X40" t="inlineStr">
        <is>
          <t>01</t>
        </is>
      </c>
      <c r="Y40" t="inlineStr">
        <is>
          <t>2026-Q1</t>
        </is>
      </c>
    </row>
    <row r="41" ht="38.25" customHeight="1">
      <c r="A41" t="inlineStr">
        <is>
          <t>中考英语必背核心词表（1600考纲词+718高频词+不规则动词）</t>
        </is>
      </c>
      <c r="B41" t="inlineStr">
        <is>
          <t>__upload_recv79XhrtMgaN.jpg</t>
        </is>
      </c>
      <c r="C41" s="2" t="str">
        <f>=HYPERLINK("https://xhslink.com/m/6CmcmwsLtoL", "https://xhslink.com/m/6CmcmwsLtoL")</f>
        <v>https://xhslink.com/m/6CmcmwsLtoL</v>
      </c>
      <c r="D41"/>
      <c r="E41">
        <v>3747</v>
      </c>
      <c r="F41">
        <v>9.9</v>
      </c>
      <c r="G41"/>
      <c r="H41">
        <v>450</v>
      </c>
      <c r="I41">
        <v>1000</v>
      </c>
      <c r="J41"/>
      <c r="K41" t="inlineStr">
        <is>
          <t>小升初</t>
        </is>
      </c>
      <c r="L41"/>
      <c r="M41" t="inlineStr">
        <is>
          <t>猫叔英语研究所的店</t>
        </is>
      </c>
      <c r="N41">
        <v>3250</v>
      </c>
      <c r="O41">
        <v>4.6</v>
      </c>
      <c r="P41">
        <v>15000</v>
      </c>
      <c r="Q41" t="inlineStr">
        <is>
          <t>68219c0058da9f00010b198c</t>
        </is>
      </c>
      <c r="R41" t="inlineStr">
        <is>
          <t>🚫重复</t>
        </is>
      </c>
      <c r="S41" t="inlineStr">
        <is>
          <t>中小学教辅/教材</t>
        </is>
      </c>
      <c r="T41" t="inlineStr">
        <is>
          <t>1.15</t>
        </is>
      </c>
      <c r="U41" s="3">
        <v>46112.78107638889</v>
      </c>
      <c r="V41"/>
      <c r="W41" s="3">
        <v>46024</v>
      </c>
      <c r="X41" t="inlineStr">
        <is>
          <t>01</t>
        </is>
      </c>
      <c r="Y41" t="inlineStr">
        <is>
          <t>2026-Q1</t>
        </is>
      </c>
    </row>
    <row r="42" ht="38.25" customHeight="1">
      <c r="A42" t="inlineStr">
        <is>
          <t>26版数量关系基础课讲义复盘&amp;个人笔记-PDF电子版-下单先看详情页</t>
        </is>
      </c>
      <c r="B42" t="inlineStr">
        <is>
          <t>__upload_recv79XhrtdciW.jpg</t>
        </is>
      </c>
      <c r="C42" s="2" t="str">
        <f>=HYPERLINK("https://xhslink.com/m/9wXMfIWnPcC", "https://xhslink.com/m/9wXMfIWnPcC")</f>
        <v>https://xhslink.com/m/9wXMfIWnPcC</v>
      </c>
      <c r="D42"/>
      <c r="E42">
        <v>1827</v>
      </c>
      <c r="F42">
        <v>13.9</v>
      </c>
      <c r="G42"/>
      <c r="H42">
        <v>300</v>
      </c>
      <c r="I42">
        <v>1000</v>
      </c>
      <c r="J42"/>
      <c r="K42" t="inlineStr">
        <is>
          <t>小升初</t>
        </is>
      </c>
      <c r="L42"/>
      <c r="M42" t="inlineStr">
        <is>
          <t>贝栗子的店</t>
        </is>
      </c>
      <c r="N42">
        <v>40000</v>
      </c>
      <c r="O42">
        <v>4.53</v>
      </c>
      <c r="P42">
        <v>20000</v>
      </c>
      <c r="Q42" t="inlineStr">
        <is>
          <t>693e20474d533800013e45c2</t>
        </is>
      </c>
      <c r="R42" t="inlineStr">
        <is>
          <t>🚫重复</t>
        </is>
      </c>
      <c r="S42" t="inlineStr">
        <is>
          <t>考公资料</t>
        </is>
      </c>
      <c r="T42" t="inlineStr">
        <is>
          <t>0.05</t>
        </is>
      </c>
      <c r="U42" s="3">
        <v>46112.78107638889</v>
      </c>
      <c r="V42"/>
      <c r="W42" s="3">
        <v>46024</v>
      </c>
      <c r="X42" t="inlineStr">
        <is>
          <t>01</t>
        </is>
      </c>
      <c r="Y42" t="inlineStr">
        <is>
          <t>2026-Q1</t>
        </is>
      </c>
    </row>
    <row r="43" ht="38.25" customHeight="1">
      <c r="A43" t="inlineStr">
        <is>
          <t>小学作文专题课件|电子版 可编辑</t>
        </is>
      </c>
      <c r="B43" t="inlineStr">
        <is>
          <t>__upload_recv79Xhrtlsoq.jpg</t>
        </is>
      </c>
      <c r="C43" s="2" t="str">
        <f>=HYPERLINK("https://xhslink.com/m/15R4e5JRTSk", "https://xhslink.com/m/15R4e5JRTSk")</f>
        <v>https://xhslink.com/m/15R4e5JRTSk</v>
      </c>
      <c r="D43"/>
      <c r="E43">
        <v>1605</v>
      </c>
      <c r="F43">
        <v>2.9</v>
      </c>
      <c r="G43"/>
      <c r="H43">
        <v>450</v>
      </c>
      <c r="I43">
        <v>1000</v>
      </c>
      <c r="J43"/>
      <c r="K43" t="inlineStr">
        <is>
          <t>小升初</t>
        </is>
      </c>
      <c r="L43"/>
      <c r="M43" t="inlineStr">
        <is>
          <t>木子爱学习吖的店</t>
        </is>
      </c>
      <c r="N43">
        <v>637</v>
      </c>
      <c r="O43">
        <v>4.59</v>
      </c>
      <c r="P43">
        <v>6332</v>
      </c>
      <c r="Q43" t="inlineStr">
        <is>
          <t>68bcb80724d64a0001bd5e4a</t>
        </is>
      </c>
      <c r="R43"/>
      <c r="S43" t="inlineStr">
        <is>
          <t>中小学教辅/教材</t>
        </is>
      </c>
      <c r="T43" t="inlineStr">
        <is>
          <t>2.52</t>
        </is>
      </c>
      <c r="U43" s="3">
        <v>46112.78107638889</v>
      </c>
      <c r="V43"/>
      <c r="W43" s="3">
        <v>46024</v>
      </c>
      <c r="X43" t="inlineStr">
        <is>
          <t>01</t>
        </is>
      </c>
      <c r="Y43" t="inlineStr">
        <is>
          <t>2026-Q1</t>
        </is>
      </c>
    </row>
    <row r="44" ht="38.25" customHeight="1">
      <c r="A44" t="inlineStr">
        <is>
          <t>【正版】幼升小一年级学拼音拼读训练我是拼读小能手启蒙一本通</t>
        </is>
      </c>
      <c r="B44" t="inlineStr">
        <is>
          <t>__upload_recv79XhrtErTk.jpg</t>
        </is>
      </c>
      <c r="C44" s="2" t="str">
        <f>=HYPERLINK("https://xhslink.com/m/53TwlyeTNR8", "https://xhslink.com/m/53TwlyeTNR8")</f>
        <v>https://xhslink.com/m/53TwlyeTNR8</v>
      </c>
      <c r="D44"/>
      <c r="E44">
        <v>1341</v>
      </c>
      <c r="F44">
        <v>9.9</v>
      </c>
      <c r="G44"/>
      <c r="H44">
        <v>400</v>
      </c>
      <c r="I44">
        <v>1000</v>
      </c>
      <c r="J44"/>
      <c r="K44" t="inlineStr">
        <is>
          <t>小升初</t>
        </is>
      </c>
      <c r="L44"/>
      <c r="M44" t="inlineStr">
        <is>
          <t>扶文图书的店</t>
        </is>
      </c>
      <c r="N44">
        <v>2838</v>
      </c>
      <c r="O44">
        <v>4.56</v>
      </c>
      <c r="P44">
        <v>31000</v>
      </c>
      <c r="Q44" t="inlineStr">
        <is>
          <t>68b711c1f71ffd0015623061</t>
        </is>
      </c>
      <c r="R44"/>
      <c r="S44" t="inlineStr">
        <is>
          <t>中小学教辅/教材</t>
        </is>
      </c>
      <c r="T44" t="inlineStr">
        <is>
          <t>0.47</t>
        </is>
      </c>
      <c r="U44" s="3">
        <v>46112.78107638889</v>
      </c>
      <c r="V44"/>
      <c r="W44" s="3">
        <v>46024</v>
      </c>
      <c r="X44" t="inlineStr">
        <is>
          <t>01</t>
        </is>
      </c>
      <c r="Y44" t="inlineStr">
        <is>
          <t>2026-Q1</t>
        </is>
      </c>
    </row>
    <row r="45" ht="38.25" customHeight="1">
      <c r="A45" t="inlineStr">
        <is>
          <t>25国考省考考试真题含答案解析历年行测申论真题无水印电子版</t>
        </is>
      </c>
      <c r="B45" t="inlineStr">
        <is>
          <t>__upload_recv7a0I3ZCEkz.jpg</t>
        </is>
      </c>
      <c r="C45" s="2" t="str">
        <f>=HYPERLINK("https://xhslink.com/m/2ADyEg6fkAA", "https://xhslink.com/m/2ADyEg6fkAA")</f>
        <v>https://xhslink.com/m/2ADyEg6fkAA</v>
      </c>
      <c r="D45"/>
      <c r="E45">
        <v>7206</v>
      </c>
      <c r="F45">
        <v>3.99</v>
      </c>
      <c r="G45"/>
      <c r="H45">
        <v>800</v>
      </c>
      <c r="I45">
        <v>2000</v>
      </c>
      <c r="J45"/>
      <c r="K45" t="inlineStr">
        <is>
          <t>省考</t>
        </is>
      </c>
      <c r="L45" t="inlineStr">
        <is>
          <t>🔥低粉爆款</t>
        </is>
      </c>
      <c r="M45" t="inlineStr">
        <is>
          <t>上岸的墨仔的店</t>
        </is>
      </c>
      <c r="N45">
        <v>914</v>
      </c>
      <c r="O45">
        <v>4.45</v>
      </c>
      <c r="P45">
        <v>8786</v>
      </c>
      <c r="Q45" t="inlineStr">
        <is>
          <t>67f128335d35ce00019924e6</t>
        </is>
      </c>
      <c r="R45" t="inlineStr">
        <is>
          <t>🚫重复</t>
        </is>
      </c>
      <c r="S45" t="inlineStr">
        <is>
          <t>考公资料</t>
        </is>
      </c>
      <c r="T45" t="inlineStr">
        <is>
          <t>7.88</t>
        </is>
      </c>
      <c r="U45" s="3">
        <v>46112.78107638889</v>
      </c>
      <c r="V45"/>
      <c r="W45" s="3">
        <v>46024</v>
      </c>
      <c r="X45" t="inlineStr">
        <is>
          <t>01</t>
        </is>
      </c>
      <c r="Y45" t="inlineStr">
        <is>
          <t>2026-Q1</t>
        </is>
      </c>
    </row>
    <row r="46" ht="38.25" customHeight="1">
      <c r="A46" t="inlineStr">
        <is>
          <t>公务员国考省考历年真题套卷</t>
        </is>
      </c>
      <c r="B46" t="inlineStr">
        <is>
          <t>__upload_recv7a0I3ZofIy.jpg</t>
        </is>
      </c>
      <c r="C46" s="2" t="str">
        <f>=HYPERLINK("https://xhslink.com/m/7qoHGF0wgAt", "https://xhslink.com/m/7qoHGF0wgAt")</f>
        <v>https://xhslink.com/m/7qoHGF0wgAt</v>
      </c>
      <c r="D46"/>
      <c r="E46">
        <v>6582</v>
      </c>
      <c r="F46">
        <v>16</v>
      </c>
      <c r="G46"/>
      <c r="H46">
        <v>450</v>
      </c>
      <c r="I46">
        <v>2000</v>
      </c>
      <c r="J46"/>
      <c r="K46" t="inlineStr">
        <is>
          <t>省考</t>
        </is>
      </c>
      <c r="L46"/>
      <c r="M46" t="inlineStr">
        <is>
          <t>小吴的考公书斋的店</t>
        </is>
      </c>
      <c r="N46">
        <v>5822</v>
      </c>
      <c r="O46">
        <v>4.45</v>
      </c>
      <c r="P46">
        <v>13000</v>
      </c>
      <c r="Q46" t="inlineStr">
        <is>
          <t>66a21bd348950300019341b9</t>
        </is>
      </c>
      <c r="R46" t="inlineStr">
        <is>
          <t>🚫重复</t>
        </is>
      </c>
      <c r="S46" t="inlineStr">
        <is>
          <t>考公资料</t>
        </is>
      </c>
      <c r="T46" t="inlineStr">
        <is>
          <t>1.13</t>
        </is>
      </c>
      <c r="U46" s="3">
        <v>46112.78107638889</v>
      </c>
      <c r="V46"/>
      <c r="W46" s="3">
        <v>46024</v>
      </c>
      <c r="X46" t="inlineStr">
        <is>
          <t>01</t>
        </is>
      </c>
      <c r="Y46" t="inlineStr">
        <is>
          <t>2026-Q1</t>
        </is>
      </c>
    </row>
    <row r="47" ht="38.25" customHeight="1">
      <c r="A47" t="inlineStr">
        <is>
          <t>26国考/省考袁东大作文素材全套资料</t>
        </is>
      </c>
      <c r="B47" t="inlineStr">
        <is>
          <t>__upload_recv7a0I3ZFzQx.jpg</t>
        </is>
      </c>
      <c r="C47" s="2" t="str">
        <f>=HYPERLINK("https://xhslink.com/m/73jkej66DuD", "https://xhslink.com/m/73jkej66DuD")</f>
        <v>https://xhslink.com/m/73jkej66DuD</v>
      </c>
      <c r="D47"/>
      <c r="E47">
        <v>5200</v>
      </c>
      <c r="F47">
        <v>1.99</v>
      </c>
      <c r="G47"/>
      <c r="H47">
        <v>5000</v>
      </c>
      <c r="I47">
        <v>5000</v>
      </c>
      <c r="J47"/>
      <c r="K47" t="inlineStr">
        <is>
          <t>省考</t>
        </is>
      </c>
      <c r="L47" t="inlineStr">
        <is>
          <t>🔥低粉爆款</t>
        </is>
      </c>
      <c r="M47" t="inlineStr">
        <is>
          <t>奋斗小白的店</t>
        </is>
      </c>
      <c r="N47">
        <v>350</v>
      </c>
      <c r="O47">
        <v>4.28</v>
      </c>
      <c r="P47">
        <v>12000</v>
      </c>
      <c r="Q47" t="inlineStr">
        <is>
          <t>691a934960f59700016bd821</t>
        </is>
      </c>
      <c r="R47" t="inlineStr">
        <is>
          <t>🚫重复</t>
        </is>
      </c>
      <c r="S47" t="inlineStr">
        <is>
          <t>考公资料</t>
        </is>
      </c>
      <c r="T47" t="inlineStr">
        <is>
          <t>14.86</t>
        </is>
      </c>
      <c r="U47" s="3">
        <v>46112.78107638889</v>
      </c>
      <c r="V47"/>
      <c r="W47" s="3">
        <v>46024</v>
      </c>
      <c r="X47" t="inlineStr">
        <is>
          <t>01</t>
        </is>
      </c>
      <c r="Y47" t="inlineStr">
        <is>
          <t>2026-Q1</t>
        </is>
      </c>
    </row>
    <row r="48" ht="38.25" customHeight="1">
      <c r="A48" t="inlineStr">
        <is>
          <t>2025国考省考真题历年公务员考试卷真题行测申论</t>
        </is>
      </c>
      <c r="B48" t="inlineStr">
        <is>
          <t>__upload_recv7a0I3ZdKIf.jpg</t>
        </is>
      </c>
      <c r="C48" s="2" t="str">
        <f>=HYPERLINK("https://xhslink.com/m/52pBia7rISY", "https://xhslink.com/m/52pBia7rISY")</f>
        <v>https://xhslink.com/m/52pBia7rISY</v>
      </c>
      <c r="D48"/>
      <c r="E48">
        <v>4204</v>
      </c>
      <c r="F48">
        <v>8.99</v>
      </c>
      <c r="G48"/>
      <c r="H48">
        <v>300</v>
      </c>
      <c r="I48">
        <v>1000</v>
      </c>
      <c r="J48"/>
      <c r="K48" t="inlineStr">
        <is>
          <t>省考</t>
        </is>
      </c>
      <c r="L48" t="inlineStr">
        <is>
          <t>🔥低粉爆款</t>
        </is>
      </c>
      <c r="M48" t="inlineStr">
        <is>
          <t>张小小上岸的店</t>
        </is>
      </c>
      <c r="N48">
        <v>904</v>
      </c>
      <c r="O48">
        <v>4.52</v>
      </c>
      <c r="P48">
        <v>8615</v>
      </c>
      <c r="Q48" t="inlineStr">
        <is>
          <t>67a4a67297ab0100018858a6</t>
        </is>
      </c>
      <c r="R48" t="inlineStr">
        <is>
          <t>🚫重复</t>
        </is>
      </c>
      <c r="S48" t="inlineStr">
        <is>
          <t>考公资料</t>
        </is>
      </c>
      <c r="T48" t="inlineStr">
        <is>
          <t>4.65</t>
        </is>
      </c>
      <c r="U48" s="3">
        <v>46112.78107638889</v>
      </c>
      <c r="V48"/>
      <c r="W48" s="3">
        <v>46024</v>
      </c>
      <c r="X48" t="inlineStr">
        <is>
          <t>01</t>
        </is>
      </c>
      <c r="Y48" t="inlineStr">
        <is>
          <t>2026-Q1</t>
        </is>
      </c>
    </row>
    <row r="49" ht="38.25" customHeight="1">
      <c r="A49" t="inlineStr">
        <is>
          <t>2026浙江省考/选调/事业单位时政申论面试精选素材（电子文档）</t>
        </is>
      </c>
      <c r="B49" t="inlineStr">
        <is>
          <t>__upload_recv7a0I3Z09EP.jpg</t>
        </is>
      </c>
      <c r="C49" s="2" t="str">
        <f>=HYPERLINK("https://xhslink.com/m/3OketDhJkGG", "https://xhslink.com/m/3OketDhJkGG")</f>
        <v>https://xhslink.com/m/3OketDhJkGG</v>
      </c>
      <c r="D49"/>
      <c r="E49">
        <v>2023</v>
      </c>
      <c r="F49">
        <v>46.9</v>
      </c>
      <c r="G49"/>
      <c r="H49">
        <v>300</v>
      </c>
      <c r="I49">
        <v>1000</v>
      </c>
      <c r="J49"/>
      <c r="K49" t="inlineStr">
        <is>
          <t>省考</t>
        </is>
      </c>
      <c r="L49"/>
      <c r="M49" t="inlineStr">
        <is>
          <t>九品小吏的店</t>
        </is>
      </c>
      <c r="N49">
        <v>8202</v>
      </c>
      <c r="O49">
        <v>4.35</v>
      </c>
      <c r="P49">
        <v>6551</v>
      </c>
      <c r="Q49" t="inlineStr">
        <is>
          <t>68d370a97ac09e00011ad21e</t>
        </is>
      </c>
      <c r="R49" t="inlineStr">
        <is>
          <t>🚫重复</t>
        </is>
      </c>
      <c r="S49" t="inlineStr">
        <is>
          <t>考公资料</t>
        </is>
      </c>
      <c r="T49" t="inlineStr">
        <is>
          <t>0.25</t>
        </is>
      </c>
      <c r="U49" s="3">
        <v>46112.78107638889</v>
      </c>
      <c r="V49"/>
      <c r="W49" s="3">
        <v>46024</v>
      </c>
      <c r="X49" t="inlineStr">
        <is>
          <t>01</t>
        </is>
      </c>
      <c r="Y49" t="inlineStr">
        <is>
          <t>2026-Q1</t>
        </is>
      </c>
    </row>
    <row r="50" ht="38.25" customHeight="1">
      <c r="A50" t="inlineStr">
        <is>
          <t>2026纸质版公务员国考省考历年真题行测申论套卷考前冲刺刷题必备</t>
        </is>
      </c>
      <c r="B50" t="inlineStr">
        <is>
          <t>__upload_recv7a0I3Zrryo.jpg</t>
        </is>
      </c>
      <c r="C50" s="2" t="str">
        <f>=HYPERLINK("https://xhslink.com/m/7UPm5GJCwia", "https://xhslink.com/m/7UPm5GJCwia")</f>
        <v>https://xhslink.com/m/7UPm5GJCwia</v>
      </c>
      <c r="D50"/>
      <c r="E50">
        <v>1933</v>
      </c>
      <c r="F50">
        <v>25</v>
      </c>
      <c r="G50"/>
      <c r="H50">
        <v>350</v>
      </c>
      <c r="I50">
        <v>1000</v>
      </c>
      <c r="J50"/>
      <c r="K50" t="inlineStr">
        <is>
          <t>省考</t>
        </is>
      </c>
      <c r="L50" t="inlineStr">
        <is>
          <t>🔥低粉爆款</t>
        </is>
      </c>
      <c r="M50" t="inlineStr">
        <is>
          <t>辰景蕴要上岸的店</t>
        </is>
      </c>
      <c r="N50">
        <v>194</v>
      </c>
      <c r="O50">
        <v>4.64</v>
      </c>
      <c r="P50">
        <v>5709</v>
      </c>
      <c r="Q50" t="inlineStr">
        <is>
          <t>68a92bcdec7fed0001cde31b</t>
        </is>
      </c>
      <c r="R50" t="inlineStr">
        <is>
          <t>🚫重复</t>
        </is>
      </c>
      <c r="S50" t="inlineStr">
        <is>
          <t>考公资料</t>
        </is>
      </c>
      <c r="T50" t="inlineStr">
        <is>
          <t>9.96</t>
        </is>
      </c>
      <c r="U50" s="3">
        <v>46112.78107638889</v>
      </c>
      <c r="V50"/>
      <c r="W50" s="3">
        <v>46024</v>
      </c>
      <c r="X50" t="inlineStr">
        <is>
          <t>01</t>
        </is>
      </c>
      <c r="Y50" t="inlineStr">
        <is>
          <t>2026-Q1</t>
        </is>
      </c>
    </row>
    <row r="51" ht="38.25" customHeight="1">
      <c r="A51" t="inlineStr">
        <is>
          <t>2019-2025年江苏省考申论答案对比汇总【一次购买，更新至上岸】</t>
        </is>
      </c>
      <c r="B51" t="inlineStr">
        <is>
          <t>__upload_recv7a0I3ZSLYU.jpg</t>
        </is>
      </c>
      <c r="C51" s="2" t="str">
        <f>=HYPERLINK("https://xhslink.com/m/7iGVCJYvo9Q", "https://xhslink.com/m/7iGVCJYvo9Q")</f>
        <v>https://xhslink.com/m/7iGVCJYvo9Q</v>
      </c>
      <c r="D51"/>
      <c r="E51">
        <v>1809</v>
      </c>
      <c r="F51">
        <v>9.9</v>
      </c>
      <c r="G51"/>
      <c r="H51">
        <v>950</v>
      </c>
      <c r="I51">
        <v>1000</v>
      </c>
      <c r="J51"/>
      <c r="K51" t="inlineStr">
        <is>
          <t>省考</t>
        </is>
      </c>
      <c r="L51"/>
      <c r="M51" t="inlineStr">
        <is>
          <t>枫声在努力的店</t>
        </is>
      </c>
      <c r="N51">
        <v>21000</v>
      </c>
      <c r="O51">
        <v>4.62</v>
      </c>
      <c r="P51">
        <v>3689</v>
      </c>
      <c r="Q51" t="inlineStr">
        <is>
          <t>68af3b8e82bd7100012939b6</t>
        </is>
      </c>
      <c r="R51" t="inlineStr">
        <is>
          <t>🚫重复</t>
        </is>
      </c>
      <c r="S51" t="inlineStr">
        <is>
          <t>考公资料</t>
        </is>
      </c>
      <c r="T51" t="inlineStr">
        <is>
          <t>0.09</t>
        </is>
      </c>
      <c r="U51" s="3">
        <v>46112.78107638889</v>
      </c>
      <c r="V51"/>
      <c r="W51" s="3">
        <v>46024</v>
      </c>
      <c r="X51" t="inlineStr">
        <is>
          <t>01</t>
        </is>
      </c>
      <c r="Y51" t="inlineStr">
        <is>
          <t>2026-Q1</t>
        </is>
      </c>
    </row>
    <row r="52" ht="38.25" customHeight="1">
      <c r="A52" t="inlineStr">
        <is>
          <t>华图 · 公考人物素材108组 国省考申论面试写作 申论大作文</t>
        </is>
      </c>
      <c r="B52" t="inlineStr">
        <is>
          <t>__upload_recv7a0I3Z5bMr.jpg</t>
        </is>
      </c>
      <c r="C52" s="2" t="str">
        <f>=HYPERLINK("https://xhslink.com/m/ylNGLipeW4", "https://xhslink.com/m/ylNGLipeW4")</f>
        <v>https://xhslink.com/m/ylNGLipeW4</v>
      </c>
      <c r="D52"/>
      <c r="E52">
        <v>1641</v>
      </c>
      <c r="F52">
        <v>0.1</v>
      </c>
      <c r="G52"/>
      <c r="H52">
        <v>550</v>
      </c>
      <c r="I52">
        <v>1000</v>
      </c>
      <c r="J52"/>
      <c r="K52" t="inlineStr">
        <is>
          <t>省考</t>
        </is>
      </c>
      <c r="L52"/>
      <c r="M52" t="inlineStr">
        <is>
          <t>华图网校旗舰店</t>
        </is>
      </c>
      <c r="N52">
        <v>161000</v>
      </c>
      <c r="O52">
        <v>3.91</v>
      </c>
      <c r="P52">
        <v>90000</v>
      </c>
      <c r="Q52" t="inlineStr">
        <is>
          <t>68abbf4cfba5440001af2c8d</t>
        </is>
      </c>
      <c r="R52" t="inlineStr">
        <is>
          <t>🚫重复</t>
        </is>
      </c>
      <c r="S52" t="inlineStr">
        <is>
          <t>考公资料</t>
        </is>
      </c>
      <c r="T52" t="inlineStr">
        <is>
          <t>0.01</t>
        </is>
      </c>
      <c r="U52" s="3">
        <v>46112.78107638889</v>
      </c>
      <c r="V52"/>
      <c r="W52" s="3">
        <v>46024</v>
      </c>
      <c r="X52" t="inlineStr">
        <is>
          <t>01</t>
        </is>
      </c>
      <c r="Y52" t="inlineStr">
        <is>
          <t>2026-Q1</t>
        </is>
      </c>
    </row>
    <row r="53" ht="38.25" customHeight="1">
      <c r="A53" t="inlineStr">
        <is>
          <t>26省考公务员岗位表【电子版秒发】</t>
        </is>
      </c>
      <c r="B53" t="inlineStr">
        <is>
          <t>__upload_recv7a0I3ZpDSA.jpg</t>
        </is>
      </c>
      <c r="C53" s="2" t="str">
        <f>=HYPERLINK("https://xhslink.com/m/9R2xfSHBwry", "https://xhslink.com/m/9R2xfSHBwry")</f>
        <v>https://xhslink.com/m/9R2xfSHBwry</v>
      </c>
      <c r="D53"/>
      <c r="E53">
        <v>1614</v>
      </c>
      <c r="F53">
        <v>2.68</v>
      </c>
      <c r="G53"/>
      <c r="H53">
        <v>700</v>
      </c>
      <c r="I53">
        <v>1000</v>
      </c>
      <c r="J53"/>
      <c r="K53" t="inlineStr">
        <is>
          <t>省考</t>
        </is>
      </c>
      <c r="L53" t="inlineStr">
        <is>
          <t>🔥低粉爆款</t>
        </is>
      </c>
      <c r="M53" t="inlineStr">
        <is>
          <t>木木素材的店</t>
        </is>
      </c>
      <c r="N53">
        <v>240</v>
      </c>
      <c r="O53">
        <v>4.45</v>
      </c>
      <c r="P53">
        <v>2908</v>
      </c>
      <c r="Q53" t="inlineStr">
        <is>
          <t>6900b670c074c500015752c9</t>
        </is>
      </c>
      <c r="R53" t="inlineStr">
        <is>
          <t>🚫重复</t>
        </is>
      </c>
      <c r="S53" t="inlineStr">
        <is>
          <t>考公资料</t>
        </is>
      </c>
      <c r="T53" t="inlineStr">
        <is>
          <t>6.72</t>
        </is>
      </c>
      <c r="U53" s="3">
        <v>46112.78107638889</v>
      </c>
      <c r="V53"/>
      <c r="W53" s="3">
        <v>46024</v>
      </c>
      <c r="X53" t="inlineStr">
        <is>
          <t>01</t>
        </is>
      </c>
      <c r="Y53" t="inlineStr">
        <is>
          <t>2026-Q1</t>
        </is>
      </c>
    </row>
    <row r="54" ht="38.25" customHeight="1">
      <c r="A54" t="inlineStr">
        <is>
          <t>人事网公务员省考国考事业单位报名照片审核ps图片处理证件照上传</t>
        </is>
      </c>
      <c r="B54" t="inlineStr">
        <is>
          <t>__upload_recv7a0I3Z49I0.jpg</t>
        </is>
      </c>
      <c r="C54" s="2" t="str">
        <f>=HYPERLINK("https://xhslink.com/m/9sV4ZByZarZ", "https://xhslink.com/m/9sV4ZByZarZ")</f>
        <v>https://xhslink.com/m/9sV4ZByZarZ</v>
      </c>
      <c r="D54"/>
      <c r="E54">
        <v>1615</v>
      </c>
      <c r="F54">
        <v>10</v>
      </c>
      <c r="G54"/>
      <c r="H54">
        <v>300</v>
      </c>
      <c r="I54">
        <v>1000</v>
      </c>
      <c r="J54"/>
      <c r="K54" t="inlineStr">
        <is>
          <t>省考</t>
        </is>
      </c>
      <c r="L54"/>
      <c r="M54" t="inlineStr">
        <is>
          <t>美美修图的店</t>
        </is>
      </c>
      <c r="N54">
        <v>5135</v>
      </c>
      <c r="O54">
        <v>4.56</v>
      </c>
      <c r="P54">
        <v>31000</v>
      </c>
      <c r="Q54" t="inlineStr">
        <is>
          <t>681577da7ccb230001ab0dca</t>
        </is>
      </c>
      <c r="R54" t="inlineStr">
        <is>
          <t>🚫重复</t>
        </is>
      </c>
      <c r="S54" t="inlineStr">
        <is>
          <t>设计素材</t>
        </is>
      </c>
      <c r="T54" t="inlineStr">
        <is>
          <t>0.31</t>
        </is>
      </c>
      <c r="U54" s="3">
        <v>46112.78107638889</v>
      </c>
      <c r="V54"/>
      <c r="W54" s="3">
        <v>46024</v>
      </c>
      <c r="X54" t="inlineStr">
        <is>
          <t>01</t>
        </is>
      </c>
      <c r="Y54" t="inlineStr">
        <is>
          <t>2026-Q1</t>
        </is>
      </c>
    </row>
    <row r="55" ht="38.25" customHeight="1">
      <c r="A55" t="inlineStr">
        <is>
          <t>华图 · 26江苏省考  “苏”通抢分大礼包  行测申论 江苏时政</t>
        </is>
      </c>
      <c r="B55" t="inlineStr">
        <is>
          <t>__upload_recv7a0I3ZrDov.jpg</t>
        </is>
      </c>
      <c r="C55" s="2" t="str">
        <f>=HYPERLINK("https://xhslink.com/m/2dExqi5hx5y", "https://xhslink.com/m/2dExqi5hx5y")</f>
        <v>https://xhslink.com/m/2dExqi5hx5y</v>
      </c>
      <c r="D55"/>
      <c r="E55">
        <v>1554</v>
      </c>
      <c r="F55">
        <v>0.9</v>
      </c>
      <c r="G55"/>
      <c r="H55">
        <v>850</v>
      </c>
      <c r="I55">
        <v>1000</v>
      </c>
      <c r="J55"/>
      <c r="K55" t="inlineStr">
        <is>
          <t>省考</t>
        </is>
      </c>
      <c r="L55"/>
      <c r="M55" t="inlineStr">
        <is>
          <t>华图网校旗舰店</t>
        </is>
      </c>
      <c r="N55">
        <v>161000</v>
      </c>
      <c r="O55">
        <v>3.91</v>
      </c>
      <c r="P55">
        <v>90000</v>
      </c>
      <c r="Q55" t="inlineStr">
        <is>
          <t>68c3e9d4c33f6100013dfd95</t>
        </is>
      </c>
      <c r="R55" t="inlineStr">
        <is>
          <t>🚫重复</t>
        </is>
      </c>
      <c r="S55" t="inlineStr">
        <is>
          <t>考公资料</t>
        </is>
      </c>
      <c r="T55" t="inlineStr">
        <is>
          <t>0.01</t>
        </is>
      </c>
      <c r="U55" s="3">
        <v>46112.78107638889</v>
      </c>
      <c r="V55"/>
      <c r="W55" s="3">
        <v>46024</v>
      </c>
      <c r="X55" t="inlineStr">
        <is>
          <t>01</t>
        </is>
      </c>
      <c r="Y55" t="inlineStr">
        <is>
          <t>2026-Q1</t>
        </is>
      </c>
    </row>
    <row r="56" ht="38.25" customHeight="1">
      <c r="A56" t="inlineStr">
        <is>
          <t>2025四川省时政知识点/时政习题/四川省情知识/四川省情习题</t>
        </is>
      </c>
      <c r="B56" t="inlineStr">
        <is>
          <t>__upload_recv7a0I3ZE7sL.jpg</t>
        </is>
      </c>
      <c r="C56" s="2" t="str">
        <f>=HYPERLINK("https://xhslink.com/m/pSwpvzxotF", "https://xhslink.com/m/pSwpvzxotF")</f>
        <v>https://xhslink.com/m/pSwpvzxotF</v>
      </c>
      <c r="D56"/>
      <c r="E56">
        <v>1395</v>
      </c>
      <c r="F56">
        <v>3.9</v>
      </c>
      <c r="G56"/>
      <c r="H56">
        <v>750</v>
      </c>
      <c r="I56">
        <v>1000</v>
      </c>
      <c r="J56"/>
      <c r="K56" t="inlineStr">
        <is>
          <t>省考</t>
        </is>
      </c>
      <c r="L56" t="inlineStr">
        <is>
          <t>🔥低粉爆款</t>
        </is>
      </c>
      <c r="M56" t="inlineStr">
        <is>
          <t>月月希的店</t>
        </is>
      </c>
      <c r="N56">
        <v>293</v>
      </c>
      <c r="O56">
        <v>4.52</v>
      </c>
      <c r="P56">
        <v>5509</v>
      </c>
      <c r="Q56" t="inlineStr">
        <is>
          <t>68f90204c192ac0001a27efc</t>
        </is>
      </c>
      <c r="R56" t="inlineStr">
        <is>
          <t>🚫重复</t>
        </is>
      </c>
      <c r="S56" t="inlineStr">
        <is>
          <t>无匹配类别</t>
        </is>
      </c>
      <c r="T56" t="inlineStr">
        <is>
          <t>4.76</t>
        </is>
      </c>
      <c r="U56" s="3">
        <v>46112.78107638889</v>
      </c>
      <c r="V56"/>
      <c r="W56" s="3">
        <v>46024</v>
      </c>
      <c r="X56" t="inlineStr">
        <is>
          <t>01</t>
        </is>
      </c>
      <c r="Y56" t="inlineStr">
        <is>
          <t>2026-Q1</t>
        </is>
      </c>
    </row>
    <row r="57" ht="38.25" customHeight="1">
      <c r="A57" t="inlineStr">
        <is>
          <t>2025年各省时政|全国省情省况|时政热点工作报告|国考省考事业编</t>
        </is>
      </c>
      <c r="B57" t="inlineStr">
        <is>
          <t>__upload_recv7a0I3ZAYy8.jpg</t>
        </is>
      </c>
      <c r="C57" s="2" t="str">
        <f>=HYPERLINK("https://xhslink.com/m/3Vo3CFFUuPd", "https://xhslink.com/m/3Vo3CFFUuPd")</f>
        <v>https://xhslink.com/m/3Vo3CFFUuPd</v>
      </c>
      <c r="D57"/>
      <c r="E57">
        <v>1054</v>
      </c>
      <c r="F57">
        <v>5.99</v>
      </c>
      <c r="G57"/>
      <c r="H57">
        <v>350</v>
      </c>
      <c r="I57">
        <v>1000</v>
      </c>
      <c r="J57"/>
      <c r="K57" t="inlineStr">
        <is>
          <t>省考</t>
        </is>
      </c>
      <c r="L57"/>
      <c r="M57" t="inlineStr">
        <is>
          <t>Lucky学姐公考情报局的店</t>
        </is>
      </c>
      <c r="N57">
        <v>615</v>
      </c>
      <c r="O57">
        <v>4.51</v>
      </c>
      <c r="P57">
        <v>1763</v>
      </c>
      <c r="Q57" t="inlineStr">
        <is>
          <t>68cd0f9634db2a0001747a8f</t>
        </is>
      </c>
      <c r="R57" t="inlineStr">
        <is>
          <t>🚫重复</t>
        </is>
      </c>
      <c r="S57" t="inlineStr">
        <is>
          <t>考公资料</t>
        </is>
      </c>
      <c r="T57" t="inlineStr">
        <is>
          <t>1.71</t>
        </is>
      </c>
      <c r="U57" s="3">
        <v>46112.78107638889</v>
      </c>
      <c r="V57"/>
      <c r="W57" s="3">
        <v>46024</v>
      </c>
      <c r="X57" t="inlineStr">
        <is>
          <t>01</t>
        </is>
      </c>
      <c r="Y57" t="inlineStr">
        <is>
          <t>2026-Q1</t>
        </is>
      </c>
    </row>
    <row r="58" ht="38.25" customHeight="1">
      <c r="A58" t="inlineStr">
        <is>
          <t>超格26政理论早自习笔记（已完结不含刷题 考公不是考研的！）</t>
        </is>
      </c>
      <c r="B58" t="inlineStr">
        <is>
          <t>__upload_recv7a0I3Z6XdE.jpg</t>
        </is>
      </c>
      <c r="C58" s="2" t="str">
        <f>=HYPERLINK("https://xhslink.com/m/5OFVSEUakrU", "https://xhslink.com/m/5OFVSEUakrU")</f>
        <v>https://xhslink.com/m/5OFVSEUakrU</v>
      </c>
      <c r="D58"/>
      <c r="E58">
        <v>16000</v>
      </c>
      <c r="F58">
        <v>1.99</v>
      </c>
      <c r="G58"/>
      <c r="H58">
        <v>1000</v>
      </c>
      <c r="I58">
        <v>10000</v>
      </c>
      <c r="J58"/>
      <c r="K58" t="inlineStr">
        <is>
          <t>省考</t>
        </is>
      </c>
      <c r="L58"/>
      <c r="M58" t="inlineStr">
        <is>
          <t>洋芋不做小困包（超前完成任务版）的店</t>
        </is>
      </c>
      <c r="N58">
        <v>60000</v>
      </c>
      <c r="O58">
        <v>4.53</v>
      </c>
      <c r="P58">
        <v>25000</v>
      </c>
      <c r="Q58" t="inlineStr">
        <is>
          <t>68ee1301002e7e0001b6ddfe</t>
        </is>
      </c>
      <c r="R58" t="inlineStr">
        <is>
          <t>🚫重复</t>
        </is>
      </c>
      <c r="S58" t="inlineStr">
        <is>
          <t>考公资料</t>
        </is>
      </c>
      <c r="T58" t="inlineStr">
        <is>
          <t>0.27</t>
        </is>
      </c>
      <c r="U58" s="3">
        <v>46112.78107638889</v>
      </c>
      <c r="V58"/>
      <c r="W58" s="3">
        <v>46024</v>
      </c>
      <c r="X58" t="inlineStr">
        <is>
          <t>01</t>
        </is>
      </c>
      <c r="Y58" t="inlineStr">
        <is>
          <t>2026-Q1</t>
        </is>
      </c>
    </row>
    <row r="59" ht="38.25" customHeight="1">
      <c r="A59" t="inlineStr">
        <is>
          <t>华图 · 高频成语+实词辨析汇总 高频成语800词 实词辨析1500词</t>
        </is>
      </c>
      <c r="B59" t="inlineStr">
        <is>
          <t>__upload_recv7a0I3ZUYxI.jpg</t>
        </is>
      </c>
      <c r="C59" s="2" t="str">
        <f>=HYPERLINK("https://xhslink.com/m/9Jq9NjizA5", "https://xhslink.com/m/9Jq9NjizA5")</f>
        <v>https://xhslink.com/m/9Jq9NjizA5</v>
      </c>
      <c r="D59"/>
      <c r="E59">
        <v>14000</v>
      </c>
      <c r="F59">
        <v>0.1</v>
      </c>
      <c r="G59"/>
      <c r="H59">
        <v>500</v>
      </c>
      <c r="I59">
        <v>1000</v>
      </c>
      <c r="J59"/>
      <c r="K59" t="inlineStr">
        <is>
          <t>省考</t>
        </is>
      </c>
      <c r="L59"/>
      <c r="M59" t="inlineStr">
        <is>
          <t>华图网校旗舰店</t>
        </is>
      </c>
      <c r="N59">
        <v>161000</v>
      </c>
      <c r="O59">
        <v>3.91</v>
      </c>
      <c r="P59">
        <v>90000</v>
      </c>
      <c r="Q59" t="inlineStr">
        <is>
          <t>68c8c81c94797600014e9a2a</t>
        </is>
      </c>
      <c r="R59" t="inlineStr">
        <is>
          <t>🚫重复</t>
        </is>
      </c>
      <c r="S59" t="inlineStr">
        <is>
          <t>考公资料</t>
        </is>
      </c>
      <c r="T59" t="inlineStr">
        <is>
          <t>0.09</t>
        </is>
      </c>
      <c r="U59" s="3">
        <v>46112.78107638889</v>
      </c>
      <c r="V59"/>
      <c r="W59" s="3">
        <v>46024</v>
      </c>
      <c r="X59" t="inlineStr">
        <is>
          <t>01</t>
        </is>
      </c>
      <c r="Y59" t="inlineStr">
        <is>
          <t>2026-Q1</t>
        </is>
      </c>
    </row>
    <row r="60" ht="38.25" customHeight="1">
      <c r="A60" t="inlineStr">
        <is>
          <t>纯福利！26超格六合一【资料、图推、判断、常识、政论】思维导图</t>
        </is>
      </c>
      <c r="B60" t="inlineStr">
        <is>
          <t>__upload_recv7a0I3Z3ZPZ.jpg</t>
        </is>
      </c>
      <c r="C60" s="2" t="str">
        <f>=HYPERLINK("https://xhslink.com/m/72KUHGn8pWS", "https://xhslink.com/m/72KUHGn8pWS")</f>
        <v>https://xhslink.com/m/72KUHGn8pWS</v>
      </c>
      <c r="D60"/>
      <c r="E60">
        <v>6265</v>
      </c>
      <c r="F60">
        <v>0.99</v>
      </c>
      <c r="G60"/>
      <c r="H60">
        <v>650</v>
      </c>
      <c r="I60">
        <v>2000</v>
      </c>
      <c r="J60"/>
      <c r="K60" t="inlineStr">
        <is>
          <t>省考</t>
        </is>
      </c>
      <c r="L60"/>
      <c r="M60" t="inlineStr">
        <is>
          <t>柯南不打小怪兽的店</t>
        </is>
      </c>
      <c r="N60">
        <v>9606</v>
      </c>
      <c r="O60">
        <v>4.47</v>
      </c>
      <c r="P60">
        <v>8655</v>
      </c>
      <c r="Q60" t="inlineStr">
        <is>
          <t>6888fa5f071cdc00014a3222</t>
        </is>
      </c>
      <c r="R60"/>
      <c r="S60" t="inlineStr">
        <is>
          <t>考公资料</t>
        </is>
      </c>
      <c r="T60" t="inlineStr">
        <is>
          <t>0.65</t>
        </is>
      </c>
      <c r="U60" s="3">
        <v>46112.78107638889</v>
      </c>
      <c r="V60"/>
      <c r="W60" s="3">
        <v>46024</v>
      </c>
      <c r="X60" t="inlineStr">
        <is>
          <t>01</t>
        </is>
      </c>
      <c r="Y60" t="inlineStr">
        <is>
          <t>2026-Q1</t>
        </is>
      </c>
    </row>
    <row r="61" ht="38.25" customHeight="1">
      <c r="A61" t="inlineStr">
        <is>
          <t>2026工会工作者笔试考试题库资料工会知识公基时政职测笔记考点</t>
        </is>
      </c>
      <c r="B61" t="inlineStr">
        <is>
          <t>__upload_recv7a0I3ZSyyJ.jpg</t>
        </is>
      </c>
      <c r="C61" s="2" t="str">
        <f>=HYPERLINK("https://xhslink.com/m/4Jx9YJIb9dC", "https://xhslink.com/m/4Jx9YJIb9dC")</f>
        <v>https://xhslink.com/m/4Jx9YJIb9dC</v>
      </c>
      <c r="D61"/>
      <c r="E61">
        <v>4638</v>
      </c>
      <c r="F61">
        <v>26.88</v>
      </c>
      <c r="G61"/>
      <c r="H61">
        <v>350</v>
      </c>
      <c r="I61">
        <v>1000</v>
      </c>
      <c r="J61"/>
      <c r="K61" t="inlineStr">
        <is>
          <t>省考</t>
        </is>
      </c>
      <c r="L61"/>
      <c r="M61" t="inlineStr">
        <is>
          <t>乐X峰题库I星途的店</t>
        </is>
      </c>
      <c r="N61">
        <v>12000</v>
      </c>
      <c r="O61">
        <v>4.52</v>
      </c>
      <c r="P61">
        <v>76000</v>
      </c>
      <c r="Q61" t="inlineStr">
        <is>
          <t>689a118c015b44000119c5b8</t>
        </is>
      </c>
      <c r="R61" t="inlineStr">
        <is>
          <t>🚫重复</t>
        </is>
      </c>
      <c r="S61" t="inlineStr">
        <is>
          <t>无匹配类别</t>
        </is>
      </c>
      <c r="T61" t="inlineStr">
        <is>
          <t>0.39</t>
        </is>
      </c>
      <c r="U61" s="3">
        <v>46112.78107638889</v>
      </c>
      <c r="V61"/>
      <c r="W61" s="3">
        <v>46024</v>
      </c>
      <c r="X61" t="inlineStr">
        <is>
          <t>01</t>
        </is>
      </c>
      <c r="Y61" t="inlineStr">
        <is>
          <t>2026-Q1</t>
        </is>
      </c>
    </row>
    <row r="62" ht="38.25" customHeight="1">
      <c r="A62" t="inlineStr">
        <is>
          <t>申论素材积累整理—自用背诵记忆版</t>
        </is>
      </c>
      <c r="B62" t="inlineStr">
        <is>
          <t>__upload_recv7a0I3ZLrn1.jpg</t>
        </is>
      </c>
      <c r="C62" s="2" t="str">
        <f>=HYPERLINK("https://xhslink.com/m/3lwfIPqYpXn", "https://xhslink.com/m/3lwfIPqYpXn")</f>
        <v>https://xhslink.com/m/3lwfIPqYpXn</v>
      </c>
      <c r="D62"/>
      <c r="E62">
        <v>4182</v>
      </c>
      <c r="F62">
        <v>4.99</v>
      </c>
      <c r="G62"/>
      <c r="H62">
        <v>1000</v>
      </c>
      <c r="I62">
        <v>3000</v>
      </c>
      <c r="J62"/>
      <c r="K62" t="inlineStr">
        <is>
          <t>省考</t>
        </is>
      </c>
      <c r="L62"/>
      <c r="M62" t="inlineStr">
        <is>
          <t>每天都要元气满满耶的店</t>
        </is>
      </c>
      <c r="N62">
        <v>7435</v>
      </c>
      <c r="O62">
        <v>4.53</v>
      </c>
      <c r="P62">
        <v>5554</v>
      </c>
      <c r="Q62" t="inlineStr">
        <is>
          <t>68a9423162c1ee0001cef1c9</t>
        </is>
      </c>
      <c r="R62"/>
      <c r="S62" t="inlineStr">
        <is>
          <t>考公资料</t>
        </is>
      </c>
      <c r="T62" t="inlineStr">
        <is>
          <t>0.56</t>
        </is>
      </c>
      <c r="U62" s="3">
        <v>46112.78107638889</v>
      </c>
      <c r="V62"/>
      <c r="W62" s="3">
        <v>46024</v>
      </c>
      <c r="X62" t="inlineStr">
        <is>
          <t>01</t>
        </is>
      </c>
      <c r="Y62" t="inlineStr">
        <is>
          <t>2026-Q1</t>
        </is>
      </c>
    </row>
    <row r="63" ht="38.25" customHeight="1">
      <c r="A63" t="inlineStr">
        <is>
          <t>菜头26广东申论改革体系课（适合申论1～4）+电子资料包</t>
        </is>
      </c>
      <c r="B63" t="inlineStr">
        <is>
          <t>__upload_recv7a0I3ZksCa.jpg</t>
        </is>
      </c>
      <c r="C63" s="2" t="str">
        <f>=HYPERLINK("https://xhslink.com/m/33f4GOLvMBN", "https://xhslink.com/m/33f4GOLvMBN")</f>
        <v>https://xhslink.com/m/33f4GOLvMBN</v>
      </c>
      <c r="D63"/>
      <c r="E63">
        <v>4205</v>
      </c>
      <c r="F63">
        <v>0.1</v>
      </c>
      <c r="G63"/>
      <c r="H63">
        <v>400</v>
      </c>
      <c r="I63">
        <v>1000</v>
      </c>
      <c r="J63"/>
      <c r="K63" t="inlineStr">
        <is>
          <t>省考</t>
        </is>
      </c>
      <c r="L63"/>
      <c r="M63" t="inlineStr">
        <is>
          <t>菜头公考的店</t>
        </is>
      </c>
      <c r="N63">
        <v>11000</v>
      </c>
      <c r="O63">
        <v>4.33</v>
      </c>
      <c r="P63">
        <v>4533</v>
      </c>
      <c r="Q63" t="inlineStr">
        <is>
          <t>66e53e474288a10001a2f96b</t>
        </is>
      </c>
      <c r="R63"/>
      <c r="S63" t="inlineStr">
        <is>
          <t>考公资料</t>
        </is>
      </c>
      <c r="T63" t="inlineStr">
        <is>
          <t>0.38</t>
        </is>
      </c>
      <c r="U63" s="3">
        <v>46112.78107638889</v>
      </c>
      <c r="V63"/>
      <c r="W63" s="3">
        <v>46024</v>
      </c>
      <c r="X63" t="inlineStr">
        <is>
          <t>01</t>
        </is>
      </c>
      <c r="Y63" t="inlineStr">
        <is>
          <t>2026-Q1</t>
        </is>
      </c>
    </row>
    <row r="64" ht="38.25" customHeight="1">
      <c r="A64" t="inlineStr">
        <is>
          <t>26年上四川事业单位资料包公基综测笔记考点真题电子版资料</t>
        </is>
      </c>
      <c r="B64" t="inlineStr">
        <is>
          <t>__upload_recv7a0I3Zxb7T.jpg</t>
        </is>
      </c>
      <c r="C64" s="2" t="str">
        <f>=HYPERLINK("https://xhslink.com/m/OPbgPhMFor", "https://xhslink.com/m/OPbgPhMFor")</f>
        <v>https://xhslink.com/m/OPbgPhMFor</v>
      </c>
      <c r="D64"/>
      <c r="E64">
        <v>2787</v>
      </c>
      <c r="F64">
        <v>8.88</v>
      </c>
      <c r="G64"/>
      <c r="H64">
        <v>300</v>
      </c>
      <c r="I64">
        <v>2000</v>
      </c>
      <c r="J64"/>
      <c r="K64" t="inlineStr">
        <is>
          <t>省考</t>
        </is>
      </c>
      <c r="L64" t="inlineStr">
        <is>
          <t>🔥低粉爆款</t>
        </is>
      </c>
      <c r="M64" t="inlineStr">
        <is>
          <t>悠悠可爱的店</t>
        </is>
      </c>
      <c r="N64">
        <v>434</v>
      </c>
      <c r="O64">
        <v>4.56</v>
      </c>
      <c r="P64">
        <v>4187</v>
      </c>
      <c r="Q64" t="inlineStr">
        <is>
          <t>68d3480e3339ff00019ca816</t>
        </is>
      </c>
      <c r="R64" t="inlineStr">
        <is>
          <t>🚫重复</t>
        </is>
      </c>
      <c r="S64" t="inlineStr">
        <is>
          <t>考公资料</t>
        </is>
      </c>
      <c r="T64" t="inlineStr">
        <is>
          <t>6.42</t>
        </is>
      </c>
      <c r="U64" s="3">
        <v>46112.78107638889</v>
      </c>
      <c r="V64"/>
      <c r="W64" s="3">
        <v>46024</v>
      </c>
      <c r="X64" t="inlineStr">
        <is>
          <t>01</t>
        </is>
      </c>
      <c r="Y64" t="inlineStr">
        <is>
          <t>2026-Q1</t>
        </is>
      </c>
    </row>
    <row r="65" ht="38.25" customHeight="1">
      <c r="A65" t="inlineStr">
        <is>
          <t>袁东2026申论领跑营专项考前冲刺班（电子版讲义）</t>
        </is>
      </c>
      <c r="B65" t="inlineStr">
        <is>
          <t>__upload_recv7a0I3ZyYf5.jpg</t>
        </is>
      </c>
      <c r="C65" s="2" t="str">
        <f>=HYPERLINK("https://xhslink.com/m/7LTsxV8MpVk", "https://xhslink.com/m/7LTsxV8MpVk")</f>
        <v>https://xhslink.com/m/7LTsxV8MpVk</v>
      </c>
      <c r="D65"/>
      <c r="E65">
        <v>2786</v>
      </c>
      <c r="F65">
        <v>69</v>
      </c>
      <c r="G65"/>
      <c r="H65">
        <v>600</v>
      </c>
      <c r="I65">
        <v>2000</v>
      </c>
      <c r="J65"/>
      <c r="K65" t="inlineStr">
        <is>
          <t>省考</t>
        </is>
      </c>
      <c r="L65"/>
      <c r="M65" t="inlineStr">
        <is>
          <t>A初心公考的店</t>
        </is>
      </c>
      <c r="N65">
        <v>4834</v>
      </c>
      <c r="O65">
        <v>4.52</v>
      </c>
      <c r="P65">
        <v>10000</v>
      </c>
      <c r="Q65" t="inlineStr">
        <is>
          <t>68f4cb6f0dfa750001b969fe</t>
        </is>
      </c>
      <c r="R65" t="inlineStr">
        <is>
          <t>🚫重复</t>
        </is>
      </c>
      <c r="S65" t="inlineStr">
        <is>
          <t>考公资料</t>
        </is>
      </c>
      <c r="T65" t="inlineStr">
        <is>
          <t>0.58</t>
        </is>
      </c>
      <c r="U65" s="3">
        <v>46112.78107638889</v>
      </c>
      <c r="V65"/>
      <c r="W65" s="3">
        <v>46024</v>
      </c>
      <c r="X65" t="inlineStr">
        <is>
          <t>01</t>
        </is>
      </c>
      <c r="Y65" t="inlineStr">
        <is>
          <t>2026-Q1</t>
        </is>
      </c>
    </row>
    <row r="66" ht="38.25" customHeight="1">
      <c r="A66" t="inlineStr">
        <is>
          <t>26年三桶油（中石化，中石油，中海油）笔试真题与备考资料</t>
        </is>
      </c>
      <c r="B66" t="inlineStr">
        <is>
          <t>__upload_recv7a0I3Zkjtt.jpg</t>
        </is>
      </c>
      <c r="C66" s="2" t="str">
        <f>=HYPERLINK("https://xhslink.com/m/8bTXLyIOrXk", "https://xhslink.com/m/8bTXLyIOrXk")</f>
        <v>https://xhslink.com/m/8bTXLyIOrXk</v>
      </c>
      <c r="D66"/>
      <c r="E66">
        <v>2322</v>
      </c>
      <c r="F66">
        <v>2.9</v>
      </c>
      <c r="G66"/>
      <c r="H66">
        <v>750</v>
      </c>
      <c r="I66">
        <v>2000</v>
      </c>
      <c r="J66"/>
      <c r="K66" t="inlineStr">
        <is>
          <t>省考</t>
        </is>
      </c>
      <c r="L66"/>
      <c r="M66" t="inlineStr">
        <is>
          <t>懒洋洋11的店</t>
        </is>
      </c>
      <c r="N66">
        <v>3259</v>
      </c>
      <c r="O66">
        <v>4.51</v>
      </c>
      <c r="P66">
        <v>16000</v>
      </c>
      <c r="Q66" t="inlineStr">
        <is>
          <t>68e4d2203f37a900012d0470</t>
        </is>
      </c>
      <c r="R66" t="inlineStr">
        <is>
          <t>🚫重复</t>
        </is>
      </c>
      <c r="S66" t="inlineStr">
        <is>
          <t>求职面试/职场</t>
        </is>
      </c>
      <c r="T66" t="inlineStr">
        <is>
          <t>0.71</t>
        </is>
      </c>
      <c r="U66" s="3">
        <v>46112.78107638889</v>
      </c>
      <c r="V66"/>
      <c r="W66" s="3">
        <v>46024</v>
      </c>
      <c r="X66" t="inlineStr">
        <is>
          <t>01</t>
        </is>
      </c>
      <c r="Y66" t="inlineStr">
        <is>
          <t>2026-Q1</t>
        </is>
      </c>
    </row>
    <row r="67" ht="38.25" customHeight="1">
      <c r="A67" t="inlineStr">
        <is>
          <t>2026公安辅警招聘考试题库软件APP公安基础知识行测法律时政真题</t>
        </is>
      </c>
      <c r="B67" t="inlineStr">
        <is>
          <t>__upload_recv7a0I3ZNdiy.jpg</t>
        </is>
      </c>
      <c r="C67" s="2" t="str">
        <f>=HYPERLINK("https://xhslink.com/m/2BH9dOZHHdj", "https://xhslink.com/m/2BH9dOZHHdj")</f>
        <v>https://xhslink.com/m/2BH9dOZHHdj</v>
      </c>
      <c r="D67"/>
      <c r="E67">
        <v>2323</v>
      </c>
      <c r="F67">
        <v>16.8</v>
      </c>
      <c r="G67"/>
      <c r="H67">
        <v>300</v>
      </c>
      <c r="I67">
        <v>1000</v>
      </c>
      <c r="J67"/>
      <c r="K67" t="inlineStr">
        <is>
          <t>省考</t>
        </is>
      </c>
      <c r="L67"/>
      <c r="M67" t="inlineStr">
        <is>
          <t>果果study的店</t>
        </is>
      </c>
      <c r="N67">
        <v>883</v>
      </c>
      <c r="O67">
        <v>4.57</v>
      </c>
      <c r="P67">
        <v>12000</v>
      </c>
      <c r="Q67" t="inlineStr">
        <is>
          <t>68c6f1bffb0cef0001187987</t>
        </is>
      </c>
      <c r="R67" t="inlineStr">
        <is>
          <t>🚫重复</t>
        </is>
      </c>
      <c r="S67" t="inlineStr">
        <is>
          <t>软件应用</t>
        </is>
      </c>
      <c r="T67" t="inlineStr">
        <is>
          <t>2.63</t>
        </is>
      </c>
      <c r="U67" s="3">
        <v>46112.78107638889</v>
      </c>
      <c r="V67"/>
      <c r="W67" s="3">
        <v>46024</v>
      </c>
      <c r="X67" t="inlineStr">
        <is>
          <t>01</t>
        </is>
      </c>
      <c r="Y67" t="inlineStr">
        <is>
          <t>2026-Q1</t>
        </is>
      </c>
    </row>
    <row r="68" ht="38.25" customHeight="1">
      <c r="A68" t="inlineStr">
        <is>
          <t>26髙z资料分析題型+公式默写电子版pdf+答案版</t>
        </is>
      </c>
      <c r="B68" t="inlineStr">
        <is>
          <t>__upload_recv7a0I3Z1zpv.jpg</t>
        </is>
      </c>
      <c r="C68" s="2" t="str">
        <f>=HYPERLINK("https://xhslink.com/m/81CmxNFgU5v", "https://xhslink.com/m/81CmxNFgU5v")</f>
        <v>https://xhslink.com/m/81CmxNFgU5v</v>
      </c>
      <c r="D68"/>
      <c r="E68">
        <v>1616</v>
      </c>
      <c r="F68">
        <v>4.99</v>
      </c>
      <c r="G68"/>
      <c r="H68">
        <v>400</v>
      </c>
      <c r="I68">
        <v>1000</v>
      </c>
      <c r="J68"/>
      <c r="K68" t="inlineStr">
        <is>
          <t>省考</t>
        </is>
      </c>
      <c r="L68" t="inlineStr">
        <is>
          <t>🔥低粉爆款</t>
        </is>
      </c>
      <c r="M68" t="inlineStr">
        <is>
          <t>书小书冲鸭的店</t>
        </is>
      </c>
      <c r="N68">
        <v>88</v>
      </c>
      <c r="O68">
        <v>4.47</v>
      </c>
      <c r="P68">
        <v>1870</v>
      </c>
      <c r="Q68" t="inlineStr">
        <is>
          <t>68d2c2d7a813a30001cccde3</t>
        </is>
      </c>
      <c r="R68"/>
      <c r="S68" t="inlineStr">
        <is>
          <t>考公资料</t>
        </is>
      </c>
      <c r="T68" t="inlineStr">
        <is>
          <t>18.36</t>
        </is>
      </c>
      <c r="U68" s="3">
        <v>46112.78107638889</v>
      </c>
      <c r="V68"/>
      <c r="W68" s="3">
        <v>46024</v>
      </c>
      <c r="X68" t="inlineStr">
        <is>
          <t>01</t>
        </is>
      </c>
      <c r="Y68" t="inlineStr">
        <is>
          <t>2026-Q1</t>
        </is>
      </c>
    </row>
    <row r="69" ht="38.25" customHeight="1">
      <c r="A69" t="inlineStr">
        <is>
          <t>985四六级督学服务</t>
        </is>
      </c>
      <c r="B69" t="inlineStr">
        <is>
          <t>__upload_recv7a0I3Z4Hk5.jpg</t>
        </is>
      </c>
      <c r="C69" s="2" t="str">
        <f>=HYPERLINK("https://xhslink.com/m/7Fn6nX4UNts", "https://xhslink.com/m/7Fn6nX4UNts")</f>
        <v>https://xhslink.com/m/7Fn6nX4UNts</v>
      </c>
      <c r="D69"/>
      <c r="E69">
        <v>1545</v>
      </c>
      <c r="F69">
        <v>19.9</v>
      </c>
      <c r="G69"/>
      <c r="H69">
        <v>700</v>
      </c>
      <c r="I69">
        <v>1000</v>
      </c>
      <c r="J69"/>
      <c r="K69" t="inlineStr">
        <is>
          <t>省考</t>
        </is>
      </c>
      <c r="L69"/>
      <c r="M69" t="inlineStr">
        <is>
          <t>景欢Chimery的店</t>
        </is>
      </c>
      <c r="N69">
        <v>1109</v>
      </c>
      <c r="O69">
        <v>4.04</v>
      </c>
      <c r="P69">
        <v>1726</v>
      </c>
      <c r="Q69" t="inlineStr">
        <is>
          <t>68ff33d5ae1c170001124a08</t>
        </is>
      </c>
      <c r="R69"/>
      <c r="S69" t="inlineStr">
        <is>
          <t>英语资料</t>
        </is>
      </c>
      <c r="T69" t="inlineStr">
        <is>
          <t>1.39</t>
        </is>
      </c>
      <c r="U69" s="3">
        <v>46112.78107638889</v>
      </c>
      <c r="V69"/>
      <c r="W69" s="3">
        <v>46024</v>
      </c>
      <c r="X69" t="inlineStr">
        <is>
          <t>01</t>
        </is>
      </c>
      <c r="Y69" t="inlineStr">
        <is>
          <t>2026-Q1</t>
        </is>
      </c>
    </row>
    <row r="70" ht="38.25" customHeight="1">
      <c r="A70" t="inlineStr">
        <is>
          <t>2026超格套卷(行测+申论) 试卷+解析+点睛课程(更新至各省)秒发</t>
        </is>
      </c>
      <c r="B70" t="inlineStr">
        <is>
          <t>__upload_recv7a0I3Z28cR.jpg</t>
        </is>
      </c>
      <c r="C70" s="2" t="str">
        <f>=HYPERLINK("https://xhslink.com/m/8BOgbBjrbf5", "https://xhslink.com/m/8BOgbBjrbf5")</f>
        <v>https://xhslink.com/m/8BOgbBjrbf5</v>
      </c>
      <c r="D70"/>
      <c r="E70">
        <v>1380</v>
      </c>
      <c r="F70">
        <v>3</v>
      </c>
      <c r="G70"/>
      <c r="H70">
        <v>900</v>
      </c>
      <c r="I70">
        <v>1000</v>
      </c>
      <c r="J70"/>
      <c r="K70" t="inlineStr">
        <is>
          <t>省考</t>
        </is>
      </c>
      <c r="L70"/>
      <c r="M70" t="inlineStr">
        <is>
          <t>爱去玩的碗碗的店</t>
        </is>
      </c>
      <c r="N70">
        <v>937</v>
      </c>
      <c r="O70">
        <v>4.41</v>
      </c>
      <c r="P70">
        <v>7168</v>
      </c>
      <c r="Q70" t="inlineStr">
        <is>
          <t>68ff13b4ce94ee0001bff83c</t>
        </is>
      </c>
      <c r="R70" t="inlineStr">
        <is>
          <t>🚫重复</t>
        </is>
      </c>
      <c r="S70" t="inlineStr">
        <is>
          <t>考公资料</t>
        </is>
      </c>
      <c r="T70" t="inlineStr">
        <is>
          <t>1.47</t>
        </is>
      </c>
      <c r="U70" s="3">
        <v>46112.78107638889</v>
      </c>
      <c r="V70"/>
      <c r="W70" s="3">
        <v>46024</v>
      </c>
      <c r="X70" t="inlineStr">
        <is>
          <t>01</t>
        </is>
      </c>
      <c r="Y70" t="inlineStr">
        <is>
          <t>2026-Q1</t>
        </is>
      </c>
    </row>
    <row r="71" ht="38.25" customHeight="1">
      <c r="A71" t="inlineStr">
        <is>
          <t>2025山东时政知识点/山东时政习题/山东省情知识/山东省情习题</t>
        </is>
      </c>
      <c r="B71" t="inlineStr">
        <is>
          <t>__upload_recv7a0I3ZGlUE.jpg</t>
        </is>
      </c>
      <c r="C71" s="2" t="str">
        <f>=HYPERLINK("https://xhslink.com/m/13eI2JyEZiv", "https://xhslink.com/m/13eI2JyEZiv")</f>
        <v>https://xhslink.com/m/13eI2JyEZiv</v>
      </c>
      <c r="D71"/>
      <c r="E71">
        <v>1195</v>
      </c>
      <c r="F71">
        <v>6.9</v>
      </c>
      <c r="G71"/>
      <c r="H71">
        <v>900</v>
      </c>
      <c r="I71">
        <v>1000</v>
      </c>
      <c r="J71"/>
      <c r="K71" t="inlineStr">
        <is>
          <t>省考</t>
        </is>
      </c>
      <c r="L71"/>
      <c r="M71" t="inlineStr">
        <is>
          <t>月瑾瑾的店</t>
        </is>
      </c>
      <c r="N71">
        <v>634</v>
      </c>
      <c r="O71">
        <v>4.39</v>
      </c>
      <c r="P71">
        <v>2508</v>
      </c>
      <c r="Q71" t="inlineStr">
        <is>
          <t>68fdf483f5d04800014c09a6</t>
        </is>
      </c>
      <c r="R71" t="inlineStr">
        <is>
          <t>🚫重复</t>
        </is>
      </c>
      <c r="S71" t="inlineStr">
        <is>
          <t>无匹配类别</t>
        </is>
      </c>
      <c r="T71" t="inlineStr">
        <is>
          <t>1.88</t>
        </is>
      </c>
      <c r="U71" s="3">
        <v>46112.78107638889</v>
      </c>
      <c r="V71"/>
      <c r="W71" s="3">
        <v>46024</v>
      </c>
      <c r="X71" t="inlineStr">
        <is>
          <t>01</t>
        </is>
      </c>
      <c r="Y71" t="inlineStr">
        <is>
          <t>2026-Q1</t>
        </is>
      </c>
    </row>
    <row r="72" ht="38.25" customHeight="1">
      <c r="A72" t="inlineStr">
        <is>
          <t>辉柏嘉 · 考试涂卡笔答题卡学生考试期末考试涂卡铅笔2B</t>
        </is>
      </c>
      <c r="B72" t="inlineStr">
        <is>
          <t>__upload_recv7a0I3ZRNcE.jpg</t>
        </is>
      </c>
      <c r="C72" s="2" t="str">
        <f>=HYPERLINK("https://xhslink.com/m/47jRB51b1oJ", "https://xhslink.com/m/47jRB51b1oJ")</f>
        <v>https://xhslink.com/m/47jRB51b1oJ</v>
      </c>
      <c r="D72"/>
      <c r="E72">
        <v>10000</v>
      </c>
      <c r="F72">
        <v>9.9</v>
      </c>
      <c r="G72"/>
      <c r="H72">
        <v>1500</v>
      </c>
      <c r="I72">
        <v>3000</v>
      </c>
      <c r="J72"/>
      <c r="K72" t="inlineStr">
        <is>
          <t>省考</t>
        </is>
      </c>
      <c r="L72"/>
      <c r="M72" t="inlineStr">
        <is>
          <t>辉柏嘉Faber-Castell旗舰店</t>
        </is>
      </c>
      <c r="N72">
        <v>62000</v>
      </c>
      <c r="O72">
        <v>4.57</v>
      </c>
      <c r="P72">
        <v>23000</v>
      </c>
      <c r="Q72" t="inlineStr">
        <is>
          <t>6164f3f554fbad0001192d3e</t>
        </is>
      </c>
      <c r="R72"/>
      <c r="S72" t="inlineStr">
        <is>
          <t>中小学教辅/教材</t>
        </is>
      </c>
      <c r="T72" t="inlineStr">
        <is>
          <t>0.16</t>
        </is>
      </c>
      <c r="U72" s="3">
        <v>46112.78107638889</v>
      </c>
      <c r="V72"/>
      <c r="W72" s="3">
        <v>46024</v>
      </c>
      <c r="X72" t="inlineStr">
        <is>
          <t>01</t>
        </is>
      </c>
      <c r="Y72" t="inlineStr">
        <is>
          <t>2026-Q1</t>
        </is>
      </c>
    </row>
    <row r="73" ht="38.25" customHeight="1">
      <c r="A73" t="inlineStr">
        <is>
          <t>小米 · 巨能写中性笔速干耐用考试刷题笔办公签字商务学生高颜值用笔</t>
        </is>
      </c>
      <c r="B73" t="inlineStr">
        <is>
          <t>__upload_recv7a0I3ZAPmL.jpg</t>
        </is>
      </c>
      <c r="C73" s="2" t="str">
        <f>=HYPERLINK("https://xhslink.com/m/55tXoZ2YJwT", "https://xhslink.com/m/55tXoZ2YJwT")</f>
        <v>https://xhslink.com/m/55tXoZ2YJwT</v>
      </c>
      <c r="D73"/>
      <c r="E73">
        <v>2489</v>
      </c>
      <c r="F73">
        <v>7.2</v>
      </c>
      <c r="G73"/>
      <c r="H73">
        <v>350</v>
      </c>
      <c r="I73">
        <v>1000</v>
      </c>
      <c r="J73"/>
      <c r="K73" t="inlineStr">
        <is>
          <t>省考</t>
        </is>
      </c>
      <c r="L73" t="inlineStr">
        <is>
          <t>🔥低粉爆款</t>
        </is>
      </c>
      <c r="M73" t="inlineStr">
        <is>
          <t>米品严选好物的店</t>
        </is>
      </c>
      <c r="N73">
        <v>305</v>
      </c>
      <c r="O73">
        <v>4.57</v>
      </c>
      <c r="P73">
        <v>5111</v>
      </c>
      <c r="Q73" t="inlineStr">
        <is>
          <t>680671118d0bbc000159bd2c</t>
        </is>
      </c>
      <c r="R73"/>
      <c r="S73" t="inlineStr">
        <is>
          <t>考公资料</t>
        </is>
      </c>
      <c r="T73" t="inlineStr">
        <is>
          <t>8.16</t>
        </is>
      </c>
      <c r="U73" s="3">
        <v>46112.78107638889</v>
      </c>
      <c r="V73"/>
      <c r="W73" s="3">
        <v>46024</v>
      </c>
      <c r="X73" t="inlineStr">
        <is>
          <t>01</t>
        </is>
      </c>
      <c r="Y73" t="inlineStr">
        <is>
          <t>2026-Q1</t>
        </is>
      </c>
    </row>
    <row r="74" ht="38.25" customHeight="1">
      <c r="A74" t="inlineStr">
        <is>
          <t>【现货】 26考研英语一/二高分写作考前预测20篇王江涛 考前冲刺</t>
        </is>
      </c>
      <c r="B74" t="inlineStr">
        <is>
          <t>__upload_recv7a0I3ZY0zq.jpg</t>
        </is>
      </c>
      <c r="C74" s="2" t="str">
        <f>=HYPERLINK("https://xhslink.com/m/1ykrAdKJ6QJ", "https://xhslink.com/m/1ykrAdKJ6QJ")</f>
        <v>https://xhslink.com/m/1ykrAdKJ6QJ</v>
      </c>
      <c r="D74"/>
      <c r="E74">
        <v>7282</v>
      </c>
      <c r="F74">
        <v>26</v>
      </c>
      <c r="G74"/>
      <c r="H74">
        <v>550</v>
      </c>
      <c r="I74">
        <v>4000</v>
      </c>
      <c r="J74"/>
      <c r="K74" t="inlineStr">
        <is>
          <t>考研英语</t>
        </is>
      </c>
      <c r="L74"/>
      <c r="M74" t="inlineStr">
        <is>
          <t>新东方大愚图书的店</t>
        </is>
      </c>
      <c r="N74">
        <v>21000</v>
      </c>
      <c r="O74">
        <v>4.17</v>
      </c>
      <c r="P74">
        <v>12000</v>
      </c>
      <c r="Q74" t="inlineStr">
        <is>
          <t>654ca1d2303aea000115aa1a</t>
        </is>
      </c>
      <c r="R74" t="inlineStr">
        <is>
          <t>🚫重复</t>
        </is>
      </c>
      <c r="S74" t="inlineStr">
        <is>
          <t>考研资料</t>
        </is>
      </c>
      <c r="T74" t="inlineStr">
        <is>
          <t>0.35</t>
        </is>
      </c>
      <c r="U74" s="3">
        <v>46112.78107638889</v>
      </c>
      <c r="V74"/>
      <c r="W74" s="3">
        <v>46024</v>
      </c>
      <c r="X74" t="inlineStr">
        <is>
          <t>01</t>
        </is>
      </c>
      <c r="Y74" t="inlineStr">
        <is>
          <t>2026-Q1</t>
        </is>
      </c>
    </row>
    <row r="75" ht="38.25" customHeight="1">
      <c r="A75" t="inlineStr">
        <is>
          <t>【5000+考研人选择】阅读中背单词逐词翻译笔记英一英二笔记本</t>
        </is>
      </c>
      <c r="B75" t="inlineStr">
        <is>
          <t>__upload_recv7a0I3Z14aY.jpg</t>
        </is>
      </c>
      <c r="C75" s="2" t="str">
        <f>=HYPERLINK("https://xhslink.com/m/9Z32bzSYJ5N", "https://xhslink.com/m/9Z32bzSYJ5N")</f>
        <v>https://xhslink.com/m/9Z32bzSYJ5N</v>
      </c>
      <c r="D75"/>
      <c r="E75">
        <v>3437</v>
      </c>
      <c r="F75">
        <v>44.9</v>
      </c>
      <c r="G75"/>
      <c r="H75">
        <v>300</v>
      </c>
      <c r="I75">
        <v>2000</v>
      </c>
      <c r="J75"/>
      <c r="K75" t="inlineStr">
        <is>
          <t>考研英语</t>
        </is>
      </c>
      <c r="L75"/>
      <c r="M75" t="inlineStr">
        <is>
          <t>小鹅资料的店</t>
        </is>
      </c>
      <c r="N75">
        <v>2979</v>
      </c>
      <c r="O75">
        <v>4.65</v>
      </c>
      <c r="P75">
        <v>14000</v>
      </c>
      <c r="Q75" t="inlineStr">
        <is>
          <t>68b1b3426f3f720001b2f014</t>
        </is>
      </c>
      <c r="R75" t="inlineStr">
        <is>
          <t>🚫重复</t>
        </is>
      </c>
      <c r="S75" t="inlineStr">
        <is>
          <t>考研资料</t>
        </is>
      </c>
      <c r="T75" t="inlineStr">
        <is>
          <t>1.15</t>
        </is>
      </c>
      <c r="U75" s="3">
        <v>46112.78107638889</v>
      </c>
      <c r="V75"/>
      <c r="W75" s="3">
        <v>46024</v>
      </c>
      <c r="X75" t="inlineStr">
        <is>
          <t>01</t>
        </is>
      </c>
      <c r="Y75" t="inlineStr">
        <is>
          <t>2026-Q1</t>
        </is>
      </c>
    </row>
    <row r="76" ht="38.25" customHeight="1">
      <c r="A76" t="inlineStr">
        <is>
          <t>源文件素材 | 考研历年真题（统考科目） | 虚拟文件素材</t>
        </is>
      </c>
      <c r="B76" t="inlineStr">
        <is>
          <t>__upload_recv7a0I3Zaxms.jpg</t>
        </is>
      </c>
      <c r="C76" s="2" t="str">
        <f>=HYPERLINK("https://xhslink.com/m/3wFzimr7BXQ", "https://xhslink.com/m/3wFzimr7BXQ")</f>
        <v>https://xhslink.com/m/3wFzimr7BXQ</v>
      </c>
      <c r="D76"/>
      <c r="E76">
        <v>2587</v>
      </c>
      <c r="F76">
        <v>3.8</v>
      </c>
      <c r="G76"/>
      <c r="H76">
        <v>500</v>
      </c>
      <c r="I76">
        <v>1000</v>
      </c>
      <c r="J76"/>
      <c r="K76" t="inlineStr">
        <is>
          <t>考研英语</t>
        </is>
      </c>
      <c r="L76" t="inlineStr">
        <is>
          <t>🔥低粉爆款</t>
        </is>
      </c>
      <c r="M76" t="inlineStr">
        <is>
          <t>洛洛学姐资料的店</t>
        </is>
      </c>
      <c r="N76">
        <v>231</v>
      </c>
      <c r="O76">
        <v>4.14</v>
      </c>
      <c r="P76">
        <v>3034</v>
      </c>
      <c r="Q76" t="inlineStr">
        <is>
          <t>6873bbd9e58d0700013daa40</t>
        </is>
      </c>
      <c r="R76" t="inlineStr">
        <is>
          <t>🚫重复</t>
        </is>
      </c>
      <c r="S76" t="inlineStr">
        <is>
          <t>考研资料</t>
        </is>
      </c>
      <c r="T76" t="inlineStr">
        <is>
          <t>11.20</t>
        </is>
      </c>
      <c r="U76" s="3">
        <v>46112.78107638889</v>
      </c>
      <c r="V76"/>
      <c r="W76" s="3">
        <v>46024</v>
      </c>
      <c r="X76" t="inlineStr">
        <is>
          <t>01</t>
        </is>
      </c>
      <c r="Y76" t="inlineStr">
        <is>
          <t>2026-Q1</t>
        </is>
      </c>
    </row>
    <row r="77" ht="38.25" customHeight="1">
      <c r="A77" t="inlineStr">
        <is>
          <t>2026王江涛英语《考研英语写作高分》电子版高清可打印PDF</t>
        </is>
      </c>
      <c r="B77" t="inlineStr">
        <is>
          <t>__upload_recv7a0I3ZHPTr.jpg</t>
        </is>
      </c>
      <c r="C77" s="2" t="str">
        <f>=HYPERLINK("https://xhslink.com/m/367RkwJnC4Q", "https://xhslink.com/m/367RkwJnC4Q")</f>
        <v>https://xhslink.com/m/367RkwJnC4Q</v>
      </c>
      <c r="D77"/>
      <c r="E77">
        <v>1677</v>
      </c>
      <c r="F77">
        <v>1.99</v>
      </c>
      <c r="G77"/>
      <c r="H77">
        <v>350</v>
      </c>
      <c r="I77">
        <v>1000</v>
      </c>
      <c r="J77"/>
      <c r="K77" t="inlineStr">
        <is>
          <t>考研英语</t>
        </is>
      </c>
      <c r="L77" t="inlineStr">
        <is>
          <t>🔥低粉爆款</t>
        </is>
      </c>
      <c r="M77" t="inlineStr">
        <is>
          <t>数据小丸子的店</t>
        </is>
      </c>
      <c r="N77">
        <v>511</v>
      </c>
      <c r="O77">
        <v>4.52</v>
      </c>
      <c r="P77">
        <v>22000</v>
      </c>
      <c r="Q77" t="inlineStr">
        <is>
          <t>68a2f2b48ff8a70001000c7a</t>
        </is>
      </c>
      <c r="R77" t="inlineStr">
        <is>
          <t>🚫重复</t>
        </is>
      </c>
      <c r="S77" t="inlineStr">
        <is>
          <t>考研资料</t>
        </is>
      </c>
      <c r="T77" t="inlineStr">
        <is>
          <t>3.28</t>
        </is>
      </c>
      <c r="U77" s="3">
        <v>46112.78107638889</v>
      </c>
      <c r="V77"/>
      <c r="W77" s="3">
        <v>46024</v>
      </c>
      <c r="X77" t="inlineStr">
        <is>
          <t>01</t>
        </is>
      </c>
      <c r="Y77" t="inlineStr">
        <is>
          <t>2026-Q1</t>
        </is>
      </c>
    </row>
    <row r="78" ht="38.25" customHeight="1">
      <c r="A78" t="inlineStr">
        <is>
          <t>阅读提分｜26考研英语阅读五大类词汇总表＋赠作文主题词｜详情页</t>
        </is>
      </c>
      <c r="B78" t="inlineStr">
        <is>
          <t>__upload_recv7a0I3Zraql.jpg</t>
        </is>
      </c>
      <c r="C78" s="2" t="str">
        <f>=HYPERLINK("https://xhslink.com/m/1vJ0mgvulmu", "https://xhslink.com/m/1vJ0mgvulmu")</f>
        <v>https://xhslink.com/m/1vJ0mgvulmu</v>
      </c>
      <c r="D78"/>
      <c r="E78">
        <v>1126</v>
      </c>
      <c r="F78">
        <v>4.99</v>
      </c>
      <c r="G78"/>
      <c r="H78">
        <v>350</v>
      </c>
      <c r="I78">
        <v>1000</v>
      </c>
      <c r="J78"/>
      <c r="K78" t="inlineStr">
        <is>
          <t>考研英语</t>
        </is>
      </c>
      <c r="L78"/>
      <c r="M78" t="inlineStr">
        <is>
          <t>牛牛在学（考研英语版）的店</t>
        </is>
      </c>
      <c r="N78">
        <v>539</v>
      </c>
      <c r="O78">
        <v>4.56</v>
      </c>
      <c r="P78">
        <v>7126</v>
      </c>
      <c r="Q78" t="inlineStr">
        <is>
          <t>68d41c594daabe00012ae2ed</t>
        </is>
      </c>
      <c r="R78"/>
      <c r="S78" t="inlineStr">
        <is>
          <t>考研资料</t>
        </is>
      </c>
      <c r="T78" t="inlineStr">
        <is>
          <t>2.09</t>
        </is>
      </c>
      <c r="U78" s="3">
        <v>46112.78107638889</v>
      </c>
      <c r="V78"/>
      <c r="W78" s="3">
        <v>46024</v>
      </c>
      <c r="X78" t="inlineStr">
        <is>
          <t>01</t>
        </is>
      </c>
      <c r="Y78" t="inlineStr">
        <is>
          <t>2026-Q1</t>
        </is>
      </c>
    </row>
    <row r="79" ht="38.25" customHeight="1">
      <c r="A79" t="inlineStr">
        <is>
          <t>333答题卡最新版2026考研答题卡专二答题卡政治答题卡英语答题卡</t>
        </is>
      </c>
      <c r="B79" t="inlineStr">
        <is>
          <t>__upload_recv7a0I3ZcLgU.jpg</t>
        </is>
      </c>
      <c r="C79" s="2" t="str">
        <f>=HYPERLINK("https://xhslink.com/m/7WwJWRCO7Bp", "https://xhslink.com/m/7WwJWRCO7Bp")</f>
        <v>https://xhslink.com/m/7WwJWRCO7Bp</v>
      </c>
      <c r="D79"/>
      <c r="E79">
        <v>7068</v>
      </c>
      <c r="F79">
        <v>20</v>
      </c>
      <c r="G79"/>
      <c r="H79">
        <v>350</v>
      </c>
      <c r="I79">
        <v>2000</v>
      </c>
      <c r="J79"/>
      <c r="K79" t="inlineStr">
        <is>
          <t>考研英语</t>
        </is>
      </c>
      <c r="L79" t="inlineStr">
        <is>
          <t>🔥低粉爆款</t>
        </is>
      </c>
      <c r="M79" t="inlineStr">
        <is>
          <t>教育学小鱼的店</t>
        </is>
      </c>
      <c r="N79">
        <v>1909</v>
      </c>
      <c r="O79">
        <v>4.3</v>
      </c>
      <c r="P79">
        <v>8452</v>
      </c>
      <c r="Q79" t="inlineStr">
        <is>
          <t>667a2a952fbb5400010102d7</t>
        </is>
      </c>
      <c r="R79"/>
      <c r="S79" t="inlineStr">
        <is>
          <t>考研资料</t>
        </is>
      </c>
      <c r="T79" t="inlineStr">
        <is>
          <t>3.70</t>
        </is>
      </c>
      <c r="U79" s="3">
        <v>46112.78107638889</v>
      </c>
      <c r="V79"/>
      <c r="W79" s="3">
        <v>46024</v>
      </c>
      <c r="X79" t="inlineStr">
        <is>
          <t>01</t>
        </is>
      </c>
      <c r="Y79" t="inlineStr">
        <is>
          <t>2026-Q1</t>
        </is>
      </c>
    </row>
    <row r="80" ht="38.25" customHeight="1">
      <c r="A80" t="inlineStr">
        <is>
          <t>艾宾浩斯英语单词本—背单词复习计划练习本学生四六级考研通用</t>
        </is>
      </c>
      <c r="B80" t="inlineStr">
        <is>
          <t>__upload_recv7a0I3ZokAg.jpg</t>
        </is>
      </c>
      <c r="C80" s="2" t="str">
        <f>=HYPERLINK("https://xhslink.com/m/1L8EV7UcMA8", "https://xhslink.com/m/1L8EV7UcMA8")</f>
        <v>https://xhslink.com/m/1L8EV7UcMA8</v>
      </c>
      <c r="D80"/>
      <c r="E80">
        <v>30000</v>
      </c>
      <c r="F80">
        <v>19.9</v>
      </c>
      <c r="G80"/>
      <c r="H80">
        <v>450</v>
      </c>
      <c r="I80">
        <v>1000</v>
      </c>
      <c r="J80"/>
      <c r="K80" t="inlineStr">
        <is>
          <t>考研英语</t>
        </is>
      </c>
      <c r="L80" t="inlineStr">
        <is>
          <t>🔥低粉爆款</t>
        </is>
      </c>
      <c r="M80" t="inlineStr">
        <is>
          <t>饺子真能吃文具的店</t>
        </is>
      </c>
      <c r="N80">
        <v>2988</v>
      </c>
      <c r="O80">
        <v>4.67</v>
      </c>
      <c r="P80">
        <v>79000</v>
      </c>
      <c r="Q80" t="inlineStr">
        <is>
          <t>64da255028a5010001758f0d</t>
        </is>
      </c>
      <c r="R80" t="inlineStr">
        <is>
          <t>🚫重复</t>
        </is>
      </c>
      <c r="S80" t="inlineStr">
        <is>
          <t>英语资料</t>
        </is>
      </c>
      <c r="T80" t="inlineStr">
        <is>
          <t>10.04</t>
        </is>
      </c>
      <c r="U80" s="3">
        <v>46112.78107638889</v>
      </c>
      <c r="V80"/>
      <c r="W80" s="3">
        <v>46024</v>
      </c>
      <c r="X80" t="inlineStr">
        <is>
          <t>01</t>
        </is>
      </c>
      <c r="Y80" t="inlineStr">
        <is>
          <t>2026-Q1</t>
        </is>
      </c>
    </row>
    <row r="81" ht="38.25" customHeight="1">
      <c r="A81" t="inlineStr">
        <is>
          <t>左边世界 · 英语单词本艾宾浩斯记忆法默写加厚内页学生考研开学季新学期文具</t>
        </is>
      </c>
      <c r="B81" t="inlineStr">
        <is>
          <t>__upload_recv7a0I3ZiWKR.jpg</t>
        </is>
      </c>
      <c r="C81" s="2" t="str">
        <f>=HYPERLINK("https://xhslink.com/m/9sEJPk7UAiQ", "https://xhslink.com/m/9sEJPk7UAiQ")</f>
        <v>https://xhslink.com/m/9sEJPk7UAiQ</v>
      </c>
      <c r="D81"/>
      <c r="E81">
        <v>7909</v>
      </c>
      <c r="F81">
        <v>13.8</v>
      </c>
      <c r="G81"/>
      <c r="H81">
        <v>500</v>
      </c>
      <c r="I81">
        <v>1000</v>
      </c>
      <c r="J81"/>
      <c r="K81" t="inlineStr">
        <is>
          <t>考研英语</t>
        </is>
      </c>
      <c r="L81"/>
      <c r="M81" t="inlineStr">
        <is>
          <t>左边世界旗舰店</t>
        </is>
      </c>
      <c r="N81">
        <v>82000</v>
      </c>
      <c r="O81">
        <v>4.55</v>
      </c>
      <c r="P81">
        <v>132000</v>
      </c>
      <c r="Q81" t="inlineStr">
        <is>
          <t>64ba21518ab4ca000121a48a</t>
        </is>
      </c>
      <c r="R81"/>
      <c r="S81" t="inlineStr">
        <is>
          <t>英语资料</t>
        </is>
      </c>
      <c r="T81" t="inlineStr">
        <is>
          <t>0.10</t>
        </is>
      </c>
      <c r="U81" s="3">
        <v>46112.78107638889</v>
      </c>
      <c r="V81"/>
      <c r="W81" s="3">
        <v>46024</v>
      </c>
      <c r="X81" t="inlineStr">
        <is>
          <t>01</t>
        </is>
      </c>
      <c r="Y81" t="inlineStr">
        <is>
          <t>2026-Q1</t>
        </is>
      </c>
    </row>
    <row r="82" ht="38.25" customHeight="1">
      <c r="A82" t="inlineStr">
        <is>
          <t>维克多利 · 胶圈活页英语单词本a6小号便携口袋本初高中考研A6记背单词本子</t>
        </is>
      </c>
      <c r="B82" t="inlineStr">
        <is>
          <t>__upload_recv7a0I3Z7qLi.jpg</t>
        </is>
      </c>
      <c r="C82" s="2" t="str">
        <f>=HYPERLINK("https://xhslink.com/m/9s0Boivxt3H", "https://xhslink.com/m/9s0Boivxt3H")</f>
        <v>https://xhslink.com/m/9s0Boivxt3H</v>
      </c>
      <c r="D82"/>
      <c r="E82">
        <v>6235</v>
      </c>
      <c r="F82">
        <v>6.6</v>
      </c>
      <c r="G82"/>
      <c r="H82">
        <v>650</v>
      </c>
      <c r="I82">
        <v>1000</v>
      </c>
      <c r="J82"/>
      <c r="K82" t="inlineStr">
        <is>
          <t>考研英语</t>
        </is>
      </c>
      <c r="L82"/>
      <c r="M82" t="inlineStr">
        <is>
          <t>维克多利旗舰店</t>
        </is>
      </c>
      <c r="N82">
        <v>28000</v>
      </c>
      <c r="O82">
        <v>4.69</v>
      </c>
      <c r="P82">
        <v>21000</v>
      </c>
      <c r="Q82" t="inlineStr">
        <is>
          <t>67f48de45d35ce0001b8d86e</t>
        </is>
      </c>
      <c r="R82"/>
      <c r="S82" t="inlineStr">
        <is>
          <t>英语资料</t>
        </is>
      </c>
      <c r="T82" t="inlineStr">
        <is>
          <t>0.22</t>
        </is>
      </c>
      <c r="U82" s="3">
        <v>46112.78107638889</v>
      </c>
      <c r="V82"/>
      <c r="W82" s="3">
        <v>46024</v>
      </c>
      <c r="X82" t="inlineStr">
        <is>
          <t>01</t>
        </is>
      </c>
      <c r="Y82" t="inlineStr">
        <is>
          <t>2026-Q1</t>
        </is>
      </c>
    </row>
    <row r="83" ht="38.25" customHeight="1">
      <c r="A83" t="inlineStr">
        <is>
          <t>26考研在小三门中背单词逐词翻译英一英二完型翻译新题型记事本</t>
        </is>
      </c>
      <c r="B83" t="inlineStr">
        <is>
          <t>__upload_recv7a0I3ZcMl8.jpg</t>
        </is>
      </c>
      <c r="C83" s="2" t="str">
        <f>=HYPERLINK("https://xhslink.com/m/101B0qIJaJC", "https://xhslink.com/m/101B0qIJaJC")</f>
        <v>https://xhslink.com/m/101B0qIJaJC</v>
      </c>
      <c r="D83"/>
      <c r="E83">
        <v>5184</v>
      </c>
      <c r="F83">
        <v>44.9</v>
      </c>
      <c r="G83"/>
      <c r="H83">
        <v>350</v>
      </c>
      <c r="I83">
        <v>2000</v>
      </c>
      <c r="J83"/>
      <c r="K83" t="inlineStr">
        <is>
          <t>考研英语</t>
        </is>
      </c>
      <c r="L83"/>
      <c r="M83" t="inlineStr">
        <is>
          <t>小鹅资料的店</t>
        </is>
      </c>
      <c r="N83">
        <v>2979</v>
      </c>
      <c r="O83">
        <v>4.65</v>
      </c>
      <c r="P83">
        <v>14000</v>
      </c>
      <c r="Q83" t="inlineStr">
        <is>
          <t>68a7c95395220f000144f1f5</t>
        </is>
      </c>
      <c r="R83" t="inlineStr">
        <is>
          <t>🚫重复</t>
        </is>
      </c>
      <c r="S83" t="inlineStr">
        <is>
          <t>考研资料</t>
        </is>
      </c>
      <c r="T83" t="inlineStr">
        <is>
          <t>1.74</t>
        </is>
      </c>
      <c r="U83" s="3">
        <v>46112.78107638889</v>
      </c>
      <c r="V83"/>
      <c r="W83" s="3">
        <v>46024</v>
      </c>
      <c r="X83" t="inlineStr">
        <is>
          <t>01</t>
        </is>
      </c>
      <c r="Y83" t="inlineStr">
        <is>
          <t>2026-Q1</t>
        </is>
      </c>
    </row>
    <row r="84" ht="38.25" customHeight="1">
      <c r="A84" t="inlineStr">
        <is>
          <t>26考研网课资料政治数学英语一二全程班（基础强化冲刺）视频课程</t>
        </is>
      </c>
      <c r="B84" t="inlineStr">
        <is>
          <t>__upload_recv7a0I3Z6RrD.jpg</t>
        </is>
      </c>
      <c r="C84" s="2" t="str">
        <f>=HYPERLINK("https://xhslink.com/m/337wyZNcgpr", "https://xhslink.com/m/337wyZNcgpr")</f>
        <v>https://xhslink.com/m/337wyZNcgpr</v>
      </c>
      <c r="D84"/>
      <c r="E84">
        <v>2637</v>
      </c>
      <c r="F84">
        <v>16.9</v>
      </c>
      <c r="G84"/>
      <c r="H84">
        <v>350</v>
      </c>
      <c r="I84">
        <v>2000</v>
      </c>
      <c r="J84"/>
      <c r="K84" t="inlineStr">
        <is>
          <t>考研英语</t>
        </is>
      </c>
      <c r="L84" t="inlineStr">
        <is>
          <t>🔥低粉爆款</t>
        </is>
      </c>
      <c r="M84" t="inlineStr">
        <is>
          <t>沧海助学资料屋的店</t>
        </is>
      </c>
      <c r="N84">
        <v>195</v>
      </c>
      <c r="O84">
        <v>4.46</v>
      </c>
      <c r="P84">
        <v>2777</v>
      </c>
      <c r="Q84" t="inlineStr">
        <is>
          <t>68a4a56b3304730001bcec38</t>
        </is>
      </c>
      <c r="R84" t="inlineStr">
        <is>
          <t>🚫重复</t>
        </is>
      </c>
      <c r="S84" t="inlineStr">
        <is>
          <t>考研资料</t>
        </is>
      </c>
      <c r="T84" t="inlineStr">
        <is>
          <t>13.52</t>
        </is>
      </c>
      <c r="U84" s="3">
        <v>46112.78107638889</v>
      </c>
      <c r="V84"/>
      <c r="W84" s="3">
        <v>46024</v>
      </c>
      <c r="X84" t="inlineStr">
        <is>
          <t>01</t>
        </is>
      </c>
      <c r="Y84" t="inlineStr">
        <is>
          <t>2026-Q1</t>
        </is>
      </c>
    </row>
    <row r="85" ht="38.25" customHeight="1">
      <c r="A85" t="inlineStr">
        <is>
          <t>安卓苹果墨墨背单词 墨墨单词无上限考研素材教程</t>
        </is>
      </c>
      <c r="B85" t="inlineStr">
        <is>
          <t>__upload_recv7a0I3ZMS2y.jpg</t>
        </is>
      </c>
      <c r="C85" s="2" t="str">
        <f>=HYPERLINK("https://xhslink.com/m/5oEAIaNTfBd", "https://xhslink.com/m/5oEAIaNTfBd")</f>
        <v>https://xhslink.com/m/5oEAIaNTfBd</v>
      </c>
      <c r="D85"/>
      <c r="E85">
        <v>2661</v>
      </c>
      <c r="F85">
        <v>6.66</v>
      </c>
      <c r="G85"/>
      <c r="H85">
        <v>300</v>
      </c>
      <c r="I85">
        <v>1000</v>
      </c>
      <c r="J85"/>
      <c r="K85" t="inlineStr">
        <is>
          <t>考研英语</t>
        </is>
      </c>
      <c r="L85" t="inlineStr">
        <is>
          <t>🔥低粉爆款</t>
        </is>
      </c>
      <c r="M85" t="inlineStr">
        <is>
          <t>便引诗情到碧霄的店</t>
        </is>
      </c>
      <c r="N85">
        <v>121</v>
      </c>
      <c r="O85">
        <v>4.16</v>
      </c>
      <c r="P85">
        <v>3868</v>
      </c>
      <c r="Q85" t="inlineStr">
        <is>
          <t>681499b4dd59fa000162bc84</t>
        </is>
      </c>
      <c r="R85"/>
      <c r="S85" t="inlineStr">
        <is>
          <t>考研资料</t>
        </is>
      </c>
      <c r="T85" t="inlineStr">
        <is>
          <t>21.99</t>
        </is>
      </c>
      <c r="U85" s="3">
        <v>46112.78107638889</v>
      </c>
      <c r="V85"/>
      <c r="W85" s="3">
        <v>46024</v>
      </c>
      <c r="X85" t="inlineStr">
        <is>
          <t>01</t>
        </is>
      </c>
      <c r="Y85" t="inlineStr">
        <is>
          <t>2026-Q1</t>
        </is>
      </c>
    </row>
    <row r="86" ht="38.25" customHeight="1">
      <c r="A86" t="inlineStr">
        <is>
          <t>人教pep四上板书设计电子版，非实物，默认发百度网盘链接</t>
        </is>
      </c>
      <c r="B86" t="inlineStr">
        <is>
          <t>__upload_recv7a0I3Z8c5k.jpg</t>
        </is>
      </c>
      <c r="C86" s="2" t="str">
        <f>=HYPERLINK("https://xhslink.com/m/3k4Jt7XAWqX", "https://xhslink.com/m/3k4Jt7XAWqX")</f>
        <v>https://xhslink.com/m/3k4Jt7XAWqX</v>
      </c>
      <c r="D86"/>
      <c r="E86">
        <v>2052</v>
      </c>
      <c r="F86">
        <v>10</v>
      </c>
      <c r="G86"/>
      <c r="H86">
        <v>550</v>
      </c>
      <c r="I86">
        <v>1000</v>
      </c>
      <c r="J86"/>
      <c r="K86" t="inlineStr">
        <is>
          <t>考研英语</t>
        </is>
      </c>
      <c r="L86"/>
      <c r="M86" t="inlineStr">
        <is>
          <t>柚子伴学小铺的店</t>
        </is>
      </c>
      <c r="N86">
        <v>2555</v>
      </c>
      <c r="O86">
        <v>4.39</v>
      </c>
      <c r="P86">
        <v>7538</v>
      </c>
      <c r="Q86" t="inlineStr">
        <is>
          <t>691dd575ccb9e00001c83c70</t>
        </is>
      </c>
      <c r="R86"/>
      <c r="S86" t="inlineStr">
        <is>
          <t>老师资料</t>
        </is>
      </c>
      <c r="T86" t="inlineStr">
        <is>
          <t>0.80</t>
        </is>
      </c>
      <c r="U86" s="3">
        <v>46112.78107638889</v>
      </c>
      <c r="V86"/>
      <c r="W86" s="3">
        <v>46024</v>
      </c>
      <c r="X86" t="inlineStr">
        <is>
          <t>01</t>
        </is>
      </c>
      <c r="Y86" t="inlineStr">
        <is>
          <t>2026-Q1</t>
        </is>
      </c>
    </row>
    <row r="87" ht="38.25" customHeight="1">
      <c r="A87" t="inlineStr">
        <is>
          <t>12月28日前雅思口语预测(答案版)</t>
        </is>
      </c>
      <c r="B87" t="inlineStr">
        <is>
          <t>__upload_recv7a0I3Z4Fp6.jpg</t>
        </is>
      </c>
      <c r="C87" s="2" t="str">
        <f>=HYPERLINK("https://xhslink.com/m/A08ebzDMPth", "https://xhslink.com/m/A08ebzDMPth")</f>
        <v>https://xhslink.com/m/A08ebzDMPth</v>
      </c>
      <c r="D87"/>
      <c r="E87">
        <v>9328</v>
      </c>
      <c r="F87">
        <v>39</v>
      </c>
      <c r="G87"/>
      <c r="H87">
        <v>450</v>
      </c>
      <c r="I87">
        <v>1000</v>
      </c>
      <c r="J87"/>
      <c r="K87" t="inlineStr">
        <is>
          <t>六级答案</t>
        </is>
      </c>
      <c r="L87"/>
      <c r="M87" t="inlineStr">
        <is>
          <t>Nancy老师雅思口语的店</t>
        </is>
      </c>
      <c r="N87">
        <v>27000</v>
      </c>
      <c r="O87">
        <v>4.32</v>
      </c>
      <c r="P87">
        <v>27000</v>
      </c>
      <c r="Q87" t="inlineStr">
        <is>
          <t>66eb629c280d7400016a92eb</t>
        </is>
      </c>
      <c r="R87" t="inlineStr">
        <is>
          <t>🚫重复</t>
        </is>
      </c>
      <c r="S87" t="inlineStr">
        <is>
          <t>英语资料</t>
        </is>
      </c>
      <c r="T87" t="inlineStr">
        <is>
          <t>0.35</t>
        </is>
      </c>
      <c r="U87" s="3">
        <v>46112.78107638889</v>
      </c>
      <c r="V87"/>
      <c r="W87" s="3">
        <v>46024</v>
      </c>
      <c r="X87" t="inlineStr">
        <is>
          <t>01</t>
        </is>
      </c>
      <c r="Y87" t="inlineStr">
        <is>
          <t>2026-Q1</t>
        </is>
      </c>
    </row>
    <row r="88" ht="38.25" customHeight="1">
      <c r="A88" t="inlineStr">
        <is>
          <t>【真题伴侣会员】考研/四六级高效刷题必备神器宝藏APP真题伴侣</t>
        </is>
      </c>
      <c r="B88" t="inlineStr">
        <is>
          <t>__upload_recv7a0I3ZeKt3.jpg</t>
        </is>
      </c>
      <c r="C88" s="2" t="str">
        <f>=HYPERLINK("https://xhslink.com/m/4OYQE13U7bs", "https://xhslink.com/m/4OYQE13U7bs")</f>
        <v>https://xhslink.com/m/4OYQE13U7bs</v>
      </c>
      <c r="D88"/>
      <c r="E88">
        <v>5826</v>
      </c>
      <c r="F88">
        <v>9.9</v>
      </c>
      <c r="G88"/>
      <c r="H88">
        <v>700</v>
      </c>
      <c r="I88">
        <v>1000</v>
      </c>
      <c r="J88"/>
      <c r="K88" t="inlineStr">
        <is>
          <t>六级答案</t>
        </is>
      </c>
      <c r="L88"/>
      <c r="M88" t="inlineStr">
        <is>
          <t>真题伴侣的店</t>
        </is>
      </c>
      <c r="N88">
        <v>95000</v>
      </c>
      <c r="O88">
        <v>4.3</v>
      </c>
      <c r="P88">
        <v>8564</v>
      </c>
      <c r="Q88" t="inlineStr">
        <is>
          <t>65dd9112be97c300013a1cf4</t>
        </is>
      </c>
      <c r="R88"/>
      <c r="S88" t="inlineStr">
        <is>
          <t>软件应用</t>
        </is>
      </c>
      <c r="T88" t="inlineStr">
        <is>
          <t>0.06</t>
        </is>
      </c>
      <c r="U88" s="3">
        <v>46112.78107638889</v>
      </c>
      <c r="V88"/>
      <c r="W88" s="3">
        <v>46024</v>
      </c>
      <c r="X88" t="inlineStr">
        <is>
          <t>01</t>
        </is>
      </c>
      <c r="Y88" t="inlineStr">
        <is>
          <t>2026-Q1</t>
        </is>
      </c>
    </row>
    <row r="89" ht="38.25" customHeight="1">
      <c r="A89" t="inlineStr">
        <is>
          <t>12月28日前雅思口语+写作预测-答案版</t>
        </is>
      </c>
      <c r="B89" t="inlineStr">
        <is>
          <t>__upload_recv7a0I3ZX8Oi.jpg</t>
        </is>
      </c>
      <c r="C89" s="2" t="str">
        <f>=HYPERLINK("https://xhslink.com/m/AN9f4ufGzhf", "https://xhslink.com/m/AN9f4ufGzhf")</f>
        <v>https://xhslink.com/m/AN9f4ufGzhf</v>
      </c>
      <c r="D89"/>
      <c r="E89">
        <v>5865</v>
      </c>
      <c r="F89">
        <v>60</v>
      </c>
      <c r="G89"/>
      <c r="H89">
        <v>550</v>
      </c>
      <c r="I89">
        <v>1000</v>
      </c>
      <c r="J89"/>
      <c r="K89" t="inlineStr">
        <is>
          <t>六级答案</t>
        </is>
      </c>
      <c r="L89"/>
      <c r="M89" t="inlineStr">
        <is>
          <t>Nancy老师雅思口语的店</t>
        </is>
      </c>
      <c r="N89">
        <v>27000</v>
      </c>
      <c r="O89">
        <v>4.32</v>
      </c>
      <c r="P89">
        <v>27000</v>
      </c>
      <c r="Q89" t="inlineStr">
        <is>
          <t>677fad53b1ef540001ac1289</t>
        </is>
      </c>
      <c r="R89" t="inlineStr">
        <is>
          <t>🚫重复</t>
        </is>
      </c>
      <c r="S89" t="inlineStr">
        <is>
          <t>英语资料</t>
        </is>
      </c>
      <c r="T89" t="inlineStr">
        <is>
          <t>0.22</t>
        </is>
      </c>
      <c r="U89" s="3">
        <v>46112.78107638889</v>
      </c>
      <c r="V89"/>
      <c r="W89" s="3">
        <v>46024</v>
      </c>
      <c r="X89" t="inlineStr">
        <is>
          <t>01</t>
        </is>
      </c>
      <c r="Y89" t="inlineStr">
        <is>
          <t>2026-Q1</t>
        </is>
      </c>
    </row>
    <row r="90" ht="38.25" customHeight="1">
      <c r="A90" t="inlineStr">
        <is>
          <t>B053-【2-6】年级上册语文阅读理解拔高训练【有答案/电子版】</t>
        </is>
      </c>
      <c r="B90" t="inlineStr">
        <is>
          <t>__upload_recv7a0I3ZF03S.jpg</t>
        </is>
      </c>
      <c r="C90" s="2" t="str">
        <f>=HYPERLINK("https://xhslink.com/m/jM4efSZMCv", "https://xhslink.com/m/jM4efSZMCv")</f>
        <v>https://xhslink.com/m/jM4efSZMCv</v>
      </c>
      <c r="D90"/>
      <c r="E90">
        <v>4095</v>
      </c>
      <c r="F90">
        <v>9.8</v>
      </c>
      <c r="G90"/>
      <c r="H90">
        <v>1000</v>
      </c>
      <c r="I90">
        <v>3000</v>
      </c>
      <c r="J90"/>
      <c r="K90" t="inlineStr">
        <is>
          <t>六级答案</t>
        </is>
      </c>
      <c r="L90"/>
      <c r="M90" t="inlineStr">
        <is>
          <t>小宋宋Nice的店</t>
        </is>
      </c>
      <c r="N90">
        <v>10000</v>
      </c>
      <c r="O90">
        <v>4.52</v>
      </c>
      <c r="P90">
        <v>39000</v>
      </c>
      <c r="Q90" t="inlineStr">
        <is>
          <t>688f57564daa710001411566</t>
        </is>
      </c>
      <c r="R90" t="inlineStr">
        <is>
          <t>🚫重复</t>
        </is>
      </c>
      <c r="S90" t="inlineStr">
        <is>
          <t>中小学教辅/教材</t>
        </is>
      </c>
      <c r="T90" t="inlineStr">
        <is>
          <t>0.41</t>
        </is>
      </c>
      <c r="U90" s="3">
        <v>46112.78107638889</v>
      </c>
      <c r="V90"/>
      <c r="W90" s="3">
        <v>46024</v>
      </c>
      <c r="X90" t="inlineStr">
        <is>
          <t>01</t>
        </is>
      </c>
      <c r="Y90" t="inlineStr">
        <is>
          <t>2026-Q1</t>
        </is>
      </c>
    </row>
    <row r="91" ht="38.25" customHeight="1">
      <c r="A91" t="inlineStr">
        <is>
          <t>2025人教版初中英语试卷单元测试期中期末复习七八九年级上下册</t>
        </is>
      </c>
      <c r="B91" t="inlineStr">
        <is>
          <t>__upload_recv7a0I3Zf7Fb.jpg</t>
        </is>
      </c>
      <c r="C91" s="2" t="str">
        <f>=HYPERLINK("https://xhslink.com/m/9pqrrHuV5Os", "https://xhslink.com/m/9pqrrHuV5Os")</f>
        <v>https://xhslink.com/m/9pqrrHuV5Os</v>
      </c>
      <c r="D91"/>
      <c r="E91">
        <v>2657</v>
      </c>
      <c r="F91">
        <v>5.9</v>
      </c>
      <c r="G91"/>
      <c r="H91">
        <v>400</v>
      </c>
      <c r="I91">
        <v>1000</v>
      </c>
      <c r="J91"/>
      <c r="K91" t="inlineStr">
        <is>
          <t>六级答案</t>
        </is>
      </c>
      <c r="L91" t="inlineStr">
        <is>
          <t>🔥低粉爆款</t>
        </is>
      </c>
      <c r="M91" t="inlineStr">
        <is>
          <t>知识暖阳的店</t>
        </is>
      </c>
      <c r="N91">
        <v>716</v>
      </c>
      <c r="O91">
        <v>4.52</v>
      </c>
      <c r="P91">
        <v>5178</v>
      </c>
      <c r="Q91" t="inlineStr">
        <is>
          <t>688cce5902d7b000010ecc3f</t>
        </is>
      </c>
      <c r="R91" t="inlineStr">
        <is>
          <t>🚫重复</t>
        </is>
      </c>
      <c r="S91" t="inlineStr">
        <is>
          <t>中小学教辅/教材</t>
        </is>
      </c>
      <c r="T91" t="inlineStr">
        <is>
          <t>3.71</t>
        </is>
      </c>
      <c r="U91" s="3">
        <v>46112.78107638889</v>
      </c>
      <c r="V91"/>
      <c r="W91" s="3">
        <v>46024</v>
      </c>
      <c r="X91" t="inlineStr">
        <is>
          <t>01</t>
        </is>
      </c>
      <c r="Y91" t="inlineStr">
        <is>
          <t>2026-Q1</t>
        </is>
      </c>
    </row>
    <row r="92" ht="38.25" customHeight="1">
      <c r="A92" t="inlineStr">
        <is>
          <t>三上作文仿写小练笔（电子版pdf，有答案，无水印）</t>
        </is>
      </c>
      <c r="B92" t="inlineStr">
        <is>
          <t>__upload_recv7a0I3Zbrui.jpg</t>
        </is>
      </c>
      <c r="C92" s="2" t="str">
        <f>=HYPERLINK("https://xhslink.com/m/2sSMxRtqX", "https://xhslink.com/m/2sSMxRtqX")</f>
        <v>https://xhslink.com/m/2sSMxRtqX</v>
      </c>
      <c r="D92"/>
      <c r="E92">
        <v>2192</v>
      </c>
      <c r="F92">
        <v>2.9</v>
      </c>
      <c r="G92"/>
      <c r="H92">
        <v>450</v>
      </c>
      <c r="I92">
        <v>1000</v>
      </c>
      <c r="J92"/>
      <c r="K92" t="inlineStr">
        <is>
          <t>六级答案</t>
        </is>
      </c>
      <c r="L92"/>
      <c r="M92" t="inlineStr">
        <is>
          <t>zix在一线教学的店</t>
        </is>
      </c>
      <c r="N92">
        <v>2135</v>
      </c>
      <c r="O92">
        <v>4.4</v>
      </c>
      <c r="P92">
        <v>8088</v>
      </c>
      <c r="Q92" t="inlineStr">
        <is>
          <t>69086972e379430001d113fd</t>
        </is>
      </c>
      <c r="R92"/>
      <c r="S92" t="inlineStr">
        <is>
          <t>中小学教辅/教材</t>
        </is>
      </c>
      <c r="T92" t="inlineStr">
        <is>
          <t>1.03</t>
        </is>
      </c>
      <c r="U92" s="3">
        <v>46112.78107638889</v>
      </c>
      <c r="V92"/>
      <c r="W92" s="3">
        <v>46024</v>
      </c>
      <c r="X92" t="inlineStr">
        <is>
          <t>01</t>
        </is>
      </c>
      <c r="Y92" t="inlineStr">
        <is>
          <t>2026-Q1</t>
        </is>
      </c>
    </row>
    <row r="93" ht="38.25" customHeight="1">
      <c r="A93" t="inlineStr">
        <is>
          <t>英语四六级单词高频词四六级大纲词核心词真题单词考频电子版pdf</t>
        </is>
      </c>
      <c r="B93" t="inlineStr">
        <is>
          <t>__upload_recv7a0I3ZgYY8.jpg</t>
        </is>
      </c>
      <c r="C93" s="2" t="str">
        <f>=HYPERLINK("https://xhslink.com/m/3Z4EYPLX7Ol", "https://xhslink.com/m/3Z4EYPLX7Ol")</f>
        <v>https://xhslink.com/m/3Z4EYPLX7Ol</v>
      </c>
      <c r="D93"/>
      <c r="E93">
        <v>1438</v>
      </c>
      <c r="F93">
        <v>5.66</v>
      </c>
      <c r="G93"/>
      <c r="H93">
        <v>600</v>
      </c>
      <c r="I93">
        <v>1000</v>
      </c>
      <c r="J93"/>
      <c r="K93" t="inlineStr">
        <is>
          <t>六级答案</t>
        </is>
      </c>
      <c r="L93"/>
      <c r="M93" t="inlineStr">
        <is>
          <t>决战英语考试鸭的店</t>
        </is>
      </c>
      <c r="N93">
        <v>9144</v>
      </c>
      <c r="O93">
        <v>4.39</v>
      </c>
      <c r="P93">
        <v>1467</v>
      </c>
      <c r="Q93" t="inlineStr">
        <is>
          <t>68e77693c753610001bc8306</t>
        </is>
      </c>
      <c r="R93" t="inlineStr">
        <is>
          <t>🚫重复</t>
        </is>
      </c>
      <c r="S93" t="inlineStr">
        <is>
          <t>英语资料</t>
        </is>
      </c>
      <c r="T93" t="inlineStr">
        <is>
          <t>0.16</t>
        </is>
      </c>
      <c r="U93" s="3">
        <v>46112.78107638889</v>
      </c>
      <c r="V93"/>
      <c r="W93" s="3">
        <v>46024</v>
      </c>
      <c r="X93" t="inlineStr">
        <is>
          <t>01</t>
        </is>
      </c>
      <c r="Y93" t="inlineStr">
        <is>
          <t>2026-Q1</t>
        </is>
      </c>
    </row>
    <row r="94" ht="38.25" customHeight="1">
      <c r="A94" t="inlineStr">
        <is>
          <t>25新版三四五年六级上册语文期中复习1-4单元选择题专项训练100道</t>
        </is>
      </c>
      <c r="B94" t="inlineStr">
        <is>
          <t>__upload_recv7a0I3ZsWLH.jpg</t>
        </is>
      </c>
      <c r="C94" s="2" t="str">
        <f>=HYPERLINK("https://xhslink.com/m/7aak544q2Vc", "https://xhslink.com/m/7aak544q2Vc")</f>
        <v>https://xhslink.com/m/7aak544q2Vc</v>
      </c>
      <c r="D94"/>
      <c r="E94">
        <v>1263</v>
      </c>
      <c r="F94">
        <v>6.9</v>
      </c>
      <c r="G94"/>
      <c r="H94">
        <v>300</v>
      </c>
      <c r="I94">
        <v>1000</v>
      </c>
      <c r="J94"/>
      <c r="K94" t="inlineStr">
        <is>
          <t>六级答案</t>
        </is>
      </c>
      <c r="L94"/>
      <c r="M94" t="inlineStr">
        <is>
          <t>耘知原创的店</t>
        </is>
      </c>
      <c r="N94">
        <v>3744</v>
      </c>
      <c r="O94">
        <v>4.59</v>
      </c>
      <c r="P94">
        <v>11000</v>
      </c>
      <c r="Q94" t="inlineStr">
        <is>
          <t>68efa4cf702da10001d34a50</t>
        </is>
      </c>
      <c r="R94"/>
      <c r="S94" t="inlineStr">
        <is>
          <t>中小学教辅/教材</t>
        </is>
      </c>
      <c r="T94" t="inlineStr">
        <is>
          <t>0.34</t>
        </is>
      </c>
      <c r="U94" s="3">
        <v>46112.78107638889</v>
      </c>
      <c r="V94"/>
      <c r="W94" s="3">
        <v>46024</v>
      </c>
      <c r="X94" t="inlineStr">
        <is>
          <t>01</t>
        </is>
      </c>
      <c r="Y94" t="inlineStr">
        <is>
          <t>2026-Q1</t>
        </is>
      </c>
    </row>
    <row r="95" ht="38.25" customHeight="1">
      <c r="A95" t="inlineStr">
        <is>
          <t>26考研政治史纲知识点归纳汇总‖史纲时间轴+会议+土地政策+著作</t>
        </is>
      </c>
      <c r="B95" t="inlineStr">
        <is>
          <t>__upload_recv7a0I3Za39c.jpg</t>
        </is>
      </c>
      <c r="C95" s="2" t="str">
        <f>=HYPERLINK("https://xhslink.com/m/5GpBYyagmft", "https://xhslink.com/m/5GpBYyagmft")</f>
        <v>https://xhslink.com/m/5GpBYyagmft</v>
      </c>
      <c r="D95"/>
      <c r="E95">
        <v>4436</v>
      </c>
      <c r="F95">
        <v>2.98</v>
      </c>
      <c r="G95"/>
      <c r="H95">
        <v>450</v>
      </c>
      <c r="I95">
        <v>1000</v>
      </c>
      <c r="J95"/>
      <c r="K95" t="inlineStr">
        <is>
          <t>考研政治</t>
        </is>
      </c>
      <c r="L95"/>
      <c r="M95" t="inlineStr">
        <is>
          <t>小珂学姐的店</t>
        </is>
      </c>
      <c r="N95">
        <v>1846</v>
      </c>
      <c r="O95">
        <v>4.53</v>
      </c>
      <c r="P95">
        <v>16000</v>
      </c>
      <c r="Q95" t="inlineStr">
        <is>
          <t>684444dbe874f200012c547f</t>
        </is>
      </c>
      <c r="R95" t="inlineStr">
        <is>
          <t>🚫重复</t>
        </is>
      </c>
      <c r="S95" t="inlineStr">
        <is>
          <t>考研资料</t>
        </is>
      </c>
      <c r="T95" t="inlineStr">
        <is>
          <t>2.40</t>
        </is>
      </c>
      <c r="U95" s="3">
        <v>46112.78107638889</v>
      </c>
      <c r="V95"/>
      <c r="W95" s="3">
        <v>46024</v>
      </c>
      <c r="X95" t="inlineStr">
        <is>
          <t>01</t>
        </is>
      </c>
      <c r="Y95" t="inlineStr">
        <is>
          <t>2026-Q1</t>
        </is>
      </c>
    </row>
    <row r="96" ht="38.25" customHeight="1">
      <c r="A96" t="inlineStr">
        <is>
          <t>26考研政治刷题小程序肖1000题肖四肖八等全部名师模拟卷都能刷</t>
        </is>
      </c>
      <c r="B96" t="inlineStr">
        <is>
          <t>__upload_recv7a0I3Zfn7N.jpg</t>
        </is>
      </c>
      <c r="C96" s="2" t="str">
        <f>=HYPERLINK("https://xhslink.com/m/3MV4kRAG7Hz", "https://xhslink.com/m/3MV4kRAG7Hz")</f>
        <v>https://xhslink.com/m/3MV4kRAG7Hz</v>
      </c>
      <c r="D96"/>
      <c r="E96">
        <v>3368</v>
      </c>
      <c r="F96">
        <v>0.99</v>
      </c>
      <c r="G96"/>
      <c r="H96">
        <v>800</v>
      </c>
      <c r="I96">
        <v>2000</v>
      </c>
      <c r="J96"/>
      <c r="K96" t="inlineStr">
        <is>
          <t>考研政治</t>
        </is>
      </c>
      <c r="L96" t="inlineStr">
        <is>
          <t>🔥低粉爆款</t>
        </is>
      </c>
      <c r="M96" t="inlineStr">
        <is>
          <t>有岸上的店</t>
        </is>
      </c>
      <c r="N96">
        <v>157</v>
      </c>
      <c r="O96">
        <v>4.5</v>
      </c>
      <c r="P96">
        <v>3651</v>
      </c>
      <c r="Q96" t="inlineStr">
        <is>
          <t>6819aa6470bae10001f2722b</t>
        </is>
      </c>
      <c r="R96"/>
      <c r="S96" t="inlineStr">
        <is>
          <t>考研资料</t>
        </is>
      </c>
      <c r="T96" t="inlineStr">
        <is>
          <t>21.45</t>
        </is>
      </c>
      <c r="U96" s="3">
        <v>46112.78107638889</v>
      </c>
      <c r="V96"/>
      <c r="W96" s="3">
        <v>46024</v>
      </c>
      <c r="X96" t="inlineStr">
        <is>
          <t>01</t>
        </is>
      </c>
      <c r="Y96" t="inlineStr">
        <is>
          <t>2026-Q1</t>
        </is>
      </c>
    </row>
    <row r="97" ht="38.25" customHeight="1">
      <c r="A97" t="inlineStr">
        <is>
          <t>源文件素材 | 考研历年真题（统考科目） | 虚拟文件素材</t>
        </is>
      </c>
      <c r="B97" t="inlineStr">
        <is>
          <t>__upload_recv7a0I3Z656L.jpg</t>
        </is>
      </c>
      <c r="C97" s="2" t="str">
        <f>=HYPERLINK("https://xhslink.com/m/19XJEn8qOVJ", "https://xhslink.com/m/19XJEn8qOVJ")</f>
        <v>https://xhslink.com/m/19XJEn8qOVJ</v>
      </c>
      <c r="D97"/>
      <c r="E97">
        <v>2588</v>
      </c>
      <c r="F97">
        <v>3.8</v>
      </c>
      <c r="G97"/>
      <c r="H97">
        <v>500</v>
      </c>
      <c r="I97">
        <v>1000</v>
      </c>
      <c r="J97"/>
      <c r="K97" t="inlineStr">
        <is>
          <t>考研政治</t>
        </is>
      </c>
      <c r="L97" t="inlineStr">
        <is>
          <t>🔥低粉爆款</t>
        </is>
      </c>
      <c r="M97" t="inlineStr">
        <is>
          <t>洛洛学姐资料的店</t>
        </is>
      </c>
      <c r="N97">
        <v>231</v>
      </c>
      <c r="O97">
        <v>4.14</v>
      </c>
      <c r="P97">
        <v>3034</v>
      </c>
      <c r="Q97" t="inlineStr">
        <is>
          <t>6873bbd9e58d0700013daa43</t>
        </is>
      </c>
      <c r="R97" t="inlineStr">
        <is>
          <t>🚫重复</t>
        </is>
      </c>
      <c r="S97" t="inlineStr">
        <is>
          <t>考研资料</t>
        </is>
      </c>
      <c r="T97" t="inlineStr">
        <is>
          <t>11.20</t>
        </is>
      </c>
      <c r="U97" s="3">
        <v>46112.78107638889</v>
      </c>
      <c r="V97"/>
      <c r="W97" s="3">
        <v>46024</v>
      </c>
      <c r="X97" t="inlineStr">
        <is>
          <t>01</t>
        </is>
      </c>
      <c r="Y97" t="inlineStr">
        <is>
          <t>2026-Q1</t>
        </is>
      </c>
    </row>
    <row r="98" ht="38.25" customHeight="1">
      <c r="A98" t="inlineStr">
        <is>
          <t>考研政治史纲时间轴超全</t>
        </is>
      </c>
      <c r="B98" t="inlineStr">
        <is>
          <t>__upload_recv7a0I3ZlWys.jpg</t>
        </is>
      </c>
      <c r="C98" s="2" t="str">
        <f>=HYPERLINK("https://xhslink.com/m/XmcjQgc8Sa", "https://xhslink.com/m/XmcjQgc8Sa")</f>
        <v>https://xhslink.com/m/XmcjQgc8Sa</v>
      </c>
      <c r="D98"/>
      <c r="E98">
        <v>2262</v>
      </c>
      <c r="F98">
        <v>2.49</v>
      </c>
      <c r="G98"/>
      <c r="H98">
        <v>750</v>
      </c>
      <c r="I98">
        <v>2000</v>
      </c>
      <c r="J98"/>
      <c r="K98" t="inlineStr">
        <is>
          <t>考研政治</t>
        </is>
      </c>
      <c r="L98" t="inlineStr">
        <is>
          <t>🔥低粉爆款</t>
        </is>
      </c>
      <c r="M98" t="inlineStr">
        <is>
          <t>无声缘的店</t>
        </is>
      </c>
      <c r="N98">
        <v>223</v>
      </c>
      <c r="O98">
        <v>4.4</v>
      </c>
      <c r="P98">
        <v>3433</v>
      </c>
      <c r="Q98" t="inlineStr">
        <is>
          <t>68e236d8d3eed20001152acf</t>
        </is>
      </c>
      <c r="R98"/>
      <c r="S98" t="inlineStr">
        <is>
          <t>考研资料</t>
        </is>
      </c>
      <c r="T98" t="inlineStr">
        <is>
          <t>10.14</t>
        </is>
      </c>
      <c r="U98" s="3">
        <v>46112.78107638889</v>
      </c>
      <c r="V98"/>
      <c r="W98" s="3">
        <v>46024</v>
      </c>
      <c r="X98" t="inlineStr">
        <is>
          <t>01</t>
        </is>
      </c>
      <c r="Y98" t="inlineStr">
        <is>
          <t>2026-Q1</t>
        </is>
      </c>
    </row>
    <row r="99" ht="38.25" customHeight="1">
      <c r="A99" t="inlineStr">
        <is>
          <t>26政治考研苏一保命分析6套卷肖八精讲笔记万能答题表格百度夸克</t>
        </is>
      </c>
      <c r="B99" t="inlineStr">
        <is>
          <t>__upload_recv7a0I3Z87Iv.jpg</t>
        </is>
      </c>
      <c r="C99" s="2" t="str">
        <f>=HYPERLINK("https://xhslink.com/m/2VUCLXLkpmR", "https://xhslink.com/m/2VUCLXLkpmR")</f>
        <v>https://xhslink.com/m/2VUCLXLkpmR</v>
      </c>
      <c r="D99"/>
      <c r="E99">
        <v>2185</v>
      </c>
      <c r="F99">
        <v>8.88</v>
      </c>
      <c r="G99"/>
      <c r="H99">
        <v>650</v>
      </c>
      <c r="I99">
        <v>1000</v>
      </c>
      <c r="J99"/>
      <c r="K99" t="inlineStr">
        <is>
          <t>考研政治</t>
        </is>
      </c>
      <c r="L99" t="inlineStr">
        <is>
          <t>🔥低粉爆款</t>
        </is>
      </c>
      <c r="M99" t="inlineStr">
        <is>
          <t>上岸小铺1的店</t>
        </is>
      </c>
      <c r="N99">
        <v>119</v>
      </c>
      <c r="O99">
        <v>4.56</v>
      </c>
      <c r="P99">
        <v>4316</v>
      </c>
      <c r="Q99" t="inlineStr">
        <is>
          <t>688f6c9d47d5bd00010f6624</t>
        </is>
      </c>
      <c r="R99"/>
      <c r="S99" t="inlineStr">
        <is>
          <t>考研资料</t>
        </is>
      </c>
      <c r="T99" t="inlineStr">
        <is>
          <t>18.36</t>
        </is>
      </c>
      <c r="U99" s="3">
        <v>46112.78107638889</v>
      </c>
      <c r="V99"/>
      <c r="W99" s="3">
        <v>46024</v>
      </c>
      <c r="X99" t="inlineStr">
        <is>
          <t>01</t>
        </is>
      </c>
      <c r="Y99" t="inlineStr">
        <is>
          <t>2026-Q1</t>
        </is>
      </c>
    </row>
    <row r="100" ht="38.25" customHeight="1">
      <c r="A100" t="inlineStr">
        <is>
          <t>2027 考研政治1994-2026 历年真题试卷+答案解析 PDF电子文档</t>
        </is>
      </c>
      <c r="B100" t="inlineStr">
        <is>
          <t>__upload_recv7a0I3Z5Duj.jpg</t>
        </is>
      </c>
      <c r="C100" s="2" t="str">
        <f>=HYPERLINK("https://xhslink.com/m/7uP3OMbaQ2Q", "https://xhslink.com/m/7uP3OMbaQ2Q")</f>
        <v>https://xhslink.com/m/7uP3OMbaQ2Q</v>
      </c>
      <c r="D100"/>
      <c r="E100">
        <v>1201</v>
      </c>
      <c r="F100">
        <v>1.99</v>
      </c>
      <c r="G100"/>
      <c r="H100">
        <v>500</v>
      </c>
      <c r="I100">
        <v>1000</v>
      </c>
      <c r="J100"/>
      <c r="K100" t="inlineStr">
        <is>
          <t>考研政治</t>
        </is>
      </c>
      <c r="L100"/>
      <c r="M100" t="inlineStr">
        <is>
          <t>错题本研究所的店</t>
        </is>
      </c>
      <c r="N100">
        <v>1806</v>
      </c>
      <c r="O100">
        <v>4.53</v>
      </c>
      <c r="P100">
        <v>24000</v>
      </c>
      <c r="Q100" t="inlineStr">
        <is>
          <t>68c18699977bcb00015a00f9</t>
        </is>
      </c>
      <c r="R100"/>
      <c r="S100" t="inlineStr">
        <is>
          <t>考研资料</t>
        </is>
      </c>
      <c r="T100" t="inlineStr">
        <is>
          <t>0.67</t>
        </is>
      </c>
      <c r="U100" s="3">
        <v>46112.78107638889</v>
      </c>
      <c r="V100"/>
      <c r="W100" s="3">
        <v>46024</v>
      </c>
      <c r="X100" t="inlineStr">
        <is>
          <t>01</t>
        </is>
      </c>
      <c r="Y100" t="inlineStr">
        <is>
          <t>2026-Q1</t>
        </is>
      </c>
    </row>
    <row r="101" ht="38.25" customHeight="1">
      <c r="A101" t="inlineStr">
        <is>
          <t>2027考研刷题小程序英语数学一二三护理教育学计算机生物药学题库</t>
        </is>
      </c>
      <c r="B101" t="inlineStr">
        <is>
          <t>__upload_recv7a0I3Z7KGv.jpg</t>
        </is>
      </c>
      <c r="C101" s="2" t="str">
        <f>=HYPERLINK("https://xhslink.com/m/8xCgh67gEMT", "https://xhslink.com/m/8xCgh67gEMT")</f>
        <v>https://xhslink.com/m/8xCgh67gEMT</v>
      </c>
      <c r="D101"/>
      <c r="E101">
        <v>12000</v>
      </c>
      <c r="F101">
        <v>15</v>
      </c>
      <c r="G101"/>
      <c r="H101">
        <v>950</v>
      </c>
      <c r="I101">
        <v>3000</v>
      </c>
      <c r="J101"/>
      <c r="K101" t="inlineStr">
        <is>
          <t>考研政治</t>
        </is>
      </c>
      <c r="L101" t="inlineStr">
        <is>
          <t>🔥低粉爆款</t>
        </is>
      </c>
      <c r="M101" t="inlineStr">
        <is>
          <t>恒光教育的店</t>
        </is>
      </c>
      <c r="N101">
        <v>1783</v>
      </c>
      <c r="O101">
        <v>4.23</v>
      </c>
      <c r="P101">
        <v>14000</v>
      </c>
      <c r="Q101" t="inlineStr">
        <is>
          <t>666d58a70f78be00010819e9</t>
        </is>
      </c>
      <c r="R101"/>
      <c r="S101" t="inlineStr">
        <is>
          <t>考研资料</t>
        </is>
      </c>
      <c r="T101" t="inlineStr">
        <is>
          <t>6.73</t>
        </is>
      </c>
      <c r="U101" s="3">
        <v>46112.78107638889</v>
      </c>
      <c r="V101"/>
      <c r="W101" s="3">
        <v>46024</v>
      </c>
      <c r="X101" t="inlineStr">
        <is>
          <t>01</t>
        </is>
      </c>
      <c r="Y101" t="inlineStr">
        <is>
          <t>2026-Q1</t>
        </is>
      </c>
    </row>
    <row r="102" ht="38.25" customHeight="1">
      <c r="A102" t="inlineStr">
        <is>
          <t>超格国考政治理论200题笔记（已完结）</t>
        </is>
      </c>
      <c r="B102" t="inlineStr">
        <is>
          <t>__upload_recv7a0I3Z1egE.jpg</t>
        </is>
      </c>
      <c r="C102" s="2" t="str">
        <f>=HYPERLINK("https://xhslink.com/m/3VLOJ1lVDNu", "https://xhslink.com/m/3VLOJ1lVDNu")</f>
        <v>https://xhslink.com/m/3VLOJ1lVDNu</v>
      </c>
      <c r="D102"/>
      <c r="E102">
        <v>3162</v>
      </c>
      <c r="F102">
        <v>3.99</v>
      </c>
      <c r="G102"/>
      <c r="H102">
        <v>1500</v>
      </c>
      <c r="I102">
        <v>3000</v>
      </c>
      <c r="J102"/>
      <c r="K102" t="inlineStr">
        <is>
          <t>考研政治</t>
        </is>
      </c>
      <c r="L102"/>
      <c r="M102" t="inlineStr">
        <is>
          <t>洋芋不做小困包（超前完成任务版）的店</t>
        </is>
      </c>
      <c r="N102">
        <v>60000</v>
      </c>
      <c r="O102">
        <v>4.53</v>
      </c>
      <c r="P102">
        <v>25000</v>
      </c>
      <c r="Q102" t="inlineStr">
        <is>
          <t>69100f44f73ffe0001b285c6</t>
        </is>
      </c>
      <c r="R102" t="inlineStr">
        <is>
          <t>🚫重复</t>
        </is>
      </c>
      <c r="S102" t="inlineStr">
        <is>
          <t>考公资料</t>
        </is>
      </c>
      <c r="T102" t="inlineStr">
        <is>
          <t>0.05</t>
        </is>
      </c>
      <c r="U102" s="3">
        <v>46112.78107638889</v>
      </c>
      <c r="V102"/>
      <c r="W102" s="3">
        <v>46024</v>
      </c>
      <c r="X102" t="inlineStr">
        <is>
          <t>01</t>
        </is>
      </c>
      <c r="Y102" t="inlineStr">
        <is>
          <t>2026-Q1</t>
        </is>
      </c>
    </row>
    <row r="103" ht="38.25" customHeight="1">
      <c r="A103" t="inlineStr">
        <is>
          <t>2026苏一政治《思维导图》电子版高清可打印PDF</t>
        </is>
      </c>
      <c r="B103" t="inlineStr">
        <is>
          <t>__upload_recv7a0I3ZU4ZB.jpg</t>
        </is>
      </c>
      <c r="C103" s="2" t="str">
        <f>=HYPERLINK("https://xhslink.com/m/3J4vdggRtcY", "https://xhslink.com/m/3J4vdggRtcY")</f>
        <v>https://xhslink.com/m/3J4vdggRtcY</v>
      </c>
      <c r="D103"/>
      <c r="E103">
        <v>2791</v>
      </c>
      <c r="F103">
        <v>8.88</v>
      </c>
      <c r="G103"/>
      <c r="H103">
        <v>400</v>
      </c>
      <c r="I103">
        <v>1000</v>
      </c>
      <c r="J103"/>
      <c r="K103" t="inlineStr">
        <is>
          <t>考研政治</t>
        </is>
      </c>
      <c r="L103" t="inlineStr">
        <is>
          <t>🔥低粉爆款</t>
        </is>
      </c>
      <c r="M103" t="inlineStr">
        <is>
          <t>数据小丸子的店</t>
        </is>
      </c>
      <c r="N103">
        <v>511</v>
      </c>
      <c r="O103">
        <v>4.52</v>
      </c>
      <c r="P103">
        <v>22000</v>
      </c>
      <c r="Q103" t="inlineStr">
        <is>
          <t>68a54688dc73de0001470e57</t>
        </is>
      </c>
      <c r="R103" t="inlineStr">
        <is>
          <t>🚫重复</t>
        </is>
      </c>
      <c r="S103" t="inlineStr">
        <is>
          <t>考研资料</t>
        </is>
      </c>
      <c r="T103" t="inlineStr">
        <is>
          <t>5.46</t>
        </is>
      </c>
      <c r="U103" s="3">
        <v>46112.78107638889</v>
      </c>
      <c r="V103"/>
      <c r="W103" s="3">
        <v>46024</v>
      </c>
      <c r="X103" t="inlineStr">
        <is>
          <t>01</t>
        </is>
      </c>
      <c r="Y103" t="inlineStr">
        <is>
          <t>2026-Q1</t>
        </is>
      </c>
    </row>
    <row r="104" ht="38.25" customHeight="1">
      <c r="A104" t="inlineStr">
        <is>
          <t>2025四川省时政知识点/时政习题/四川省情知识/四川省情习题</t>
        </is>
      </c>
      <c r="B104" t="inlineStr">
        <is>
          <t>__upload_recv7a0I3Z8LkO.jpg</t>
        </is>
      </c>
      <c r="C104" s="2" t="str">
        <f>=HYPERLINK("https://xhslink.com/m/2p0Z2rs3vKS", "https://xhslink.com/m/2p0Z2rs3vKS")</f>
        <v>https://xhslink.com/m/2p0Z2rs3vKS</v>
      </c>
      <c r="D104"/>
      <c r="E104">
        <v>1395</v>
      </c>
      <c r="F104">
        <v>4.9</v>
      </c>
      <c r="G104"/>
      <c r="H104">
        <v>750</v>
      </c>
      <c r="I104">
        <v>1000</v>
      </c>
      <c r="J104"/>
      <c r="K104" t="inlineStr">
        <is>
          <t>考研政治</t>
        </is>
      </c>
      <c r="L104" t="inlineStr">
        <is>
          <t>🔥低粉爆款</t>
        </is>
      </c>
      <c r="M104" t="inlineStr">
        <is>
          <t>月月希的店</t>
        </is>
      </c>
      <c r="N104">
        <v>293</v>
      </c>
      <c r="O104">
        <v>4.52</v>
      </c>
      <c r="P104">
        <v>5509</v>
      </c>
      <c r="Q104" t="inlineStr">
        <is>
          <t>68f90204c192ac0001a27ef3</t>
        </is>
      </c>
      <c r="R104" t="inlineStr">
        <is>
          <t>🚫重复</t>
        </is>
      </c>
      <c r="S104" t="inlineStr">
        <is>
          <t>无匹配类别</t>
        </is>
      </c>
      <c r="T104" t="inlineStr">
        <is>
          <t>4.76</t>
        </is>
      </c>
      <c r="U104" s="3">
        <v>46112.78107638889</v>
      </c>
      <c r="V104"/>
      <c r="W104" s="3">
        <v>46024</v>
      </c>
      <c r="X104" t="inlineStr">
        <is>
          <t>01</t>
        </is>
      </c>
      <c r="Y104" t="inlineStr">
        <is>
          <t>2026-Q1</t>
        </is>
      </c>
    </row>
    <row r="105" ht="38.25" customHeight="1">
      <c r="A105" t="inlineStr">
        <is>
          <t>2025广东时政知识点/时政习题/广东省情等</t>
        </is>
      </c>
      <c r="B105" t="inlineStr">
        <is>
          <t>__upload_recv7a0I3ZVUiL.jpg</t>
        </is>
      </c>
      <c r="C105" s="2" t="str">
        <f>=HYPERLINK("https://xhslink.com/m/4IZ07Cwyg8z", "https://xhslink.com/m/4IZ07Cwyg8z")</f>
        <v>https://xhslink.com/m/4IZ07Cwyg8z</v>
      </c>
      <c r="D105"/>
      <c r="E105">
        <v>1330</v>
      </c>
      <c r="F105">
        <v>4.9</v>
      </c>
      <c r="G105"/>
      <c r="H105">
        <v>550</v>
      </c>
      <c r="I105">
        <v>1000</v>
      </c>
      <c r="J105"/>
      <c r="K105" t="inlineStr">
        <is>
          <t>考研政治</t>
        </is>
      </c>
      <c r="L105" t="inlineStr">
        <is>
          <t>🔥低粉爆款</t>
        </is>
      </c>
      <c r="M105" t="inlineStr">
        <is>
          <t>月月希的店</t>
        </is>
      </c>
      <c r="N105">
        <v>293</v>
      </c>
      <c r="O105">
        <v>4.52</v>
      </c>
      <c r="P105">
        <v>5509</v>
      </c>
      <c r="Q105" t="inlineStr">
        <is>
          <t>68f6e5787d3b3f00015a2bb8</t>
        </is>
      </c>
      <c r="R105" t="inlineStr">
        <is>
          <t>🚫重复</t>
        </is>
      </c>
      <c r="S105" t="inlineStr">
        <is>
          <t>考公资料</t>
        </is>
      </c>
      <c r="T105" t="inlineStr">
        <is>
          <t>4.54</t>
        </is>
      </c>
      <c r="U105" s="3">
        <v>46112.78107638889</v>
      </c>
      <c r="V105"/>
      <c r="W105" s="3">
        <v>46024</v>
      </c>
      <c r="X105" t="inlineStr">
        <is>
          <t>01</t>
        </is>
      </c>
      <c r="Y105" t="inlineStr">
        <is>
          <t>2026-Q1</t>
        </is>
      </c>
    </row>
    <row r="106" ht="38.25" customHeight="1">
      <c r="A106" t="inlineStr">
        <is>
          <t>2025国考省考真题历年公务员考试卷真题行测申论</t>
        </is>
      </c>
      <c r="B106" t="inlineStr">
        <is>
          <t>__upload_recv7a0I3ZRT3s.jpg</t>
        </is>
      </c>
      <c r="C106" s="2" t="str">
        <f>=HYPERLINK("https://xhslink.com/m/29xWiishWuy", "https://xhslink.com/m/29xWiishWuy")</f>
        <v>https://xhslink.com/m/29xWiishWuy</v>
      </c>
      <c r="D106"/>
      <c r="E106">
        <v>4205</v>
      </c>
      <c r="F106">
        <v>8.99</v>
      </c>
      <c r="G106"/>
      <c r="H106">
        <v>300</v>
      </c>
      <c r="I106">
        <v>1000</v>
      </c>
      <c r="J106"/>
      <c r="K106" t="inlineStr">
        <is>
          <t>广东省考</t>
        </is>
      </c>
      <c r="L106" t="inlineStr">
        <is>
          <t>🔥低粉爆款</t>
        </is>
      </c>
      <c r="M106" t="inlineStr">
        <is>
          <t>张小小上岸的店</t>
        </is>
      </c>
      <c r="N106">
        <v>904</v>
      </c>
      <c r="O106">
        <v>4.52</v>
      </c>
      <c r="P106">
        <v>8615</v>
      </c>
      <c r="Q106" t="inlineStr">
        <is>
          <t>67a4a67297ab01000188586d</t>
        </is>
      </c>
      <c r="R106" t="inlineStr">
        <is>
          <t>🚫重复</t>
        </is>
      </c>
      <c r="S106" t="inlineStr">
        <is>
          <t>考公资料</t>
        </is>
      </c>
      <c r="T106" t="inlineStr">
        <is>
          <t>4.65</t>
        </is>
      </c>
      <c r="U106" s="3">
        <v>46112.78107638889</v>
      </c>
      <c r="V106"/>
      <c r="W106" s="3">
        <v>46024</v>
      </c>
      <c r="X106" t="inlineStr">
        <is>
          <t>01</t>
        </is>
      </c>
      <c r="Y106" t="inlineStr">
        <is>
          <t>2026-Q1</t>
        </is>
      </c>
    </row>
    <row r="107" ht="38.25" customHeight="1">
      <c r="A107" t="inlineStr">
        <is>
          <t>26省考公务员岗位表【电子版秒发】</t>
        </is>
      </c>
      <c r="B107" t="inlineStr">
        <is>
          <t>__upload_recv7a0I3ZeyqV.jpg</t>
        </is>
      </c>
      <c r="C107" s="2" t="str">
        <f>=HYPERLINK("https://xhslink.com/m/76GzCsrQT3X", "https://xhslink.com/m/76GzCsrQT3X")</f>
        <v>https://xhslink.com/m/76GzCsrQT3X</v>
      </c>
      <c r="D107"/>
      <c r="E107">
        <v>1614</v>
      </c>
      <c r="F107">
        <v>2.68</v>
      </c>
      <c r="G107"/>
      <c r="H107">
        <v>700</v>
      </c>
      <c r="I107">
        <v>1000</v>
      </c>
      <c r="J107"/>
      <c r="K107" t="inlineStr">
        <is>
          <t>广东省考</t>
        </is>
      </c>
      <c r="L107" t="inlineStr">
        <is>
          <t>🔥低粉爆款</t>
        </is>
      </c>
      <c r="M107" t="inlineStr">
        <is>
          <t>木木素材的店</t>
        </is>
      </c>
      <c r="N107">
        <v>240</v>
      </c>
      <c r="O107">
        <v>4.45</v>
      </c>
      <c r="P107">
        <v>2908</v>
      </c>
      <c r="Q107" t="inlineStr">
        <is>
          <t>68fc9302c4f8910001d326d3</t>
        </is>
      </c>
      <c r="R107" t="inlineStr">
        <is>
          <t>🚫重复</t>
        </is>
      </c>
      <c r="S107" t="inlineStr">
        <is>
          <t>考公资料</t>
        </is>
      </c>
      <c r="T107" t="inlineStr">
        <is>
          <t>6.72</t>
        </is>
      </c>
      <c r="U107" s="3">
        <v>46112.78107638889</v>
      </c>
      <c r="V107"/>
      <c r="W107" s="3">
        <v>46024</v>
      </c>
      <c r="X107" t="inlineStr">
        <is>
          <t>01</t>
        </is>
      </c>
      <c r="Y107" t="inlineStr">
        <is>
          <t>2026-Q1</t>
        </is>
      </c>
    </row>
    <row r="108" ht="38.25" customHeight="1">
      <c r="A108" t="inlineStr">
        <is>
          <t>2026工会工作者笔试考试题库资料工会知识公基时政职测笔记考点</t>
        </is>
      </c>
      <c r="B108" t="inlineStr">
        <is>
          <t>__upload_recv7a0I3ZxQxn.jpg</t>
        </is>
      </c>
      <c r="C108" s="2" t="str">
        <f>=HYPERLINK("https://xhslink.com/m/5lOmHIzBhG9", "https://xhslink.com/m/5lOmHIzBhG9")</f>
        <v>https://xhslink.com/m/5lOmHIzBhG9</v>
      </c>
      <c r="D108"/>
      <c r="E108">
        <v>4638</v>
      </c>
      <c r="F108">
        <v>18.88</v>
      </c>
      <c r="G108"/>
      <c r="H108">
        <v>350</v>
      </c>
      <c r="I108">
        <v>1000</v>
      </c>
      <c r="J108"/>
      <c r="K108" t="inlineStr">
        <is>
          <t>广东省考</t>
        </is>
      </c>
      <c r="L108"/>
      <c r="M108" t="inlineStr">
        <is>
          <t>乐X峰题库I星途的店</t>
        </is>
      </c>
      <c r="N108">
        <v>12000</v>
      </c>
      <c r="O108">
        <v>4.52</v>
      </c>
      <c r="P108">
        <v>76000</v>
      </c>
      <c r="Q108" t="inlineStr">
        <is>
          <t>6893514ae019f20001b133d0</t>
        </is>
      </c>
      <c r="R108" t="inlineStr">
        <is>
          <t>🚫重复</t>
        </is>
      </c>
      <c r="S108" t="inlineStr">
        <is>
          <t>无匹配类别</t>
        </is>
      </c>
      <c r="T108" t="inlineStr">
        <is>
          <t>0.39</t>
        </is>
      </c>
      <c r="U108" s="3">
        <v>46112.78107638889</v>
      </c>
      <c r="V108"/>
      <c r="W108" s="3">
        <v>46024</v>
      </c>
      <c r="X108" t="inlineStr">
        <is>
          <t>01</t>
        </is>
      </c>
      <c r="Y108" t="inlineStr">
        <is>
          <t>2026-Q1</t>
        </is>
      </c>
    </row>
    <row r="109" ht="38.25" customHeight="1">
      <c r="A109" t="inlineStr">
        <is>
          <t>网友红领巾神题本刷题跟练本言语数量资料判断国省考活页夹纸质版</t>
        </is>
      </c>
      <c r="B109" t="inlineStr">
        <is>
          <t>__upload_recv7a0I3ZShKW.jpg</t>
        </is>
      </c>
      <c r="C109" s="2" t="str">
        <f>=HYPERLINK("https://xhslink.com/m/4fXkKLorsWK", "https://xhslink.com/m/4fXkKLorsWK")</f>
        <v>https://xhslink.com/m/4fXkKLorsWK</v>
      </c>
      <c r="D109"/>
      <c r="E109">
        <v>6027</v>
      </c>
      <c r="F109">
        <v>16.8</v>
      </c>
      <c r="G109"/>
      <c r="H109">
        <v>300</v>
      </c>
      <c r="I109">
        <v>2000</v>
      </c>
      <c r="J109"/>
      <c r="K109" t="inlineStr">
        <is>
          <t>广东省考</t>
        </is>
      </c>
      <c r="L109" t="inlineStr">
        <is>
          <t>🔥低粉爆款</t>
        </is>
      </c>
      <c r="M109" t="inlineStr">
        <is>
          <t>公考打印的店</t>
        </is>
      </c>
      <c r="N109">
        <v>101</v>
      </c>
      <c r="O109">
        <v>4.21</v>
      </c>
      <c r="P109">
        <v>9607</v>
      </c>
      <c r="Q109" t="inlineStr">
        <is>
          <t>687f567286c0df00014e1d4d</t>
        </is>
      </c>
      <c r="R109" t="inlineStr">
        <is>
          <t>🚫重复</t>
        </is>
      </c>
      <c r="S109" t="inlineStr">
        <is>
          <t>考公资料</t>
        </is>
      </c>
      <c r="T109" t="inlineStr">
        <is>
          <t>59.67</t>
        </is>
      </c>
      <c r="U109" s="3">
        <v>46112.78107638889</v>
      </c>
      <c r="V109"/>
      <c r="W109" s="3">
        <v>46024</v>
      </c>
      <c r="X109" t="inlineStr">
        <is>
          <t>01</t>
        </is>
      </c>
      <c r="Y109" t="inlineStr">
        <is>
          <t>2026-Q1</t>
        </is>
      </c>
    </row>
    <row r="110" ht="38.25" customHeight="1">
      <c r="A110" t="inlineStr">
        <is>
          <t>26国考/省考袁东大作文素材全套资料</t>
        </is>
      </c>
      <c r="B110" t="inlineStr">
        <is>
          <t>__upload_recv7a0I3Zrnst.jpg</t>
        </is>
      </c>
      <c r="C110" s="2" t="str">
        <f>=HYPERLINK("https://xhslink.com/m/2MfJXRtmbLz", "https://xhslink.com/m/2MfJXRtmbLz")</f>
        <v>https://xhslink.com/m/2MfJXRtmbLz</v>
      </c>
      <c r="D110"/>
      <c r="E110">
        <v>5200</v>
      </c>
      <c r="F110">
        <v>4.99</v>
      </c>
      <c r="G110"/>
      <c r="H110">
        <v>5000</v>
      </c>
      <c r="I110">
        <v>5000</v>
      </c>
      <c r="J110"/>
      <c r="K110" t="inlineStr">
        <is>
          <t>广东省考</t>
        </is>
      </c>
      <c r="L110" t="inlineStr">
        <is>
          <t>🔥低粉爆款</t>
        </is>
      </c>
      <c r="M110" t="inlineStr">
        <is>
          <t>奋斗小白的店</t>
        </is>
      </c>
      <c r="N110">
        <v>350</v>
      </c>
      <c r="O110">
        <v>4.28</v>
      </c>
      <c r="P110">
        <v>12000</v>
      </c>
      <c r="Q110" t="inlineStr">
        <is>
          <t>691a934960f59700016bd824</t>
        </is>
      </c>
      <c r="R110" t="inlineStr">
        <is>
          <t>🚫重复</t>
        </is>
      </c>
      <c r="S110" t="inlineStr">
        <is>
          <t>考公资料</t>
        </is>
      </c>
      <c r="T110" t="inlineStr">
        <is>
          <t>14.86</t>
        </is>
      </c>
      <c r="U110" s="3">
        <v>46112.78107638889</v>
      </c>
      <c r="V110"/>
      <c r="W110" s="3">
        <v>46024</v>
      </c>
      <c r="X110" t="inlineStr">
        <is>
          <t>01</t>
        </is>
      </c>
      <c r="Y110" t="inlineStr">
        <is>
          <t>2026-Q1</t>
        </is>
      </c>
    </row>
    <row r="111" ht="38.25" customHeight="1">
      <c r="A111" t="inlineStr">
        <is>
          <t>2025人教版初中英语试卷单元测试期中期末复习七八九年级上下册</t>
        </is>
      </c>
      <c r="B111" t="inlineStr">
        <is>
          <t>__upload_recv7a0I3Z7XwB.jpg</t>
        </is>
      </c>
      <c r="C111" s="2" t="str">
        <f>=HYPERLINK("https://xhslink.com/m/3NxXl7A1hNR", "https://xhslink.com/m/3NxXl7A1hNR")</f>
        <v>https://xhslink.com/m/3NxXl7A1hNR</v>
      </c>
      <c r="D111"/>
      <c r="E111">
        <v>2657</v>
      </c>
      <c r="F111">
        <v>6.9</v>
      </c>
      <c r="G111"/>
      <c r="H111">
        <v>400</v>
      </c>
      <c r="I111">
        <v>1000</v>
      </c>
      <c r="J111"/>
      <c r="K111" t="inlineStr">
        <is>
          <t>广东省考</t>
        </is>
      </c>
      <c r="L111" t="inlineStr">
        <is>
          <t>🔥低粉爆款</t>
        </is>
      </c>
      <c r="M111" t="inlineStr">
        <is>
          <t>知识暖阳的店</t>
        </is>
      </c>
      <c r="N111">
        <v>716</v>
      </c>
      <c r="O111">
        <v>4.52</v>
      </c>
      <c r="P111">
        <v>5178</v>
      </c>
      <c r="Q111" t="inlineStr">
        <is>
          <t>688cce5902d7b000010ecc45</t>
        </is>
      </c>
      <c r="R111" t="inlineStr">
        <is>
          <t>🚫重复</t>
        </is>
      </c>
      <c r="S111" t="inlineStr">
        <is>
          <t>中小学教辅/教材</t>
        </is>
      </c>
      <c r="T111" t="inlineStr">
        <is>
          <t>3.71</t>
        </is>
      </c>
      <c r="U111" s="3">
        <v>46112.78107638889</v>
      </c>
      <c r="V111"/>
      <c r="W111" s="3">
        <v>46024</v>
      </c>
      <c r="X111" t="inlineStr">
        <is>
          <t>01</t>
        </is>
      </c>
      <c r="Y111" t="inlineStr">
        <is>
          <t>2026-Q1</t>
        </is>
      </c>
    </row>
    <row r="112" ht="38.25" customHeight="1">
      <c r="A112" t="inlineStr">
        <is>
          <t>2026国考半月谈白鹭16篇申论押题范文和解析</t>
        </is>
      </c>
      <c r="B112" t="inlineStr">
        <is>
          <t>__upload_recv7a0I3Za1oz.jpg</t>
        </is>
      </c>
      <c r="C112" s="2" t="str">
        <f>=HYPERLINK("https://xhslink.com/m/4fk9NoXRhu0", "https://xhslink.com/m/4fk9NoXRhu0")</f>
        <v>https://xhslink.com/m/4fk9NoXRhu0</v>
      </c>
      <c r="D112"/>
      <c r="E112">
        <v>1941</v>
      </c>
      <c r="F112">
        <v>3</v>
      </c>
      <c r="G112"/>
      <c r="H112">
        <v>550</v>
      </c>
      <c r="I112">
        <v>1000</v>
      </c>
      <c r="J112"/>
      <c r="K112" t="inlineStr">
        <is>
          <t>广东省考</t>
        </is>
      </c>
      <c r="L112"/>
      <c r="M112" t="inlineStr">
        <is>
          <t>好运猫哥的店</t>
        </is>
      </c>
      <c r="N112">
        <v>3188</v>
      </c>
      <c r="O112">
        <v>4.51</v>
      </c>
      <c r="P112">
        <v>10000</v>
      </c>
      <c r="Q112" t="inlineStr">
        <is>
          <t>6748474049ec9e00013aa502</t>
        </is>
      </c>
      <c r="R112"/>
      <c r="S112" t="inlineStr">
        <is>
          <t>考公资料</t>
        </is>
      </c>
      <c r="T112" t="inlineStr">
        <is>
          <t>0.61</t>
        </is>
      </c>
      <c r="U112" s="3">
        <v>46112.78107638889</v>
      </c>
      <c r="V112"/>
      <c r="W112" s="3">
        <v>46024</v>
      </c>
      <c r="X112" t="inlineStr">
        <is>
          <t>01</t>
        </is>
      </c>
      <c r="Y112" t="inlineStr">
        <is>
          <t>2026-Q1</t>
        </is>
      </c>
    </row>
    <row r="113" ht="38.25" customHeight="1">
      <c r="A113" t="inlineStr">
        <is>
          <t>2026国家公务员考试byt申论押题范文16篇国省考电子版PDF考前冲刺</t>
        </is>
      </c>
      <c r="B113" t="inlineStr">
        <is>
          <t>__upload_recv7a0I3ZkBow.jpg</t>
        </is>
      </c>
      <c r="C113" s="2" t="str">
        <f>=HYPERLINK("https://xhslink.com/m/2RuUhgpAxZf", "https://xhslink.com/m/2RuUhgpAxZf")</f>
        <v>https://xhslink.com/m/2RuUhgpAxZf</v>
      </c>
      <c r="D113"/>
      <c r="E113">
        <v>1493</v>
      </c>
      <c r="F113">
        <v>1.99</v>
      </c>
      <c r="G113"/>
      <c r="H113">
        <v>1000</v>
      </c>
      <c r="I113">
        <v>1000</v>
      </c>
      <c r="J113"/>
      <c r="K113" t="inlineStr">
        <is>
          <t>广东省考</t>
        </is>
      </c>
      <c r="L113"/>
      <c r="M113" t="inlineStr">
        <is>
          <t>伊一学姐的店</t>
        </is>
      </c>
      <c r="N113">
        <v>641</v>
      </c>
      <c r="O113">
        <v>4.56</v>
      </c>
      <c r="P113">
        <v>8789</v>
      </c>
      <c r="Q113" t="inlineStr">
        <is>
          <t>69159a9ca524ee000186b563</t>
        </is>
      </c>
      <c r="R113"/>
      <c r="S113" t="inlineStr">
        <is>
          <t>考公资料</t>
        </is>
      </c>
      <c r="T113" t="inlineStr">
        <is>
          <t>2.33</t>
        </is>
      </c>
      <c r="U113" s="3">
        <v>46112.78107638889</v>
      </c>
      <c r="V113"/>
      <c r="W113" s="3">
        <v>46024</v>
      </c>
      <c r="X113" t="inlineStr">
        <is>
          <t>01</t>
        </is>
      </c>
      <c r="Y113" t="inlineStr">
        <is>
          <t>2026-Q1</t>
        </is>
      </c>
    </row>
    <row r="114" ht="38.25" customHeight="1">
      <c r="A114" t="inlineStr">
        <is>
          <t>26资料分析超大杯讲义复盘笔记-PDF电子版-下单先看详情页</t>
        </is>
      </c>
      <c r="B114" t="inlineStr">
        <is>
          <t>__upload_recv7a0I3ZfXmr.jpg</t>
        </is>
      </c>
      <c r="C114" s="2" t="str">
        <f>=HYPERLINK("https://xhslink.com/m/2hKZHiu6fYv", "https://xhslink.com/m/2hKZHiu6fYv")</f>
        <v>https://xhslink.com/m/2hKZHiu6fYv</v>
      </c>
      <c r="D114"/>
      <c r="E114">
        <v>1366</v>
      </c>
      <c r="F114">
        <v>19.9</v>
      </c>
      <c r="G114"/>
      <c r="H114">
        <v>400</v>
      </c>
      <c r="I114">
        <v>1000</v>
      </c>
      <c r="J114"/>
      <c r="K114" t="inlineStr">
        <is>
          <t>广东省考</t>
        </is>
      </c>
      <c r="L114"/>
      <c r="M114" t="inlineStr">
        <is>
          <t>贝栗子的店</t>
        </is>
      </c>
      <c r="N114">
        <v>40000</v>
      </c>
      <c r="O114">
        <v>4.53</v>
      </c>
      <c r="P114">
        <v>20000</v>
      </c>
      <c r="Q114" t="inlineStr">
        <is>
          <t>693e1c63a1f9210001cc1db6</t>
        </is>
      </c>
      <c r="R114" t="inlineStr">
        <is>
          <t>🚫重复</t>
        </is>
      </c>
      <c r="S114" t="inlineStr">
        <is>
          <t>考公资料</t>
        </is>
      </c>
      <c r="T114" t="inlineStr">
        <is>
          <t>0.03</t>
        </is>
      </c>
      <c r="U114" s="3">
        <v>46112.78107638889</v>
      </c>
      <c r="V114"/>
      <c r="W114" s="3">
        <v>46024</v>
      </c>
      <c r="X114" t="inlineStr">
        <is>
          <t>01</t>
        </is>
      </c>
      <c r="Y114" t="inlineStr">
        <is>
          <t>2026-Q1</t>
        </is>
      </c>
    </row>
    <row r="115" ht="38.25" customHeight="1">
      <c r="A115" t="inlineStr">
        <is>
          <t>2025江苏省时政知识点/时政习题/江苏省情知识/江苏省情习题</t>
        </is>
      </c>
      <c r="B115" t="inlineStr">
        <is>
          <t>__upload_recv7a0I3Zpr4V.jpg</t>
        </is>
      </c>
      <c r="C115" s="2" t="str">
        <f>=HYPERLINK("https://xhslink.com/m/9M8QcRKU3N6", "https://xhslink.com/m/9M8QcRKU3N6")</f>
        <v>https://xhslink.com/m/9M8QcRKU3N6</v>
      </c>
      <c r="D115"/>
      <c r="E115">
        <v>1302</v>
      </c>
      <c r="F115">
        <v>6.9</v>
      </c>
      <c r="G115"/>
      <c r="H115">
        <v>900</v>
      </c>
      <c r="I115">
        <v>1000</v>
      </c>
      <c r="J115"/>
      <c r="K115" t="inlineStr">
        <is>
          <t>广东省考</t>
        </is>
      </c>
      <c r="L115" t="inlineStr">
        <is>
          <t>🔥低粉爆款</t>
        </is>
      </c>
      <c r="M115" t="inlineStr">
        <is>
          <t>月月希的店</t>
        </is>
      </c>
      <c r="N115">
        <v>293</v>
      </c>
      <c r="O115">
        <v>4.52</v>
      </c>
      <c r="P115">
        <v>5509</v>
      </c>
      <c r="Q115" t="inlineStr">
        <is>
          <t>690343177d4dcd00016a45f2</t>
        </is>
      </c>
      <c r="R115" t="inlineStr">
        <is>
          <t>🚫重复</t>
        </is>
      </c>
      <c r="S115" t="inlineStr">
        <is>
          <t>考公资料</t>
        </is>
      </c>
      <c r="T115" t="inlineStr">
        <is>
          <t>4.44</t>
        </is>
      </c>
      <c r="U115" s="3">
        <v>46112.78107638889</v>
      </c>
      <c r="V115"/>
      <c r="W115" s="3">
        <v>46024</v>
      </c>
      <c r="X115" t="inlineStr">
        <is>
          <t>01</t>
        </is>
      </c>
      <c r="Y115" t="inlineStr">
        <is>
          <t>2026-Q1</t>
        </is>
      </c>
    </row>
    <row r="116" ht="38.25" customHeight="1">
      <c r="A116" t="inlineStr">
        <is>
          <t>数量关系蒙题大法笔记</t>
        </is>
      </c>
      <c r="B116" t="inlineStr">
        <is>
          <t>__upload_recv7a0I3Z3NVK.jpg</t>
        </is>
      </c>
      <c r="C116" s="2" t="str">
        <f>=HYPERLINK("https://xhslink.com/m/8xtEwHcLeUi", "https://xhslink.com/m/8xtEwHcLeUi")</f>
        <v>https://xhslink.com/m/8xtEwHcLeUi</v>
      </c>
      <c r="D116"/>
      <c r="E116">
        <v>1240</v>
      </c>
      <c r="F116">
        <v>3.99</v>
      </c>
      <c r="G116"/>
      <c r="H116">
        <v>1000</v>
      </c>
      <c r="I116">
        <v>1000</v>
      </c>
      <c r="J116"/>
      <c r="K116" t="inlineStr">
        <is>
          <t>广东省考</t>
        </is>
      </c>
      <c r="L116"/>
      <c r="M116" t="inlineStr">
        <is>
          <t>橘子猫就是我的店</t>
        </is>
      </c>
      <c r="N116">
        <v>1211</v>
      </c>
      <c r="O116">
        <v>4.4</v>
      </c>
      <c r="P116">
        <v>2939</v>
      </c>
      <c r="Q116" t="inlineStr">
        <is>
          <t>692454b3d99a0a0001f247c5</t>
        </is>
      </c>
      <c r="R116"/>
      <c r="S116" t="inlineStr">
        <is>
          <t>无匹配类别</t>
        </is>
      </c>
      <c r="T116" t="inlineStr">
        <is>
          <t>1.02</t>
        </is>
      </c>
      <c r="U116" s="3">
        <v>46112.78107638889</v>
      </c>
      <c r="V116"/>
      <c r="W116" s="3">
        <v>46024</v>
      </c>
      <c r="X116" t="inlineStr">
        <is>
          <t>01</t>
        </is>
      </c>
      <c r="Y116" t="inlineStr">
        <is>
          <t>2026-Q1</t>
        </is>
      </c>
    </row>
    <row r="117" ht="38.25" customHeight="1">
      <c r="A117" t="inlineStr">
        <is>
          <t>公务员国考省考历年真题套卷</t>
        </is>
      </c>
      <c r="B117" t="inlineStr">
        <is>
          <t>__upload_recv7a0I3ZpDL2.jpg</t>
        </is>
      </c>
      <c r="C117" s="2" t="str">
        <f>=HYPERLINK("https://xhslink.com/m/531EIvCAA21", "https://xhslink.com/m/531EIvCAA21")</f>
        <v>https://xhslink.com/m/531EIvCAA21</v>
      </c>
      <c r="D117"/>
      <c r="E117">
        <v>6582</v>
      </c>
      <c r="F117">
        <v>16</v>
      </c>
      <c r="G117"/>
      <c r="H117">
        <v>450</v>
      </c>
      <c r="I117">
        <v>2000</v>
      </c>
      <c r="J117"/>
      <c r="K117" t="inlineStr">
        <is>
          <t>山东省考</t>
        </is>
      </c>
      <c r="L117"/>
      <c r="M117" t="inlineStr">
        <is>
          <t>小吴的考公书斋的店</t>
        </is>
      </c>
      <c r="N117">
        <v>5822</v>
      </c>
      <c r="O117">
        <v>4.45</v>
      </c>
      <c r="P117">
        <v>13000</v>
      </c>
      <c r="Q117" t="inlineStr">
        <is>
          <t>66a21bd348950300019341a1</t>
        </is>
      </c>
      <c r="R117" t="inlineStr">
        <is>
          <t>🚫重复</t>
        </is>
      </c>
      <c r="S117" t="inlineStr">
        <is>
          <t>考公资料</t>
        </is>
      </c>
      <c r="T117" t="inlineStr">
        <is>
          <t>1.13</t>
        </is>
      </c>
      <c r="U117" s="3">
        <v>46112.78107638889</v>
      </c>
      <c r="V117"/>
      <c r="W117" s="3">
        <v>46024</v>
      </c>
      <c r="X117" t="inlineStr">
        <is>
          <t>01</t>
        </is>
      </c>
      <c r="Y117" t="inlineStr">
        <is>
          <t>2026-Q1</t>
        </is>
      </c>
    </row>
    <row r="118" ht="38.25" customHeight="1">
      <c r="A118" t="inlineStr">
        <is>
          <t>2025国考省考真题历年公务员考试卷真题行测申论</t>
        </is>
      </c>
      <c r="B118" t="inlineStr">
        <is>
          <t>__upload_recv7a0I3ZJzez.jpg</t>
        </is>
      </c>
      <c r="C118" s="2" t="str">
        <f>=HYPERLINK("https://xhslink.com/m/9iQN1HVhaBS", "https://xhslink.com/m/9iQN1HVhaBS")</f>
        <v>https://xhslink.com/m/9iQN1HVhaBS</v>
      </c>
      <c r="D118"/>
      <c r="E118">
        <v>4205</v>
      </c>
      <c r="F118">
        <v>8.99</v>
      </c>
      <c r="G118"/>
      <c r="H118">
        <v>300</v>
      </c>
      <c r="I118">
        <v>1000</v>
      </c>
      <c r="J118"/>
      <c r="K118" t="inlineStr">
        <is>
          <t>山东省考</t>
        </is>
      </c>
      <c r="L118" t="inlineStr">
        <is>
          <t>🔥低粉爆款</t>
        </is>
      </c>
      <c r="M118" t="inlineStr">
        <is>
          <t>张小小上岸的店</t>
        </is>
      </c>
      <c r="N118">
        <v>904</v>
      </c>
      <c r="O118">
        <v>4.52</v>
      </c>
      <c r="P118">
        <v>8615</v>
      </c>
      <c r="Q118" t="inlineStr">
        <is>
          <t>67a48b57e437e40001dd537a</t>
        </is>
      </c>
      <c r="R118" t="inlineStr">
        <is>
          <t>🚫重复</t>
        </is>
      </c>
      <c r="S118" t="inlineStr">
        <is>
          <t>考公资料</t>
        </is>
      </c>
      <c r="T118" t="inlineStr">
        <is>
          <t>4.65</t>
        </is>
      </c>
      <c r="U118" s="3">
        <v>46112.78107638889</v>
      </c>
      <c r="V118"/>
      <c r="W118" s="3">
        <v>46024</v>
      </c>
      <c r="X118" t="inlineStr">
        <is>
          <t>01</t>
        </is>
      </c>
      <c r="Y118" t="inlineStr">
        <is>
          <t>2026-Q1</t>
        </is>
      </c>
    </row>
    <row r="119" ht="38.25" customHeight="1">
      <c r="A119" t="inlineStr">
        <is>
          <t>2025年各省时政|全国省情省况|时政热点工作报告|国考省考事业编</t>
        </is>
      </c>
      <c r="B119" t="inlineStr">
        <is>
          <t>__upload_recv7a39M41q0K.jpg</t>
        </is>
      </c>
      <c r="C119" s="2" t="str">
        <f>=HYPERLINK("https://xhslink.com/m/AD3qvyHJCf4", "https://xhslink.com/m/AD3qvyHJCf4")</f>
        <v>https://xhslink.com/m/AD3qvyHJCf4</v>
      </c>
      <c r="D119"/>
      <c r="E119">
        <v>1054</v>
      </c>
      <c r="F119">
        <v>5.99</v>
      </c>
      <c r="G119"/>
      <c r="H119">
        <v>350</v>
      </c>
      <c r="I119">
        <v>1000</v>
      </c>
      <c r="J119"/>
      <c r="K119" t="inlineStr">
        <is>
          <t>山东省考</t>
        </is>
      </c>
      <c r="L119"/>
      <c r="M119" t="inlineStr">
        <is>
          <t>Lucky学姐公考情报局的店</t>
        </is>
      </c>
      <c r="N119">
        <v>615</v>
      </c>
      <c r="O119">
        <v>4.51</v>
      </c>
      <c r="P119">
        <v>1763</v>
      </c>
      <c r="Q119" t="inlineStr">
        <is>
          <t>68cd0f9634db2a0001747a77</t>
        </is>
      </c>
      <c r="R119" t="inlineStr">
        <is>
          <t>🚫重复</t>
        </is>
      </c>
      <c r="S119" t="inlineStr">
        <is>
          <t>考公资料</t>
        </is>
      </c>
      <c r="T119" t="inlineStr">
        <is>
          <t>1.71</t>
        </is>
      </c>
      <c r="U119" s="3">
        <v>46112.78107638889</v>
      </c>
      <c r="V119"/>
      <c r="W119" s="3">
        <v>46024</v>
      </c>
      <c r="X119" t="inlineStr">
        <is>
          <t>01</t>
        </is>
      </c>
      <c r="Y119" t="inlineStr">
        <is>
          <t>2026-Q1</t>
        </is>
      </c>
    </row>
    <row r="120" ht="38.25" customHeight="1">
      <c r="A120" t="inlineStr">
        <is>
          <t>2026工会工作者笔试考试题库资料工会知识公基时政职测笔记考点</t>
        </is>
      </c>
      <c r="B120" t="inlineStr">
        <is>
          <t>__upload_recv7a39M4Cx8P.jpg</t>
        </is>
      </c>
      <c r="C120" s="2" t="str">
        <f>=HYPERLINK("https://xhslink.com/m/5dJ9tB0wj8w", "https://xhslink.com/m/5dJ9tB0wj8w")</f>
        <v>https://xhslink.com/m/5dJ9tB0wj8w</v>
      </c>
      <c r="D120"/>
      <c r="E120">
        <v>4638</v>
      </c>
      <c r="F120">
        <v>26.88</v>
      </c>
      <c r="G120"/>
      <c r="H120">
        <v>350</v>
      </c>
      <c r="I120">
        <v>1000</v>
      </c>
      <c r="J120"/>
      <c r="K120" t="inlineStr">
        <is>
          <t>山东省考</t>
        </is>
      </c>
      <c r="L120"/>
      <c r="M120" t="inlineStr">
        <is>
          <t>乐X峰题库I星途的店</t>
        </is>
      </c>
      <c r="N120">
        <v>12000</v>
      </c>
      <c r="O120">
        <v>4.52</v>
      </c>
      <c r="P120">
        <v>76000</v>
      </c>
      <c r="Q120" t="inlineStr">
        <is>
          <t>6893514ae019f20001b13379</t>
        </is>
      </c>
      <c r="R120" t="inlineStr">
        <is>
          <t>🚫重复</t>
        </is>
      </c>
      <c r="S120" t="inlineStr">
        <is>
          <t>无匹配类别</t>
        </is>
      </c>
      <c r="T120" t="inlineStr">
        <is>
          <t>0.39</t>
        </is>
      </c>
      <c r="U120" s="3">
        <v>46112.78107638889</v>
      </c>
      <c r="V120"/>
      <c r="W120" s="3">
        <v>46024</v>
      </c>
      <c r="X120" t="inlineStr">
        <is>
          <t>01</t>
        </is>
      </c>
      <c r="Y120" t="inlineStr">
        <is>
          <t>2026-Q1</t>
        </is>
      </c>
    </row>
    <row r="121" ht="38.25" customHeight="1">
      <c r="A121" t="inlineStr">
        <is>
          <t>2026公安辅警招聘考试题库软件APP公安基础知识行测法律时政真题</t>
        </is>
      </c>
      <c r="B121" t="inlineStr">
        <is>
          <t>__upload_recv7a39M4L3l6.jpg</t>
        </is>
      </c>
      <c r="C121" s="2" t="str">
        <f>=HYPERLINK("https://xhslink.com/m/2PUVkyYkksS", "https://xhslink.com/m/2PUVkyYkksS")</f>
        <v>https://xhslink.com/m/2PUVkyYkksS</v>
      </c>
      <c r="D121"/>
      <c r="E121">
        <v>2323</v>
      </c>
      <c r="F121">
        <v>22.8</v>
      </c>
      <c r="G121"/>
      <c r="H121">
        <v>300</v>
      </c>
      <c r="I121">
        <v>1000</v>
      </c>
      <c r="J121"/>
      <c r="K121" t="inlineStr">
        <is>
          <t>山东省考</t>
        </is>
      </c>
      <c r="L121"/>
      <c r="M121" t="inlineStr">
        <is>
          <t>果果study的店</t>
        </is>
      </c>
      <c r="N121">
        <v>883</v>
      </c>
      <c r="O121">
        <v>4.57</v>
      </c>
      <c r="P121">
        <v>12000</v>
      </c>
      <c r="Q121" t="inlineStr">
        <is>
          <t>68fb412ccdf9d6000135c30b</t>
        </is>
      </c>
      <c r="R121" t="inlineStr">
        <is>
          <t>🚫重复</t>
        </is>
      </c>
      <c r="S121" t="inlineStr">
        <is>
          <t>软件应用</t>
        </is>
      </c>
      <c r="T121" t="inlineStr">
        <is>
          <t>2.63</t>
        </is>
      </c>
      <c r="U121" s="3">
        <v>46112.78107638889</v>
      </c>
      <c r="V121"/>
      <c r="W121" s="3">
        <v>46024</v>
      </c>
      <c r="X121" t="inlineStr">
        <is>
          <t>01</t>
        </is>
      </c>
      <c r="Y121" t="inlineStr">
        <is>
          <t>2026-Q1</t>
        </is>
      </c>
    </row>
    <row r="122" ht="38.25" customHeight="1">
      <c r="A122" t="inlineStr">
        <is>
          <t>网友红领巾神题本刷题跟练本言语数量资料判断国省考活页夹纸质版</t>
        </is>
      </c>
      <c r="B122" t="inlineStr">
        <is>
          <t>__upload_recv7a39M4sJJC.jpg</t>
        </is>
      </c>
      <c r="C122" s="2" t="str">
        <f>=HYPERLINK("https://xhslink.com/m/91oOHvpFQwd", "https://xhslink.com/m/91oOHvpFQwd")</f>
        <v>https://xhslink.com/m/91oOHvpFQwd</v>
      </c>
      <c r="D122"/>
      <c r="E122">
        <v>6027</v>
      </c>
      <c r="F122">
        <v>20.8</v>
      </c>
      <c r="G122"/>
      <c r="H122">
        <v>300</v>
      </c>
      <c r="I122">
        <v>2000</v>
      </c>
      <c r="J122"/>
      <c r="K122" t="inlineStr">
        <is>
          <t>山东省考</t>
        </is>
      </c>
      <c r="L122" t="inlineStr">
        <is>
          <t>🔥低粉爆款</t>
        </is>
      </c>
      <c r="M122" t="inlineStr">
        <is>
          <t>公考打印的店</t>
        </is>
      </c>
      <c r="N122">
        <v>101</v>
      </c>
      <c r="O122">
        <v>4.21</v>
      </c>
      <c r="P122">
        <v>9607</v>
      </c>
      <c r="Q122" t="inlineStr">
        <is>
          <t>687f567286c0df00014e1d53</t>
        </is>
      </c>
      <c r="R122" t="inlineStr">
        <is>
          <t>🚫重复</t>
        </is>
      </c>
      <c r="S122" t="inlineStr">
        <is>
          <t>考公资料</t>
        </is>
      </c>
      <c r="T122" t="inlineStr">
        <is>
          <t>59.67</t>
        </is>
      </c>
      <c r="U122" s="3">
        <v>46112.78107638889</v>
      </c>
      <c r="V122"/>
      <c r="W122" s="3">
        <v>46024</v>
      </c>
      <c r="X122" t="inlineStr">
        <is>
          <t>01</t>
        </is>
      </c>
      <c r="Y122" t="inlineStr">
        <is>
          <t>2026-Q1</t>
        </is>
      </c>
    </row>
    <row r="123" ht="38.25" customHeight="1">
      <c r="A123" t="inlineStr">
        <is>
          <t>初中练习单元期中期末月考检测卷初一初二初三多版本【电子版】</t>
        </is>
      </c>
      <c r="B123" t="inlineStr">
        <is>
          <t>__upload_recv7a39M4N3La.jpg</t>
        </is>
      </c>
      <c r="C123" s="2" t="str">
        <f>=HYPERLINK("https://xhslink.com/m/5C2MG7eQvyR", "https://xhslink.com/m/5C2MG7eQvyR")</f>
        <v>https://xhslink.com/m/5C2MG7eQvyR</v>
      </c>
      <c r="D123"/>
      <c r="E123">
        <v>5870</v>
      </c>
      <c r="F123">
        <v>4.9</v>
      </c>
      <c r="G123"/>
      <c r="H123">
        <v>500</v>
      </c>
      <c r="I123">
        <v>1000</v>
      </c>
      <c r="J123"/>
      <c r="K123" t="inlineStr">
        <is>
          <t>山东省考</t>
        </is>
      </c>
      <c r="L123" t="inlineStr">
        <is>
          <t>🔥低粉爆款</t>
        </is>
      </c>
      <c r="M123" t="inlineStr">
        <is>
          <t>周老师的资料库的店</t>
        </is>
      </c>
      <c r="N123">
        <v>1411</v>
      </c>
      <c r="O123">
        <v>4.56</v>
      </c>
      <c r="P123">
        <v>10000</v>
      </c>
      <c r="Q123" t="inlineStr">
        <is>
          <t>683e925b6aec03001539a750</t>
        </is>
      </c>
      <c r="R123" t="inlineStr">
        <is>
          <t>🚫重复</t>
        </is>
      </c>
      <c r="S123" t="inlineStr">
        <is>
          <t>中小学教辅/教材</t>
        </is>
      </c>
      <c r="T123" t="inlineStr">
        <is>
          <t>4.16</t>
        </is>
      </c>
      <c r="U123" s="3">
        <v>46112.78107638889</v>
      </c>
      <c r="V123"/>
      <c r="W123" s="3">
        <v>46024</v>
      </c>
      <c r="X123" t="inlineStr">
        <is>
          <t>01</t>
        </is>
      </c>
      <c r="Y123" t="inlineStr">
        <is>
          <t>2026-Q1</t>
        </is>
      </c>
    </row>
    <row r="124" ht="38.25" customHeight="1">
      <c r="A124" t="inlineStr">
        <is>
          <t>2026专升本英语大雁老师全套课程（默认baidu网盘）</t>
        </is>
      </c>
      <c r="B124" t="inlineStr">
        <is>
          <t>__upload_recv7a39M4OQ5y.jpg</t>
        </is>
      </c>
      <c r="C124" s="2" t="str">
        <f>=HYPERLINK("https://xhslink.com/m/iwtRBAIg3N", "https://xhslink.com/m/iwtRBAIg3N")</f>
        <v>https://xhslink.com/m/iwtRBAIg3N</v>
      </c>
      <c r="D124"/>
      <c r="E124">
        <v>3739</v>
      </c>
      <c r="F124">
        <v>9.9</v>
      </c>
      <c r="G124"/>
      <c r="H124">
        <v>350</v>
      </c>
      <c r="I124">
        <v>1000</v>
      </c>
      <c r="J124"/>
      <c r="K124" t="inlineStr">
        <is>
          <t>山东省考</t>
        </is>
      </c>
      <c r="L124" t="inlineStr">
        <is>
          <t>🔥低粉爆款</t>
        </is>
      </c>
      <c r="M124" t="inlineStr">
        <is>
          <t>拼搏小Y的店</t>
        </is>
      </c>
      <c r="N124">
        <v>252</v>
      </c>
      <c r="O124">
        <v>4.51</v>
      </c>
      <c r="P124">
        <v>4885</v>
      </c>
      <c r="Q124" t="inlineStr">
        <is>
          <t>684f531ee874f200017ce40e</t>
        </is>
      </c>
      <c r="R124"/>
      <c r="S124" t="inlineStr">
        <is>
          <t>英语资料</t>
        </is>
      </c>
      <c r="T124" t="inlineStr">
        <is>
          <t>14.84</t>
        </is>
      </c>
      <c r="U124" s="3">
        <v>46112.78107638889</v>
      </c>
      <c r="V124"/>
      <c r="W124" s="3">
        <v>46024</v>
      </c>
      <c r="X124" t="inlineStr">
        <is>
          <t>01</t>
        </is>
      </c>
      <c r="Y124" t="inlineStr">
        <is>
          <t>2026-Q1</t>
        </is>
      </c>
    </row>
    <row r="125" ht="38.25" customHeight="1">
      <c r="A125" t="inlineStr">
        <is>
          <t>超格国考政治理论200题笔记（已完结）</t>
        </is>
      </c>
      <c r="B125" t="inlineStr">
        <is>
          <t>__upload_recv7a39M4hSoi.jpg</t>
        </is>
      </c>
      <c r="C125" s="2" t="str">
        <f>=HYPERLINK("https://xhslink.com/m/6GD3ar8c9l5", "https://xhslink.com/m/6GD3ar8c9l5")</f>
        <v>https://xhslink.com/m/6GD3ar8c9l5</v>
      </c>
      <c r="D125"/>
      <c r="E125">
        <v>3162</v>
      </c>
      <c r="F125">
        <v>3.99</v>
      </c>
      <c r="G125"/>
      <c r="H125">
        <v>1500</v>
      </c>
      <c r="I125">
        <v>3000</v>
      </c>
      <c r="J125"/>
      <c r="K125" t="inlineStr">
        <is>
          <t>山东省考</t>
        </is>
      </c>
      <c r="L125"/>
      <c r="M125" t="inlineStr">
        <is>
          <t>洋芋不做小困包（超前完成任务版）的店</t>
        </is>
      </c>
      <c r="N125">
        <v>60000</v>
      </c>
      <c r="O125">
        <v>4.53</v>
      </c>
      <c r="P125">
        <v>25000</v>
      </c>
      <c r="Q125" t="inlineStr">
        <is>
          <t>69100f44f73ffe0001b285c9</t>
        </is>
      </c>
      <c r="R125" t="inlineStr">
        <is>
          <t>🚫重复</t>
        </is>
      </c>
      <c r="S125" t="inlineStr">
        <is>
          <t>考公资料</t>
        </is>
      </c>
      <c r="T125" t="inlineStr">
        <is>
          <t>0.05</t>
        </is>
      </c>
      <c r="U125" s="3">
        <v>46112.78107638889</v>
      </c>
      <c r="V125"/>
      <c r="W125" s="3">
        <v>46024</v>
      </c>
      <c r="X125" t="inlineStr">
        <is>
          <t>01</t>
        </is>
      </c>
      <c r="Y125" t="inlineStr">
        <is>
          <t>2026-Q1</t>
        </is>
      </c>
    </row>
    <row r="126" ht="38.25" customHeight="1">
      <c r="A126" t="inlineStr">
        <is>
          <t>初一初二期中期末考试多套模拟试卷+专项训练人教版【电子版】</t>
        </is>
      </c>
      <c r="B126" t="inlineStr">
        <is>
          <t>__upload_recv7a39M4juww.jpg</t>
        </is>
      </c>
      <c r="C126" s="2" t="str">
        <f>=HYPERLINK("https://xhslink.com/m/7WOhSJij4aO", "https://xhslink.com/m/7WOhSJij4aO")</f>
        <v>https://xhslink.com/m/7WOhSJij4aO</v>
      </c>
      <c r="D126"/>
      <c r="E126">
        <v>2687</v>
      </c>
      <c r="F126">
        <v>7.8</v>
      </c>
      <c r="G126"/>
      <c r="H126">
        <v>800</v>
      </c>
      <c r="I126">
        <v>2000</v>
      </c>
      <c r="J126"/>
      <c r="K126" t="inlineStr">
        <is>
          <t>山东省考</t>
        </is>
      </c>
      <c r="L126"/>
      <c r="M126" t="inlineStr">
        <is>
          <t>备考高分资料的店</t>
        </is>
      </c>
      <c r="N126">
        <v>3684</v>
      </c>
      <c r="O126">
        <v>4.45</v>
      </c>
      <c r="P126">
        <v>4200</v>
      </c>
      <c r="Q126" t="inlineStr">
        <is>
          <t>692a3e8818096d0001dd18ea</t>
        </is>
      </c>
      <c r="R126" t="inlineStr">
        <is>
          <t>🚫重复</t>
        </is>
      </c>
      <c r="S126" t="inlineStr">
        <is>
          <t>中小学教辅/教材</t>
        </is>
      </c>
      <c r="T126" t="inlineStr">
        <is>
          <t>0.73</t>
        </is>
      </c>
      <c r="U126" s="3">
        <v>46112.78107638889</v>
      </c>
      <c r="V126"/>
      <c r="W126" s="3">
        <v>46024</v>
      </c>
      <c r="X126" t="inlineStr">
        <is>
          <t>01</t>
        </is>
      </c>
      <c r="Y126" t="inlineStr">
        <is>
          <t>2026-Q1</t>
        </is>
      </c>
    </row>
    <row r="127" ht="38.25" customHeight="1">
      <c r="A127" t="inlineStr">
        <is>
          <t>袁东申论大作文模版</t>
        </is>
      </c>
      <c r="B127" t="inlineStr">
        <is>
          <t>__upload_recv7a39M4UT8p.jpg</t>
        </is>
      </c>
      <c r="C127" s="2" t="str">
        <f>=HYPERLINK("https://xhslink.com/m/30DPWvzqRdm", "https://xhslink.com/m/30DPWvzqRdm")</f>
        <v>https://xhslink.com/m/30DPWvzqRdm</v>
      </c>
      <c r="D127"/>
      <c r="E127">
        <v>1515</v>
      </c>
      <c r="F127">
        <v>2.99</v>
      </c>
      <c r="G127"/>
      <c r="H127">
        <v>750</v>
      </c>
      <c r="I127">
        <v>1000</v>
      </c>
      <c r="J127"/>
      <c r="K127" t="inlineStr">
        <is>
          <t>山东省考</t>
        </is>
      </c>
      <c r="L127" t="inlineStr">
        <is>
          <t>🔥低粉爆款</t>
        </is>
      </c>
      <c r="M127" t="inlineStr">
        <is>
          <t>棉麻七的店</t>
        </is>
      </c>
      <c r="N127">
        <v>336</v>
      </c>
      <c r="O127">
        <v>4.45</v>
      </c>
      <c r="P127">
        <v>1916</v>
      </c>
      <c r="Q127" t="inlineStr">
        <is>
          <t>68b901c79a16410001c2e75a</t>
        </is>
      </c>
      <c r="R127"/>
      <c r="S127" t="inlineStr">
        <is>
          <t>考公资料</t>
        </is>
      </c>
      <c r="T127" t="inlineStr">
        <is>
          <t>4.51</t>
        </is>
      </c>
      <c r="U127" s="3">
        <v>46112.78107638889</v>
      </c>
      <c r="V127"/>
      <c r="W127" s="3">
        <v>46024</v>
      </c>
      <c r="X127" t="inlineStr">
        <is>
          <t>01</t>
        </is>
      </c>
      <c r="Y127" t="inlineStr">
        <is>
          <t>2026-Q1</t>
        </is>
      </c>
    </row>
    <row r="128" ht="38.25" customHeight="1">
      <c r="A128" t="inlineStr">
        <is>
          <t>日更：26届秋招信息汇总（含780+免笔试企业、截止日期）-秒发货</t>
        </is>
      </c>
      <c r="B128" t="inlineStr">
        <is>
          <t>__upload_recv7a39M4UKQW.jpg</t>
        </is>
      </c>
      <c r="C128" s="2" t="str">
        <f>=HYPERLINK("https://xhslink.com/m/2Sy4naPu9bw", "https://xhslink.com/m/2Sy4naPu9bw")</f>
        <v>https://xhslink.com/m/2Sy4naPu9bw</v>
      </c>
      <c r="D128"/>
      <c r="E128">
        <v>1341</v>
      </c>
      <c r="F128">
        <v>19.9</v>
      </c>
      <c r="G128"/>
      <c r="H128">
        <v>300</v>
      </c>
      <c r="I128">
        <v>1000</v>
      </c>
      <c r="J128"/>
      <c r="K128" t="inlineStr">
        <is>
          <t>山东省考</t>
        </is>
      </c>
      <c r="L128"/>
      <c r="M128" t="inlineStr">
        <is>
          <t>校招接Offer的店</t>
        </is>
      </c>
      <c r="N128">
        <v>1573</v>
      </c>
      <c r="O128">
        <v>4.49</v>
      </c>
      <c r="P128">
        <v>1349</v>
      </c>
      <c r="Q128" t="inlineStr">
        <is>
          <t>688e2558e019f200017c73d8</t>
        </is>
      </c>
      <c r="R128"/>
      <c r="S128" t="inlineStr">
        <is>
          <t>求职面试/职场</t>
        </is>
      </c>
      <c r="T128" t="inlineStr">
        <is>
          <t>0.85</t>
        </is>
      </c>
      <c r="U128" s="3">
        <v>46112.78107638889</v>
      </c>
      <c r="V128"/>
      <c r="W128" s="3">
        <v>46024</v>
      </c>
      <c r="X128" t="inlineStr">
        <is>
          <t>01</t>
        </is>
      </c>
      <c r="Y128" t="inlineStr">
        <is>
          <t>2026-Q1</t>
        </is>
      </c>
    </row>
    <row r="129" ht="38.25" customHeight="1">
      <c r="A129" t="inlineStr">
        <is>
          <t>教资面试 八大课型逐字稿+知识点+真题带练 看好下单不支持退款</t>
        </is>
      </c>
      <c r="B129" t="inlineStr">
        <is>
          <t>__upload_recv7a39M4Lw3l.jpg</t>
        </is>
      </c>
      <c r="C129" s="2" t="str">
        <f>=HYPERLINK("https://xhslink.com/m/9hZgZjxW5hJ", "https://xhslink.com/m/9hZgZjxW5hJ")</f>
        <v>https://xhslink.com/m/9hZgZjxW5hJ</v>
      </c>
      <c r="D129"/>
      <c r="E129">
        <v>3331</v>
      </c>
      <c r="F129">
        <v>19.99</v>
      </c>
      <c r="G129"/>
      <c r="H129">
        <v>1500</v>
      </c>
      <c r="I129">
        <v>2000</v>
      </c>
      <c r="J129"/>
      <c r="K129" t="inlineStr">
        <is>
          <t>教资面试</t>
        </is>
      </c>
      <c r="L129"/>
      <c r="M129" t="inlineStr">
        <is>
          <t>诉 冬 时的店</t>
        </is>
      </c>
      <c r="N129">
        <v>24000</v>
      </c>
      <c r="O129">
        <v>4.58</v>
      </c>
      <c r="P129">
        <v>5294</v>
      </c>
      <c r="Q129" t="inlineStr">
        <is>
          <t>673b095f4f0ec70001a9dcfa</t>
        </is>
      </c>
      <c r="R129" t="inlineStr">
        <is>
          <t>🚫重复</t>
        </is>
      </c>
      <c r="S129" t="inlineStr">
        <is>
          <t>教资资料</t>
        </is>
      </c>
      <c r="T129" t="inlineStr">
        <is>
          <t>0.14</t>
        </is>
      </c>
      <c r="U129" s="3">
        <v>46112.78107638889</v>
      </c>
      <c r="V129"/>
      <c r="W129" s="3">
        <v>46024</v>
      </c>
      <c r="X129" t="inlineStr">
        <is>
          <t>01</t>
        </is>
      </c>
      <c r="Y129" t="inlineStr">
        <is>
          <t>2026-Q1</t>
        </is>
      </c>
    </row>
    <row r="130" ht="38.25" customHeight="1">
      <c r="A130" t="inlineStr">
        <is>
          <t>上岸熊 · 25下教资面试结构化72道真题+考前8页纸（25年新版）｜电子版自动</t>
        </is>
      </c>
      <c r="B130" t="inlineStr">
        <is>
          <t>__upload_recv7a39M4bzXA.jpg</t>
        </is>
      </c>
      <c r="C130" s="2" t="str">
        <f>=HYPERLINK("https://xhslink.com/m/9f7TgKHQuND", "https://xhslink.com/m/9f7TgKHQuND")</f>
        <v>https://xhslink.com/m/9f7TgKHQuND</v>
      </c>
      <c r="D130"/>
      <c r="E130">
        <v>1841</v>
      </c>
      <c r="F130">
        <v>2.9</v>
      </c>
      <c r="G130"/>
      <c r="H130">
        <v>850</v>
      </c>
      <c r="I130">
        <v>1000</v>
      </c>
      <c r="J130"/>
      <c r="K130" t="inlineStr">
        <is>
          <t>教资面试</t>
        </is>
      </c>
      <c r="L130"/>
      <c r="M130" t="inlineStr">
        <is>
          <t>子悠学姐（资料版）的店</t>
        </is>
      </c>
      <c r="N130">
        <v>6084</v>
      </c>
      <c r="O130">
        <v>4.38</v>
      </c>
      <c r="P130">
        <v>50000</v>
      </c>
      <c r="Q130" t="inlineStr">
        <is>
          <t>6815c62fcdf4840001cc1cf4</t>
        </is>
      </c>
      <c r="R130" t="inlineStr">
        <is>
          <t>🚫重复</t>
        </is>
      </c>
      <c r="S130" t="inlineStr">
        <is>
          <t>教资资料</t>
        </is>
      </c>
      <c r="T130" t="inlineStr">
        <is>
          <t>0.30</t>
        </is>
      </c>
      <c r="U130" s="3">
        <v>46112.78107638889</v>
      </c>
      <c r="V130"/>
      <c r="W130" s="3">
        <v>46024</v>
      </c>
      <c r="X130" t="inlineStr">
        <is>
          <t>01</t>
        </is>
      </c>
      <c r="Y130" t="inlineStr">
        <is>
          <t>2026-Q1</t>
        </is>
      </c>
    </row>
    <row r="131" ht="38.25" customHeight="1">
      <c r="A131" t="inlineStr">
        <is>
          <t>25教资面试结构化资料（电子版呦，不退不换）</t>
        </is>
      </c>
      <c r="B131" t="inlineStr">
        <is>
          <t>__upload_recv7a39M4J0ES.jpg</t>
        </is>
      </c>
      <c r="C131" s="2" t="str">
        <f>=HYPERLINK("https://xhslink.com/m/1asyw54vSac", "https://xhslink.com/m/1asyw54vSac")</f>
        <v>https://xhslink.com/m/1asyw54vSac</v>
      </c>
      <c r="D131"/>
      <c r="E131">
        <v>1323</v>
      </c>
      <c r="F131">
        <v>1.88</v>
      </c>
      <c r="G131"/>
      <c r="H131">
        <v>1000</v>
      </c>
      <c r="I131">
        <v>1000</v>
      </c>
      <c r="J131"/>
      <c r="K131" t="inlineStr">
        <is>
          <t>教资面试</t>
        </is>
      </c>
      <c r="L131"/>
      <c r="M131" t="inlineStr">
        <is>
          <t>爱学习的点点的店</t>
        </is>
      </c>
      <c r="N131">
        <v>1736</v>
      </c>
      <c r="O131">
        <v>4.46</v>
      </c>
      <c r="P131">
        <v>6980</v>
      </c>
      <c r="Q131" t="inlineStr">
        <is>
          <t>691c0be322cd550001784dbf</t>
        </is>
      </c>
      <c r="R131" t="inlineStr">
        <is>
          <t>🚫重复</t>
        </is>
      </c>
      <c r="S131" t="inlineStr">
        <is>
          <t>教资资料</t>
        </is>
      </c>
      <c r="T131" t="inlineStr">
        <is>
          <t>0.76</t>
        </is>
      </c>
      <c r="U131" s="3">
        <v>46112.78107638889</v>
      </c>
      <c r="V131"/>
      <c r="W131" s="3">
        <v>46024</v>
      </c>
      <c r="X131" t="inlineStr">
        <is>
          <t>01</t>
        </is>
      </c>
      <c r="Y131" t="inlineStr">
        <is>
          <t>2026-Q1</t>
        </is>
      </c>
    </row>
    <row r="132" ht="38.25" customHeight="1">
      <c r="A132" t="inlineStr">
        <is>
          <t>高中语文面试142篇逐字稿｜部编版｜试讲真题｜结构化｜答辩</t>
        </is>
      </c>
      <c r="B132" t="inlineStr">
        <is>
          <t>__upload_recv7a39M4noGQ.jpg</t>
        </is>
      </c>
      <c r="C132" s="2" t="str">
        <f>=HYPERLINK("https://xhslink.com/m/wFlo8tgNNS", "https://xhslink.com/m/wFlo8tgNNS")</f>
        <v>https://xhslink.com/m/wFlo8tgNNS</v>
      </c>
      <c r="D132"/>
      <c r="E132">
        <v>2057</v>
      </c>
      <c r="F132">
        <v>14.9</v>
      </c>
      <c r="G132"/>
      <c r="H132">
        <v>850</v>
      </c>
      <c r="I132">
        <v>1000</v>
      </c>
      <c r="J132"/>
      <c r="K132" t="inlineStr">
        <is>
          <t>教资面试</t>
        </is>
      </c>
      <c r="L132"/>
      <c r="M132" t="inlineStr">
        <is>
          <t>子悠学姐（资料版）的店</t>
        </is>
      </c>
      <c r="N132">
        <v>6084</v>
      </c>
      <c r="O132">
        <v>4.38</v>
      </c>
      <c r="P132">
        <v>50000</v>
      </c>
      <c r="Q132" t="inlineStr">
        <is>
          <t>6816eab64dac33000102ba4e</t>
        </is>
      </c>
      <c r="R132" t="inlineStr">
        <is>
          <t>🚫重复</t>
        </is>
      </c>
      <c r="S132" t="inlineStr">
        <is>
          <t>教资资料</t>
        </is>
      </c>
      <c r="T132" t="inlineStr">
        <is>
          <t>0.34</t>
        </is>
      </c>
      <c r="U132" s="3">
        <v>46112.78107638889</v>
      </c>
      <c r="V132"/>
      <c r="W132" s="3">
        <v>46024</v>
      </c>
      <c r="X132" t="inlineStr">
        <is>
          <t>01</t>
        </is>
      </c>
      <c r="Y132" t="inlineStr">
        <is>
          <t>2026-Q1</t>
        </is>
      </c>
    </row>
    <row r="133" ht="38.25" customHeight="1">
      <c r="A133" t="inlineStr">
        <is>
          <t>2026工会工作者笔试考试题库资料工会知识公基时政职测笔记考点</t>
        </is>
      </c>
      <c r="B133" t="inlineStr">
        <is>
          <t>__upload_recv7a39M4OHGb.jpg</t>
        </is>
      </c>
      <c r="C133" s="2" t="str">
        <f>=HYPERLINK("https://xhslink.com/m/4oHMuTIftrk", "https://xhslink.com/m/4oHMuTIftrk")</f>
        <v>https://xhslink.com/m/4oHMuTIftrk</v>
      </c>
      <c r="D133"/>
      <c r="E133">
        <v>4638</v>
      </c>
      <c r="F133">
        <v>18</v>
      </c>
      <c r="G133"/>
      <c r="H133">
        <v>350</v>
      </c>
      <c r="I133">
        <v>1000</v>
      </c>
      <c r="J133"/>
      <c r="K133" t="inlineStr">
        <is>
          <t>教资面试</t>
        </is>
      </c>
      <c r="L133"/>
      <c r="M133" t="inlineStr">
        <is>
          <t>乐X峰题库I星途的店</t>
        </is>
      </c>
      <c r="N133">
        <v>12000</v>
      </c>
      <c r="O133">
        <v>4.52</v>
      </c>
      <c r="P133">
        <v>76000</v>
      </c>
      <c r="Q133" t="inlineStr">
        <is>
          <t>6893514ae019f20001b1346c</t>
        </is>
      </c>
      <c r="R133" t="inlineStr">
        <is>
          <t>🚫重复</t>
        </is>
      </c>
      <c r="S133" t="inlineStr">
        <is>
          <t>无匹配类别</t>
        </is>
      </c>
      <c r="T133" t="inlineStr">
        <is>
          <t>0.39</t>
        </is>
      </c>
      <c r="U133" s="3">
        <v>46112.78107638889</v>
      </c>
      <c r="V133"/>
      <c r="W133" s="3">
        <v>46024</v>
      </c>
      <c r="X133" t="inlineStr">
        <is>
          <t>01</t>
        </is>
      </c>
      <c r="Y133" t="inlineStr">
        <is>
          <t>2026-Q1</t>
        </is>
      </c>
    </row>
    <row r="134" ht="38.25" customHeight="1">
      <c r="A134" t="inlineStr">
        <is>
          <t>2026年教综教基超C教师招聘网课系统班（送25）</t>
        </is>
      </c>
      <c r="B134" t="inlineStr">
        <is>
          <t>__upload_recv7a39M4XBMD.jpg</t>
        </is>
      </c>
      <c r="C134" s="2" t="str">
        <f>=HYPERLINK("https://xhslink.com/m/2ZsGtzlQ41S", "https://xhslink.com/m/2ZsGtzlQ41S")</f>
        <v>https://xhslink.com/m/2ZsGtzlQ41S</v>
      </c>
      <c r="D134"/>
      <c r="E134">
        <v>2184</v>
      </c>
      <c r="F134">
        <v>8.9</v>
      </c>
      <c r="G134"/>
      <c r="H134">
        <v>450</v>
      </c>
      <c r="I134">
        <v>1000</v>
      </c>
      <c r="J134"/>
      <c r="K134" t="inlineStr">
        <is>
          <t>教资面试</t>
        </is>
      </c>
      <c r="L134" t="inlineStr">
        <is>
          <t>🔥低粉爆款</t>
        </is>
      </c>
      <c r="M134" t="inlineStr">
        <is>
          <t>等风热吻我的店</t>
        </is>
      </c>
      <c r="N134">
        <v>224</v>
      </c>
      <c r="O134">
        <v>4.09</v>
      </c>
      <c r="P134">
        <v>2343</v>
      </c>
      <c r="Q134" t="inlineStr">
        <is>
          <t>68b5659471b9e2000152275f</t>
        </is>
      </c>
      <c r="R134"/>
      <c r="S134" t="inlineStr">
        <is>
          <t>教资资料</t>
        </is>
      </c>
      <c r="T134" t="inlineStr">
        <is>
          <t>9.75</t>
        </is>
      </c>
      <c r="U134" s="3">
        <v>46112.78107638889</v>
      </c>
      <c r="V134"/>
      <c r="W134" s="3">
        <v>46024</v>
      </c>
      <c r="X134" t="inlineStr">
        <is>
          <t>01</t>
        </is>
      </c>
      <c r="Y134" t="inlineStr">
        <is>
          <t>2026-Q1</t>
        </is>
      </c>
    </row>
    <row r="135" ht="38.25" customHeight="1">
      <c r="A135" t="inlineStr">
        <is>
          <t>新人教版教资用高中各科语数英物理化学生物历史政治地理教案学案</t>
        </is>
      </c>
      <c r="B135" t="inlineStr">
        <is>
          <t>__upload_recv7a39M4sJLI.jpg</t>
        </is>
      </c>
      <c r="C135" s="2" t="str">
        <f>=HYPERLINK("https://xhslink.com/m/dXUo6EGn4F", "https://xhslink.com/m/dXUo6EGn4F")</f>
        <v>https://xhslink.com/m/dXUo6EGn4F</v>
      </c>
      <c r="D135"/>
      <c r="E135">
        <v>12000</v>
      </c>
      <c r="F135">
        <v>6.8</v>
      </c>
      <c r="G135"/>
      <c r="H135">
        <v>350</v>
      </c>
      <c r="I135">
        <v>1000</v>
      </c>
      <c r="J135"/>
      <c r="K135" t="inlineStr">
        <is>
          <t>教师资格证</t>
        </is>
      </c>
      <c r="L135"/>
      <c r="M135" t="inlineStr">
        <is>
          <t>佛系的曾老师的店</t>
        </is>
      </c>
      <c r="N135">
        <v>6257</v>
      </c>
      <c r="O135">
        <v>4.17</v>
      </c>
      <c r="P135">
        <v>27000</v>
      </c>
      <c r="Q135" t="inlineStr">
        <is>
          <t>6688a3b1d2166e00017fe86b</t>
        </is>
      </c>
      <c r="R135" t="inlineStr">
        <is>
          <t>🚫重复</t>
        </is>
      </c>
      <c r="S135" t="inlineStr">
        <is>
          <t>教资资料</t>
        </is>
      </c>
      <c r="T135" t="inlineStr">
        <is>
          <t>1.92</t>
        </is>
      </c>
      <c r="U135" s="3">
        <v>46112.78107638889</v>
      </c>
      <c r="V135"/>
      <c r="W135" s="3">
        <v>46024</v>
      </c>
      <c r="X135" t="inlineStr">
        <is>
          <t>01</t>
        </is>
      </c>
      <c r="Y135" t="inlineStr">
        <is>
          <t>2026-Q1</t>
        </is>
      </c>
    </row>
    <row r="136" ht="38.25" customHeight="1">
      <c r="A136" t="inlineStr">
        <is>
          <t>秒发货！25年高中教资面试-美术九大万能模板</t>
        </is>
      </c>
      <c r="B136" t="inlineStr">
        <is>
          <t>__upload_recv7a39M4Fz1U.jpg</t>
        </is>
      </c>
      <c r="C136" s="2" t="str">
        <f>=HYPERLINK("https://xhslink.com/m/5UPZ3vNlg9p", "https://xhslink.com/m/5UPZ3vNlg9p")</f>
        <v>https://xhslink.com/m/5UPZ3vNlg9p</v>
      </c>
      <c r="D136"/>
      <c r="E136">
        <v>2177</v>
      </c>
      <c r="F136">
        <v>3.99</v>
      </c>
      <c r="G136"/>
      <c r="H136">
        <v>950</v>
      </c>
      <c r="I136">
        <v>1000</v>
      </c>
      <c r="J136"/>
      <c r="K136" t="inlineStr">
        <is>
          <t>教师资格证</t>
        </is>
      </c>
      <c r="L136" t="inlineStr">
        <is>
          <t>🔥低粉爆款</t>
        </is>
      </c>
      <c r="M136" t="inlineStr">
        <is>
          <t>泡泡小原的店</t>
        </is>
      </c>
      <c r="N136">
        <v>684</v>
      </c>
      <c r="O136">
        <v>4.35</v>
      </c>
      <c r="P136">
        <v>3782</v>
      </c>
      <c r="Q136" t="inlineStr">
        <is>
          <t>67d4c989ba9cf80001e4e97c</t>
        </is>
      </c>
      <c r="R136"/>
      <c r="S136" t="inlineStr">
        <is>
          <t>教资资料</t>
        </is>
      </c>
      <c r="T136" t="inlineStr">
        <is>
          <t>3.18</t>
        </is>
      </c>
      <c r="U136" s="3">
        <v>46112.78107638889</v>
      </c>
      <c r="V136"/>
      <c r="W136" s="3">
        <v>46024</v>
      </c>
      <c r="X136" t="inlineStr">
        <is>
          <t>01</t>
        </is>
      </c>
      <c r="Y136" t="inlineStr">
        <is>
          <t>2026-Q1</t>
        </is>
      </c>
    </row>
    <row r="137" ht="38.25" customHeight="1">
      <c r="A137" t="inlineStr">
        <is>
          <t>25教资面试结构化资料（电子版呦，不退不换）</t>
        </is>
      </c>
      <c r="B137" t="inlineStr">
        <is>
          <t>__upload_recv7a39M4sPxQ.jpg</t>
        </is>
      </c>
      <c r="C137" s="2" t="str">
        <f>=HYPERLINK("https://xhslink.com/m/6IDS8Hkwh1q", "https://xhslink.com/m/6IDS8Hkwh1q")</f>
        <v>https://xhslink.com/m/6IDS8Hkwh1q</v>
      </c>
      <c r="D137"/>
      <c r="E137">
        <v>1323</v>
      </c>
      <c r="F137">
        <v>3.88</v>
      </c>
      <c r="G137"/>
      <c r="H137">
        <v>1000</v>
      </c>
      <c r="I137">
        <v>1000</v>
      </c>
      <c r="J137"/>
      <c r="K137" t="inlineStr">
        <is>
          <t>教师资格证</t>
        </is>
      </c>
      <c r="L137"/>
      <c r="M137" t="inlineStr">
        <is>
          <t>爱学习的点点的店</t>
        </is>
      </c>
      <c r="N137">
        <v>1736</v>
      </c>
      <c r="O137">
        <v>4.46</v>
      </c>
      <c r="P137">
        <v>6980</v>
      </c>
      <c r="Q137" t="inlineStr">
        <is>
          <t>69256f2bb8c508000170d87d</t>
        </is>
      </c>
      <c r="R137" t="inlineStr">
        <is>
          <t>🚫重复</t>
        </is>
      </c>
      <c r="S137" t="inlineStr">
        <is>
          <t>教资资料</t>
        </is>
      </c>
      <c r="T137" t="inlineStr">
        <is>
          <t>0.76</t>
        </is>
      </c>
      <c r="U137" s="3">
        <v>46112.78107638889</v>
      </c>
      <c r="V137"/>
      <c r="W137" s="3">
        <v>46024</v>
      </c>
      <c r="X137" t="inlineStr">
        <is>
          <t>01</t>
        </is>
      </c>
      <c r="Y137" t="inlineStr">
        <is>
          <t>2026-Q1</t>
        </is>
      </c>
    </row>
    <row r="138" ht="38.25" customHeight="1">
      <c r="A138" t="inlineStr">
        <is>
          <t>402号：四上综合类资料</t>
        </is>
      </c>
      <c r="B138" t="inlineStr">
        <is>
          <t>__upload_recv7a39M48K8c.jpg</t>
        </is>
      </c>
      <c r="C138" s="2" t="str">
        <f>=HYPERLINK("https://xhslink.com/m/95zp5ENT01l", "https://xhslink.com/m/95zp5ENT01l")</f>
        <v>https://xhslink.com/m/95zp5ENT01l</v>
      </c>
      <c r="D138"/>
      <c r="E138">
        <v>8146</v>
      </c>
      <c r="F138">
        <v>3</v>
      </c>
      <c r="G138"/>
      <c r="H138">
        <v>950</v>
      </c>
      <c r="I138">
        <v>1000</v>
      </c>
      <c r="J138"/>
      <c r="K138" t="inlineStr">
        <is>
          <t>教师资格证</t>
        </is>
      </c>
      <c r="L138"/>
      <c r="M138" t="inlineStr">
        <is>
          <t>张主任的情报库的店</t>
        </is>
      </c>
      <c r="N138">
        <v>28000</v>
      </c>
      <c r="O138">
        <v>4.56</v>
      </c>
      <c r="P138">
        <v>216000</v>
      </c>
      <c r="Q138" t="inlineStr">
        <is>
          <t>68a1e3c18ff8a70001f6acb0</t>
        </is>
      </c>
      <c r="R138" t="inlineStr">
        <is>
          <t>🚫重复</t>
        </is>
      </c>
      <c r="S138" t="inlineStr">
        <is>
          <t>中小学教辅/教材</t>
        </is>
      </c>
      <c r="T138" t="inlineStr">
        <is>
          <t>0.29</t>
        </is>
      </c>
      <c r="U138" s="3">
        <v>46112.78107638889</v>
      </c>
      <c r="V138"/>
      <c r="W138" s="3">
        <v>46024</v>
      </c>
      <c r="X138" t="inlineStr">
        <is>
          <t>01</t>
        </is>
      </c>
      <c r="Y138" t="inlineStr">
        <is>
          <t>2026-Q1</t>
        </is>
      </c>
    </row>
    <row r="139" ht="38.25" customHeight="1">
      <c r="A139" t="inlineStr">
        <is>
          <t>26年三桶油（中石化，中石油，中海油）笔试真题与备考资料</t>
        </is>
      </c>
      <c r="B139" t="inlineStr">
        <is>
          <t>__upload_recv7a39M4OTdW.jpg</t>
        </is>
      </c>
      <c r="C139" s="2" t="str">
        <f>=HYPERLINK("https://xhslink.com/m/QQi4tbgtSh", "https://xhslink.com/m/QQi4tbgtSh")</f>
        <v>https://xhslink.com/m/QQi4tbgtSh</v>
      </c>
      <c r="D139"/>
      <c r="E139">
        <v>2322</v>
      </c>
      <c r="F139">
        <v>2.9</v>
      </c>
      <c r="G139"/>
      <c r="H139">
        <v>750</v>
      </c>
      <c r="I139">
        <v>2000</v>
      </c>
      <c r="J139"/>
      <c r="K139" t="inlineStr">
        <is>
          <t>教师资格证</t>
        </is>
      </c>
      <c r="L139"/>
      <c r="M139" t="inlineStr">
        <is>
          <t>懒洋洋11的店</t>
        </is>
      </c>
      <c r="N139">
        <v>3259</v>
      </c>
      <c r="O139">
        <v>4.51</v>
      </c>
      <c r="P139">
        <v>16000</v>
      </c>
      <c r="Q139" t="inlineStr">
        <is>
          <t>68e4d2203f37a900012d0473</t>
        </is>
      </c>
      <c r="R139" t="inlineStr">
        <is>
          <t>🚫重复</t>
        </is>
      </c>
      <c r="S139" t="inlineStr">
        <is>
          <t>求职面试/职场</t>
        </is>
      </c>
      <c r="T139" t="inlineStr">
        <is>
          <t>0.71</t>
        </is>
      </c>
      <c r="U139" s="3">
        <v>46112.78107638889</v>
      </c>
      <c r="V139"/>
      <c r="W139" s="3">
        <v>46024</v>
      </c>
      <c r="X139" t="inlineStr">
        <is>
          <t>01</t>
        </is>
      </c>
      <c r="Y139" t="inlineStr">
        <is>
          <t>2026-Q1</t>
        </is>
      </c>
    </row>
    <row r="140" ht="38.25" customHeight="1">
      <c r="A140" t="inlineStr">
        <is>
          <t>高中语文面试142篇逐字稿｜部编版｜试讲真题｜结构化｜答辩</t>
        </is>
      </c>
      <c r="B140" t="inlineStr">
        <is>
          <t>__upload_recv7a39M4BL9Q.jpg</t>
        </is>
      </c>
      <c r="C140" s="2" t="str">
        <f>=HYPERLINK("https://xhslink.com/m/4rNCDjWUZiB", "https://xhslink.com/m/4rNCDjWUZiB")</f>
        <v>https://xhslink.com/m/4rNCDjWUZiB</v>
      </c>
      <c r="D140"/>
      <c r="E140">
        <v>2057</v>
      </c>
      <c r="F140">
        <v>10.9</v>
      </c>
      <c r="G140"/>
      <c r="H140">
        <v>850</v>
      </c>
      <c r="I140">
        <v>1000</v>
      </c>
      <c r="J140"/>
      <c r="K140" t="inlineStr">
        <is>
          <t>教师资格证</t>
        </is>
      </c>
      <c r="L140"/>
      <c r="M140" t="inlineStr">
        <is>
          <t>子悠学姐（资料版）的店</t>
        </is>
      </c>
      <c r="N140">
        <v>6084</v>
      </c>
      <c r="O140">
        <v>4.38</v>
      </c>
      <c r="P140">
        <v>50000</v>
      </c>
      <c r="Q140" t="inlineStr">
        <is>
          <t>6816eab64dac33000102ba48</t>
        </is>
      </c>
      <c r="R140" t="inlineStr">
        <is>
          <t>🚫重复</t>
        </is>
      </c>
      <c r="S140" t="inlineStr">
        <is>
          <t>教资资料</t>
        </is>
      </c>
      <c r="T140" t="inlineStr">
        <is>
          <t>0.34</t>
        </is>
      </c>
      <c r="U140" s="3">
        <v>46112.78107638889</v>
      </c>
      <c r="V140"/>
      <c r="W140" s="3">
        <v>46024</v>
      </c>
      <c r="X140" t="inlineStr">
        <is>
          <t>01</t>
        </is>
      </c>
      <c r="Y140" t="inlineStr">
        <is>
          <t>2026-Q1</t>
        </is>
      </c>
    </row>
    <row r="141" ht="38.25" customHeight="1">
      <c r="A141" t="inlineStr">
        <is>
          <t>2026公安辅警招聘考试题库软件APP公安基础知识行测法律时政真题</t>
        </is>
      </c>
      <c r="B141" t="inlineStr">
        <is>
          <t>__upload_recv7a39M4vYny.jpg</t>
        </is>
      </c>
      <c r="C141" s="2" t="str">
        <f>=HYPERLINK("https://xhslink.com/m/7UcjINPFUNL", "https://xhslink.com/m/7UcjINPFUNL")</f>
        <v>https://xhslink.com/m/7UcjINPFUNL</v>
      </c>
      <c r="D141"/>
      <c r="E141">
        <v>2323</v>
      </c>
      <c r="F141">
        <v>16.8</v>
      </c>
      <c r="G141"/>
      <c r="H141">
        <v>300</v>
      </c>
      <c r="I141">
        <v>1000</v>
      </c>
      <c r="J141"/>
      <c r="K141" t="inlineStr">
        <is>
          <t>法考</t>
        </is>
      </c>
      <c r="L141"/>
      <c r="M141" t="inlineStr">
        <is>
          <t>果果study的店</t>
        </is>
      </c>
      <c r="N141">
        <v>883</v>
      </c>
      <c r="O141">
        <v>4.57</v>
      </c>
      <c r="P141">
        <v>12000</v>
      </c>
      <c r="Q141" t="inlineStr">
        <is>
          <t>68c6f1bffb0cef0001187963</t>
        </is>
      </c>
      <c r="R141" t="inlineStr">
        <is>
          <t>🚫重复</t>
        </is>
      </c>
      <c r="S141" t="inlineStr">
        <is>
          <t>软件应用</t>
        </is>
      </c>
      <c r="T141" t="inlineStr">
        <is>
          <t>2.63</t>
        </is>
      </c>
      <c r="U141" s="3">
        <v>46112.78107638889</v>
      </c>
      <c r="V141"/>
      <c r="W141" s="3">
        <v>46024</v>
      </c>
      <c r="X141" t="inlineStr">
        <is>
          <t>01</t>
        </is>
      </c>
      <c r="Y141" t="inlineStr">
        <is>
          <t>2026-Q1</t>
        </is>
      </c>
    </row>
    <row r="142" ht="38.25" customHeight="1">
      <c r="A142" t="inlineStr">
        <is>
          <t>初一初二期中期末考试多套模拟试卷+专项训练人教版【电子版】</t>
        </is>
      </c>
      <c r="B142" t="inlineStr">
        <is>
          <t>__upload_recv7a39M4pRd4.jpg</t>
        </is>
      </c>
      <c r="C142" s="2" t="str">
        <f>=HYPERLINK("https://xhslink.com/m/60FN5KhP2ol", "https://xhslink.com/m/60FN5KhP2ol")</f>
        <v>https://xhslink.com/m/60FN5KhP2ol</v>
      </c>
      <c r="D142"/>
      <c r="E142">
        <v>2688</v>
      </c>
      <c r="F142">
        <v>7.8</v>
      </c>
      <c r="G142"/>
      <c r="H142">
        <v>700</v>
      </c>
      <c r="I142">
        <v>2000</v>
      </c>
      <c r="J142"/>
      <c r="K142" t="inlineStr">
        <is>
          <t>法考</t>
        </is>
      </c>
      <c r="L142"/>
      <c r="M142" t="inlineStr">
        <is>
          <t>备考高分资料的店</t>
        </is>
      </c>
      <c r="N142">
        <v>3684</v>
      </c>
      <c r="O142">
        <v>4.45</v>
      </c>
      <c r="P142">
        <v>4200</v>
      </c>
      <c r="Q142" t="inlineStr">
        <is>
          <t>692a3e8818096d0001dd190e</t>
        </is>
      </c>
      <c r="R142" t="inlineStr">
        <is>
          <t>🚫重复</t>
        </is>
      </c>
      <c r="S142" t="inlineStr">
        <is>
          <t>中小学教辅/教材</t>
        </is>
      </c>
      <c r="T142" t="inlineStr">
        <is>
          <t>0.73</t>
        </is>
      </c>
      <c r="U142" s="3">
        <v>46112.78107638889</v>
      </c>
      <c r="V142"/>
      <c r="W142" s="3">
        <v>46024</v>
      </c>
      <c r="X142" t="inlineStr">
        <is>
          <t>01</t>
        </is>
      </c>
      <c r="Y142" t="inlineStr">
        <is>
          <t>2026-Q1</t>
        </is>
      </c>
    </row>
    <row r="143" ht="38.25" customHeight="1">
      <c r="A143" t="inlineStr">
        <is>
          <t>2026工会工作者笔试考试题库资料工会知识公基时政职测笔记考点</t>
        </is>
      </c>
      <c r="B143" t="inlineStr">
        <is>
          <t>__upload_recv7a39M4CKDs.jpg</t>
        </is>
      </c>
      <c r="C143" s="2" t="str">
        <f>=HYPERLINK("https://xhslink.com/m/8reZvnJaZ6h", "https://xhslink.com/m/8reZvnJaZ6h")</f>
        <v>https://xhslink.com/m/8reZvnJaZ6h</v>
      </c>
      <c r="D143"/>
      <c r="E143">
        <v>4640</v>
      </c>
      <c r="F143">
        <v>10</v>
      </c>
      <c r="G143"/>
      <c r="H143">
        <v>350</v>
      </c>
      <c r="I143">
        <v>1000</v>
      </c>
      <c r="J143"/>
      <c r="K143" t="inlineStr">
        <is>
          <t>初级会计2026备考</t>
        </is>
      </c>
      <c r="L143"/>
      <c r="M143" t="inlineStr">
        <is>
          <t>乐X峰题库I星途的店</t>
        </is>
      </c>
      <c r="N143">
        <v>12000</v>
      </c>
      <c r="O143">
        <v>4.52</v>
      </c>
      <c r="P143">
        <v>76000</v>
      </c>
      <c r="Q143" t="inlineStr">
        <is>
          <t>6893514ae019f20001b13406</t>
        </is>
      </c>
      <c r="R143" t="inlineStr">
        <is>
          <t>🚫重复</t>
        </is>
      </c>
      <c r="S143" t="inlineStr">
        <is>
          <t>无匹配类别</t>
        </is>
      </c>
      <c r="T143" t="inlineStr">
        <is>
          <t>0.39</t>
        </is>
      </c>
      <c r="U143" s="3">
        <v>46112.78107638889</v>
      </c>
      <c r="V143"/>
      <c r="W143" s="3">
        <v>46024</v>
      </c>
      <c r="X143" t="inlineStr">
        <is>
          <t>01</t>
        </is>
      </c>
      <c r="Y143" t="inlineStr">
        <is>
          <t>2026-Q1</t>
        </is>
      </c>
    </row>
    <row r="144" ht="38.25" customHeight="1">
      <c r="A144" t="inlineStr">
        <is>
          <t>【拍下秒发】多系列大学生职业生涯规划可选</t>
        </is>
      </c>
      <c r="B144" t="inlineStr">
        <is>
          <t>__upload_recv7a39M4VZM4.jpg</t>
        </is>
      </c>
      <c r="C144" s="2" t="str">
        <f>=HYPERLINK("https://xhslink.com/m/5ar3YYuN8Mo", "https://xhslink.com/m/5ar3YYuN8Mo")</f>
        <v>https://xhslink.com/m/5ar3YYuN8Mo</v>
      </c>
      <c r="D144"/>
      <c r="E144">
        <v>3207</v>
      </c>
      <c r="F144">
        <v>4.99</v>
      </c>
      <c r="G144"/>
      <c r="H144">
        <v>450</v>
      </c>
      <c r="I144">
        <v>1000</v>
      </c>
      <c r="J144"/>
      <c r="K144" t="inlineStr">
        <is>
          <t>初级会计</t>
        </is>
      </c>
      <c r="L144"/>
      <c r="M144" t="inlineStr">
        <is>
          <t>小Da努力写PPT的店</t>
        </is>
      </c>
      <c r="N144">
        <v>12000</v>
      </c>
      <c r="O144">
        <v>4.42</v>
      </c>
      <c r="P144">
        <v>40000</v>
      </c>
      <c r="Q144" t="inlineStr">
        <is>
          <t>691f40eff2c0f50001769e19</t>
        </is>
      </c>
      <c r="R144" t="inlineStr">
        <is>
          <t>🚫重复</t>
        </is>
      </c>
      <c r="S144" t="inlineStr">
        <is>
          <t>求职面试/职场</t>
        </is>
      </c>
      <c r="T144" t="inlineStr">
        <is>
          <t>0.27</t>
        </is>
      </c>
      <c r="U144" s="3">
        <v>46112.78107638889</v>
      </c>
      <c r="V144"/>
      <c r="W144" s="3">
        <v>46024</v>
      </c>
      <c r="X144" t="inlineStr">
        <is>
          <t>01</t>
        </is>
      </c>
      <c r="Y144" t="inlineStr">
        <is>
          <t>2026-Q1</t>
        </is>
      </c>
    </row>
    <row r="145" ht="38.25" customHeight="1">
      <c r="A145" t="inlineStr">
        <is>
          <t>大学生职业生涯规划PPT 送配套规划书pdf/word 含内容 选编号下单</t>
        </is>
      </c>
      <c r="B145" t="inlineStr">
        <is>
          <t>__upload_recv7a39M4UIYU.jpg</t>
        </is>
      </c>
      <c r="C145" s="2" t="str">
        <f>=HYPERLINK("https://xhslink.com/m/7c2ZFWaU0TH", "https://xhslink.com/m/7c2ZFWaU0TH")</f>
        <v>https://xhslink.com/m/7c2ZFWaU0TH</v>
      </c>
      <c r="D145"/>
      <c r="E145">
        <v>2056</v>
      </c>
      <c r="F145">
        <v>4.99</v>
      </c>
      <c r="G145"/>
      <c r="H145">
        <v>1000</v>
      </c>
      <c r="I145">
        <v>1000</v>
      </c>
      <c r="J145"/>
      <c r="K145" t="inlineStr">
        <is>
          <t>初级会计</t>
        </is>
      </c>
      <c r="L145"/>
      <c r="M145" t="inlineStr">
        <is>
          <t>麦子小姐ppt的店</t>
        </is>
      </c>
      <c r="N145">
        <v>23000</v>
      </c>
      <c r="O145">
        <v>4.51</v>
      </c>
      <c r="P145">
        <v>80000</v>
      </c>
      <c r="Q145" t="inlineStr">
        <is>
          <t>68e7ada8ed3b2f0001239b99</t>
        </is>
      </c>
      <c r="R145" t="inlineStr">
        <is>
          <t>🚫重复</t>
        </is>
      </c>
      <c r="S145" t="inlineStr">
        <is>
          <t>PPT模板</t>
        </is>
      </c>
      <c r="T145" t="inlineStr">
        <is>
          <t>0.09</t>
        </is>
      </c>
      <c r="U145" s="3">
        <v>46112.78107638889</v>
      </c>
      <c r="V145"/>
      <c r="W145" s="3">
        <v>46024</v>
      </c>
      <c r="X145" t="inlineStr">
        <is>
          <t>01</t>
        </is>
      </c>
      <c r="Y145" t="inlineStr">
        <is>
          <t>2026-Q1</t>
        </is>
      </c>
    </row>
    <row r="146" ht="38.25" customHeight="1">
      <c r="A146" t="inlineStr">
        <is>
          <t>税务师知识点大全题目大全完整5科真题母题模拟题解析电子版最新</t>
        </is>
      </c>
      <c r="B146" t="inlineStr">
        <is>
          <t>__upload_recv7a39M4CN7A.jpg</t>
        </is>
      </c>
      <c r="C146" s="2" t="str">
        <f>=HYPERLINK("https://xhslink.com/m/45vYoI5VhCD", "https://xhslink.com/m/45vYoI5VhCD")</f>
        <v>https://xhslink.com/m/45vYoI5VhCD</v>
      </c>
      <c r="D146"/>
      <c r="E146">
        <v>1450</v>
      </c>
      <c r="F146">
        <v>4.99</v>
      </c>
      <c r="G146"/>
      <c r="H146">
        <v>350</v>
      </c>
      <c r="I146">
        <v>1000</v>
      </c>
      <c r="J146"/>
      <c r="K146" t="inlineStr">
        <is>
          <t>初级会计</t>
        </is>
      </c>
      <c r="L146"/>
      <c r="M146" t="inlineStr">
        <is>
          <t>学习ing的萝卜卜的店</t>
        </is>
      </c>
      <c r="N146">
        <v>2305</v>
      </c>
      <c r="O146">
        <v>4.51</v>
      </c>
      <c r="P146">
        <v>14000</v>
      </c>
      <c r="Q146" t="inlineStr">
        <is>
          <t>68cff9ce94797600017ed277</t>
        </is>
      </c>
      <c r="R146"/>
      <c r="S146" t="inlineStr">
        <is>
          <t>会计资料</t>
        </is>
      </c>
      <c r="T146" t="inlineStr">
        <is>
          <t>0.63</t>
        </is>
      </c>
      <c r="U146" s="3">
        <v>46112.78107638889</v>
      </c>
      <c r="V146"/>
      <c r="W146" s="3">
        <v>46024</v>
      </c>
      <c r="X146" t="inlineStr">
        <is>
          <t>01</t>
        </is>
      </c>
      <c r="Y146" t="inlineStr">
        <is>
          <t>2026-Q1</t>
        </is>
      </c>
    </row>
    <row r="147" ht="38.25" customHeight="1">
      <c r="A147" t="inlineStr">
        <is>
          <t>英语启蒙动画片视频音频字幕配套材料手机平板电视可投屏（新版）</t>
        </is>
      </c>
      <c r="B147" t="inlineStr">
        <is>
          <t>__upload_recv7a39M4Yd3w.jpg</t>
        </is>
      </c>
      <c r="C147" s="2" t="str">
        <f>=HYPERLINK("https://xhslink.com/m/AsdpfxwCLIB", "https://xhslink.com/m/AsdpfxwCLIB")</f>
        <v>https://xhslink.com/m/AsdpfxwCLIB</v>
      </c>
      <c r="D147"/>
      <c r="E147">
        <v>2139</v>
      </c>
      <c r="F147">
        <v>29.9</v>
      </c>
      <c r="G147"/>
      <c r="H147">
        <v>750</v>
      </c>
      <c r="I147">
        <v>1000</v>
      </c>
      <c r="J147"/>
      <c r="K147" t="inlineStr">
        <is>
          <t>英语听力磨耳朵</t>
        </is>
      </c>
      <c r="L147"/>
      <c r="M147" t="inlineStr">
        <is>
          <t>麦妈早教启蒙的店</t>
        </is>
      </c>
      <c r="N147">
        <v>1262</v>
      </c>
      <c r="O147">
        <v>4.58</v>
      </c>
      <c r="P147">
        <v>10000</v>
      </c>
      <c r="Q147" t="inlineStr">
        <is>
          <t>67b96d35f2389c000180867f</t>
        </is>
      </c>
      <c r="R147"/>
      <c r="S147" t="inlineStr">
        <is>
          <t>英语资料</t>
        </is>
      </c>
      <c r="T147" t="inlineStr">
        <is>
          <t>1.69</t>
        </is>
      </c>
      <c r="U147" s="3">
        <v>46112.78107638889</v>
      </c>
      <c r="V147"/>
      <c r="W147" s="3">
        <v>46024</v>
      </c>
      <c r="X147" t="inlineStr">
        <is>
          <t>01</t>
        </is>
      </c>
      <c r="Y147" t="inlineStr">
        <is>
          <t>2026-Q1</t>
        </is>
      </c>
    </row>
    <row r="148" ht="38.25" customHeight="1">
      <c r="A148" t="inlineStr">
        <is>
          <t>25四六级历年真题+听力音频+阅读翻译写作模板最新考点资料包全套</t>
        </is>
      </c>
      <c r="B148" t="inlineStr">
        <is>
          <t>__upload_recv7a39M4DoJ3.jpg</t>
        </is>
      </c>
      <c r="C148" s="2" t="str">
        <f>=HYPERLINK("https://xhslink.com/m/3b1JFJ6nCm8", "https://xhslink.com/m/3b1JFJ6nCm8")</f>
        <v>https://xhslink.com/m/3b1JFJ6nCm8</v>
      </c>
      <c r="D148"/>
      <c r="E148">
        <v>1079</v>
      </c>
      <c r="F148">
        <v>6.9</v>
      </c>
      <c r="G148"/>
      <c r="H148">
        <v>650</v>
      </c>
      <c r="I148">
        <v>1000</v>
      </c>
      <c r="J148"/>
      <c r="K148" t="inlineStr">
        <is>
          <t>六级听力</t>
        </is>
      </c>
      <c r="L148"/>
      <c r="M148" t="inlineStr">
        <is>
          <t>田田学姐的店</t>
        </is>
      </c>
      <c r="N148">
        <v>833</v>
      </c>
      <c r="O148">
        <v>4.59</v>
      </c>
      <c r="P148">
        <v>1176</v>
      </c>
      <c r="Q148" t="inlineStr">
        <is>
          <t>68c90b83c278030001c3d8b3</t>
        </is>
      </c>
      <c r="R148"/>
      <c r="S148" t="inlineStr">
        <is>
          <t>英语资料</t>
        </is>
      </c>
      <c r="T148" t="inlineStr">
        <is>
          <t>1.30</t>
        </is>
      </c>
      <c r="U148" s="3">
        <v>46112.78107638889</v>
      </c>
      <c r="V148"/>
      <c r="W148" s="3">
        <v>46024</v>
      </c>
      <c r="X148" t="inlineStr">
        <is>
          <t>01</t>
        </is>
      </c>
      <c r="Y148" t="inlineStr">
        <is>
          <t>2026-Q1</t>
        </is>
      </c>
    </row>
    <row r="149" ht="38.25" customHeight="1">
      <c r="A149" t="inlineStr">
        <is>
          <t>外教英语口语1V1对练 零基础雅思日常商务面试陪练特价体验课30分</t>
        </is>
      </c>
      <c r="B149" t="inlineStr">
        <is>
          <t>__upload_recv7d1okDCGtR.jpg</t>
        </is>
      </c>
      <c r="C149" s="2" t="str">
        <f>=HYPERLINK("https://xhslink.com/m/mIy7KgI5bO", "https://xhslink.com/m/mIy7KgI5bO")</f>
        <v>https://xhslink.com/m/mIy7KgI5bO</v>
      </c>
      <c r="D149"/>
      <c r="E149">
        <v>9490</v>
      </c>
      <c r="F149">
        <v>5.6</v>
      </c>
      <c r="G149"/>
      <c r="H149">
        <v>450</v>
      </c>
      <c r="I149">
        <v>1000</v>
      </c>
      <c r="J149"/>
      <c r="K149" t="inlineStr">
        <is>
          <t>雅思</t>
        </is>
      </c>
      <c r="L149"/>
      <c r="M149" t="inlineStr">
        <is>
          <t>赛步英语的店</t>
        </is>
      </c>
      <c r="N149">
        <v>5204</v>
      </c>
      <c r="O149">
        <v>4.58</v>
      </c>
      <c r="P149">
        <v>9805</v>
      </c>
      <c r="Q149" t="inlineStr">
        <is>
          <t>66ee687786a6ff000157bf58</t>
        </is>
      </c>
      <c r="R149"/>
      <c r="S149" t="inlineStr">
        <is>
          <t>英语资料</t>
        </is>
      </c>
      <c r="T149" t="inlineStr">
        <is>
          <t>1.82</t>
        </is>
      </c>
      <c r="U149" s="3">
        <v>46112.78107638889</v>
      </c>
      <c r="V149"/>
      <c r="W149" s="3">
        <v>46025</v>
      </c>
      <c r="X149" t="inlineStr">
        <is>
          <t>01</t>
        </is>
      </c>
      <c r="Y149" t="inlineStr">
        <is>
          <t>2026-Q1</t>
        </is>
      </c>
    </row>
    <row r="150" ht="38.25" customHeight="1">
      <c r="A150" t="inlineStr">
        <is>
          <t>发货后请看订单最下面的发货信息！！！！雅思自学资料包百度盘</t>
        </is>
      </c>
      <c r="B150" t="inlineStr">
        <is>
          <t>__upload_recv7d1okDnPRh.jpg</t>
        </is>
      </c>
      <c r="C150" s="2" t="str">
        <f>=HYPERLINK("https://xhslink.com/m/5zrAtHGt9d6", "https://xhslink.com/m/5zrAtHGt9d6")</f>
        <v>https://xhslink.com/m/5zrAtHGt9d6</v>
      </c>
      <c r="D150"/>
      <c r="E150">
        <v>7276</v>
      </c>
      <c r="F150">
        <v>7.66</v>
      </c>
      <c r="G150"/>
      <c r="H150">
        <v>400</v>
      </c>
      <c r="I150">
        <v>1000</v>
      </c>
      <c r="J150"/>
      <c r="K150" t="inlineStr">
        <is>
          <t>雅思</t>
        </is>
      </c>
      <c r="L150" t="inlineStr">
        <is>
          <t>🔥低粉爆款</t>
        </is>
      </c>
      <c r="M150" t="inlineStr">
        <is>
          <t>泠子猫的店</t>
        </is>
      </c>
      <c r="N150">
        <v>1060</v>
      </c>
      <c r="O150">
        <v>4.5</v>
      </c>
      <c r="P150">
        <v>7597</v>
      </c>
      <c r="Q150" t="inlineStr">
        <is>
          <t>67cd5d4c29b9f70001397c0d</t>
        </is>
      </c>
      <c r="R150"/>
      <c r="S150" t="inlineStr">
        <is>
          <t>英语资料</t>
        </is>
      </c>
      <c r="T150" t="inlineStr">
        <is>
          <t>6.86</t>
        </is>
      </c>
      <c r="U150" s="3">
        <v>46112.78107638889</v>
      </c>
      <c r="V150"/>
      <c r="W150" s="3">
        <v>46025</v>
      </c>
      <c r="X150" t="inlineStr">
        <is>
          <t>01</t>
        </is>
      </c>
      <c r="Y150" t="inlineStr">
        <is>
          <t>2026-Q1</t>
        </is>
      </c>
    </row>
    <row r="151" ht="38.25" customHeight="1">
      <c r="A151" t="inlineStr">
        <is>
          <t>外教英语口语1V1陪练 0基础雅思日常商务面试对练</t>
        </is>
      </c>
      <c r="B151" t="inlineStr">
        <is>
          <t>__upload_recv7d1okDIfFS.jpg</t>
        </is>
      </c>
      <c r="C151" s="2" t="str">
        <f>=HYPERLINK("https://xhslink.com/m/xQuovrkld9", "https://xhslink.com/m/xQuovrkld9")</f>
        <v>https://xhslink.com/m/xQuovrkld9</v>
      </c>
      <c r="D151"/>
      <c r="E151">
        <v>4116</v>
      </c>
      <c r="F151">
        <v>5.6</v>
      </c>
      <c r="G151"/>
      <c r="H151">
        <v>400</v>
      </c>
      <c r="I151">
        <v>1000</v>
      </c>
      <c r="J151"/>
      <c r="K151" t="inlineStr">
        <is>
          <t>雅思</t>
        </is>
      </c>
      <c r="L151"/>
      <c r="M151" t="inlineStr">
        <is>
          <t>旅途英语的店</t>
        </is>
      </c>
      <c r="N151">
        <v>1996</v>
      </c>
      <c r="O151">
        <v>4.61</v>
      </c>
      <c r="P151">
        <v>4312</v>
      </c>
      <c r="Q151" t="inlineStr">
        <is>
          <t>67205386ed37250001cbcc5e</t>
        </is>
      </c>
      <c r="R151"/>
      <c r="S151" t="inlineStr">
        <is>
          <t>英语资料</t>
        </is>
      </c>
      <c r="T151" t="inlineStr">
        <is>
          <t>2.06</t>
        </is>
      </c>
      <c r="U151" s="3">
        <v>46112.78107638889</v>
      </c>
      <c r="V151"/>
      <c r="W151" s="3">
        <v>46025</v>
      </c>
      <c r="X151" t="inlineStr">
        <is>
          <t>01</t>
        </is>
      </c>
      <c r="Y151" t="inlineStr">
        <is>
          <t>2026-Q1</t>
        </is>
      </c>
    </row>
    <row r="152" ht="38.25" customHeight="1">
      <c r="A152" t="inlineStr">
        <is>
          <t>雅思Simon大作文写作观点库中英文对照版持续更新</t>
        </is>
      </c>
      <c r="B152" t="inlineStr">
        <is>
          <t>__upload_recv7d1okDFJ2O.jpg</t>
        </is>
      </c>
      <c r="C152" s="2" t="str">
        <f>=HYPERLINK("https://xhslink.com/m/AMEv1EBc66B", "https://xhslink.com/m/AMEv1EBc66B")</f>
        <v>https://xhslink.com/m/AMEv1EBc66B</v>
      </c>
      <c r="D152"/>
      <c r="E152">
        <v>1771</v>
      </c>
      <c r="F152">
        <v>0.2</v>
      </c>
      <c r="G152"/>
      <c r="H152">
        <v>500</v>
      </c>
      <c r="I152">
        <v>1000</v>
      </c>
      <c r="J152"/>
      <c r="K152" t="inlineStr">
        <is>
          <t>雅思</t>
        </is>
      </c>
      <c r="L152" t="inlineStr">
        <is>
          <t>🔥低粉爆款</t>
        </is>
      </c>
      <c r="M152" t="inlineStr">
        <is>
          <t>吟吟吟的店</t>
        </is>
      </c>
      <c r="N152">
        <v>584</v>
      </c>
      <c r="O152">
        <v>4.18</v>
      </c>
      <c r="P152">
        <v>5105</v>
      </c>
      <c r="Q152" t="inlineStr">
        <is>
          <t>68c0f75624d64a0001e07131</t>
        </is>
      </c>
      <c r="R152"/>
      <c r="S152" t="inlineStr">
        <is>
          <t>英语资料</t>
        </is>
      </c>
      <c r="T152" t="inlineStr">
        <is>
          <t>3.03</t>
        </is>
      </c>
      <c r="U152" s="3">
        <v>46112.78107638889</v>
      </c>
      <c r="V152"/>
      <c r="W152" s="3">
        <v>46025</v>
      </c>
      <c r="X152" t="inlineStr">
        <is>
          <t>01</t>
        </is>
      </c>
      <c r="Y152" t="inlineStr">
        <is>
          <t>2026-Q1</t>
        </is>
      </c>
    </row>
    <row r="153" ht="38.25" customHeight="1">
      <c r="A153" t="inlineStr">
        <is>
          <t>27考研英语核心词汇5500思维导图pdf电子版</t>
        </is>
      </c>
      <c r="B153" t="inlineStr">
        <is>
          <t>__upload_recv7d1okDo4NG.jpg</t>
        </is>
      </c>
      <c r="C153" s="2" t="str">
        <f>=HYPERLINK("https://xhslink.com/m/66OYz2hbRKK", "https://xhslink.com/m/66OYz2hbRKK")</f>
        <v>https://xhslink.com/m/66OYz2hbRKK</v>
      </c>
      <c r="D153"/>
      <c r="E153">
        <v>2975</v>
      </c>
      <c r="F153">
        <v>6.99</v>
      </c>
      <c r="G153"/>
      <c r="H153">
        <v>350</v>
      </c>
      <c r="I153">
        <v>1000</v>
      </c>
      <c r="J153"/>
      <c r="K153" t="inlineStr">
        <is>
          <t>研究生考试</t>
        </is>
      </c>
      <c r="L153"/>
      <c r="M153" t="inlineStr">
        <is>
          <t>然然学姐上岸版的店</t>
        </is>
      </c>
      <c r="N153">
        <v>1962</v>
      </c>
      <c r="O153">
        <v>4.45</v>
      </c>
      <c r="P153">
        <v>14000</v>
      </c>
      <c r="Q153" t="inlineStr">
        <is>
          <t>692b870d4977f30001456a06</t>
        </is>
      </c>
      <c r="R153"/>
      <c r="S153" t="inlineStr">
        <is>
          <t>考研资料</t>
        </is>
      </c>
      <c r="T153" t="inlineStr">
        <is>
          <t>1.52</t>
        </is>
      </c>
      <c r="U153" s="3">
        <v>46112.78107638889</v>
      </c>
      <c r="V153"/>
      <c r="W153" s="3">
        <v>46025</v>
      </c>
      <c r="X153" t="inlineStr">
        <is>
          <t>01</t>
        </is>
      </c>
      <c r="Y153" t="inlineStr">
        <is>
          <t>2026-Q1</t>
        </is>
      </c>
    </row>
    <row r="154" ht="38.25" customHeight="1">
      <c r="A154" t="inlineStr">
        <is>
          <t>考研英语词汇资料包（提取方式看下方图文详情）</t>
        </is>
      </c>
      <c r="B154" t="inlineStr">
        <is>
          <t>__upload_recv7d1okDuKd8.jpg</t>
        </is>
      </c>
      <c r="C154" s="2" t="str">
        <f>=HYPERLINK("https://xhslink.com/m/4RkFx8ZMNFg", "https://xhslink.com/m/4RkFx8ZMNFg")</f>
        <v>https://xhslink.com/m/4RkFx8ZMNFg</v>
      </c>
      <c r="D154"/>
      <c r="E154">
        <v>1851</v>
      </c>
      <c r="F154">
        <v>0.99</v>
      </c>
      <c r="G154"/>
      <c r="H154">
        <v>450</v>
      </c>
      <c r="I154">
        <v>1000</v>
      </c>
      <c r="J154"/>
      <c r="K154" t="inlineStr">
        <is>
          <t>研究生考试</t>
        </is>
      </c>
      <c r="L154"/>
      <c r="M154" t="inlineStr">
        <is>
          <t>舍予舍予七的店</t>
        </is>
      </c>
      <c r="N154">
        <v>15000</v>
      </c>
      <c r="O154">
        <v>4.43</v>
      </c>
      <c r="P154">
        <v>9316</v>
      </c>
      <c r="Q154" t="inlineStr">
        <is>
          <t>68a75b809a16410001171efd</t>
        </is>
      </c>
      <c r="R154" t="inlineStr">
        <is>
          <t>🚫重复</t>
        </is>
      </c>
      <c r="S154" t="inlineStr">
        <is>
          <t>考研资料</t>
        </is>
      </c>
      <c r="T154" t="inlineStr">
        <is>
          <t>0.12</t>
        </is>
      </c>
      <c r="U154" s="3">
        <v>46112.78107638889</v>
      </c>
      <c r="V154" t="inlineStr">
        <is>
          <t>虚拟产品</t>
        </is>
      </c>
      <c r="W154" s="3">
        <v>46025</v>
      </c>
      <c r="X154" t="inlineStr">
        <is>
          <t>01</t>
        </is>
      </c>
      <c r="Y154" t="inlineStr">
        <is>
          <t>2026-Q1</t>
        </is>
      </c>
    </row>
    <row r="155" ht="38.25" customHeight="1">
      <c r="A155" t="inlineStr">
        <is>
          <t>肖八2026考研政治肖八试题含答案电子版</t>
        </is>
      </c>
      <c r="B155" t="inlineStr">
        <is>
          <t>__upload_recv7d1okDxInO.jpg</t>
        </is>
      </c>
      <c r="C155" s="2" t="str">
        <f>=HYPERLINK("https://xhslink.com/m/9u4EgPjlxGe", "https://xhslink.com/m/9u4EgPjlxGe")</f>
        <v>https://xhslink.com/m/9u4EgPjlxGe</v>
      </c>
      <c r="D155"/>
      <c r="E155">
        <v>1017</v>
      </c>
      <c r="F155">
        <v>0.66</v>
      </c>
      <c r="G155"/>
      <c r="H155">
        <v>850</v>
      </c>
      <c r="I155">
        <v>1000</v>
      </c>
      <c r="J155"/>
      <c r="K155" t="inlineStr">
        <is>
          <t>研究生考试</t>
        </is>
      </c>
      <c r="L155" t="inlineStr">
        <is>
          <t>🔥低粉爆款</t>
        </is>
      </c>
      <c r="M155" t="inlineStr">
        <is>
          <t>momo7zc的店</t>
        </is>
      </c>
      <c r="N155">
        <v>319</v>
      </c>
      <c r="O155">
        <v>4.58</v>
      </c>
      <c r="P155">
        <v>11000</v>
      </c>
      <c r="Q155" t="inlineStr">
        <is>
          <t>691724651c5b2a0001c6f733</t>
        </is>
      </c>
      <c r="R155"/>
      <c r="S155" t="inlineStr">
        <is>
          <t>考研资料</t>
        </is>
      </c>
      <c r="T155" t="inlineStr">
        <is>
          <t>3.19</t>
        </is>
      </c>
      <c r="U155" s="3">
        <v>46112.78107638889</v>
      </c>
      <c r="V155" t="inlineStr">
        <is>
          <t>虚拟产品</t>
        </is>
      </c>
      <c r="W155" s="3">
        <v>46025</v>
      </c>
      <c r="X155" t="inlineStr">
        <is>
          <t>01</t>
        </is>
      </c>
      <c r="Y155" t="inlineStr">
        <is>
          <t>2026-Q1</t>
        </is>
      </c>
    </row>
    <row r="156" ht="38.25" customHeight="1">
      <c r="A156" t="inlineStr">
        <is>
          <t>快乐读书吧 ‖ 知识汇总练习/考试真题【电子版】037</t>
        </is>
      </c>
      <c r="B156" t="inlineStr">
        <is>
          <t>__upload_recv7d1okDP3md.jpg</t>
        </is>
      </c>
      <c r="C156" s="2" t="str">
        <f>=HYPERLINK("https://xhslink.com/m/7N8I58GaqHa", "https://xhslink.com/m/7N8I58GaqHa")</f>
        <v>https://xhslink.com/m/7N8I58GaqHa</v>
      </c>
      <c r="D156"/>
      <c r="E156">
        <v>8779</v>
      </c>
      <c r="F156">
        <v>2.5</v>
      </c>
      <c r="G156"/>
      <c r="H156">
        <v>450</v>
      </c>
      <c r="I156">
        <v>1000</v>
      </c>
      <c r="J156"/>
      <c r="K156" t="inlineStr">
        <is>
          <t>研究生考试</t>
        </is>
      </c>
      <c r="L156"/>
      <c r="M156" t="inlineStr">
        <is>
          <t>小羊同学！的店</t>
        </is>
      </c>
      <c r="N156">
        <v>277000</v>
      </c>
      <c r="O156">
        <v>4.5</v>
      </c>
      <c r="P156">
        <v>204000</v>
      </c>
      <c r="Q156" t="inlineStr">
        <is>
          <t>673960d66602d70001788164</t>
        </is>
      </c>
      <c r="R156" t="inlineStr">
        <is>
          <t>🚫重复</t>
        </is>
      </c>
      <c r="S156" t="inlineStr">
        <is>
          <t>中小学教辅/教材</t>
        </is>
      </c>
      <c r="T156" t="inlineStr">
        <is>
          <t>0.03</t>
        </is>
      </c>
      <c r="U156" s="3">
        <v>46112.78107638889</v>
      </c>
      <c r="V156" t="inlineStr">
        <is>
          <t>虚拟产品</t>
        </is>
      </c>
      <c r="W156" s="3">
        <v>46025</v>
      </c>
      <c r="X156" t="inlineStr">
        <is>
          <t>01</t>
        </is>
      </c>
      <c r="Y156" t="inlineStr">
        <is>
          <t>2026-Q1</t>
        </is>
      </c>
    </row>
    <row r="157" ht="38.25" customHeight="1">
      <c r="A157" t="inlineStr">
        <is>
          <t>402号：四上综合类资料</t>
        </is>
      </c>
      <c r="B157" t="inlineStr">
        <is>
          <t>__upload_recv7d1okDp9hj.jpg</t>
        </is>
      </c>
      <c r="C157" s="2" t="str">
        <f>=HYPERLINK("https://xhslink.com/m/2ltFrEfGUls", "https://xhslink.com/m/2ltFrEfGUls")</f>
        <v>https://xhslink.com/m/2ltFrEfGUls</v>
      </c>
      <c r="D157"/>
      <c r="E157">
        <v>8163</v>
      </c>
      <c r="F157">
        <v>4</v>
      </c>
      <c r="G157"/>
      <c r="H157">
        <v>900</v>
      </c>
      <c r="I157">
        <v>1000</v>
      </c>
      <c r="J157"/>
      <c r="K157" t="inlineStr">
        <is>
          <t>研究生考试</t>
        </is>
      </c>
      <c r="L157"/>
      <c r="M157" t="inlineStr">
        <is>
          <t>张主任的情报库的店</t>
        </is>
      </c>
      <c r="N157">
        <v>28000</v>
      </c>
      <c r="O157">
        <v>4.56</v>
      </c>
      <c r="P157">
        <v>216000</v>
      </c>
      <c r="Q157" t="inlineStr">
        <is>
          <t>688b81834f80eb0001d89046</t>
        </is>
      </c>
      <c r="R157" t="inlineStr">
        <is>
          <t>🚫重复</t>
        </is>
      </c>
      <c r="S157" t="inlineStr">
        <is>
          <t>中小学教辅/教材</t>
        </is>
      </c>
      <c r="T157" t="inlineStr">
        <is>
          <t>0.29</t>
        </is>
      </c>
      <c r="U157" s="3">
        <v>46112.78107638889</v>
      </c>
      <c r="V157" t="inlineStr">
        <is>
          <t>虚拟产品</t>
        </is>
      </c>
      <c r="W157" s="3">
        <v>46025</v>
      </c>
      <c r="X157" t="inlineStr">
        <is>
          <t>01</t>
        </is>
      </c>
      <c r="Y157" t="inlineStr">
        <is>
          <t>2026-Q1</t>
        </is>
      </c>
    </row>
    <row r="158" ht="38.25" customHeight="1">
      <c r="A158" t="inlineStr">
        <is>
          <t>2026年法考高分全套备考资料合集+备考规划指导（附试听课）</t>
        </is>
      </c>
      <c r="B158" t="inlineStr">
        <is>
          <t>__upload_recv7d1okDI1aF.jpg</t>
        </is>
      </c>
      <c r="C158" s="2" t="str">
        <f>=HYPERLINK("https://xhslink.com/m/8ub1Mwkgvsy", "https://xhslink.com/m/8ub1Mwkgvsy")</f>
        <v>https://xhslink.com/m/8ub1Mwkgvsy</v>
      </c>
      <c r="D158"/>
      <c r="E158">
        <v>1087</v>
      </c>
      <c r="F158">
        <v>5.9</v>
      </c>
      <c r="G158"/>
      <c r="H158">
        <v>450</v>
      </c>
      <c r="I158">
        <v>1000</v>
      </c>
      <c r="J158"/>
      <c r="K158" t="inlineStr">
        <is>
          <t>司法考试</t>
        </is>
      </c>
      <c r="L158"/>
      <c r="M158" t="inlineStr">
        <is>
          <t>师法教育的店</t>
        </is>
      </c>
      <c r="N158">
        <v>583</v>
      </c>
      <c r="O158">
        <v>4.03</v>
      </c>
      <c r="P158">
        <v>5102</v>
      </c>
      <c r="Q158" t="inlineStr">
        <is>
          <t>68bfe91d635d460001a58c29</t>
        </is>
      </c>
      <c r="R158"/>
      <c r="S158" t="inlineStr">
        <is>
          <t>司法考试</t>
        </is>
      </c>
      <c r="T158" t="inlineStr">
        <is>
          <t>1.86</t>
        </is>
      </c>
      <c r="U158" s="3">
        <v>46112.78107638889</v>
      </c>
      <c r="V158" t="inlineStr">
        <is>
          <t>虚拟产品</t>
        </is>
      </c>
      <c r="W158" s="3">
        <v>46025</v>
      </c>
      <c r="X158" t="inlineStr">
        <is>
          <t>01</t>
        </is>
      </c>
      <c r="Y158" t="inlineStr">
        <is>
          <t>2026-Q1</t>
        </is>
      </c>
    </row>
    <row r="159" ht="38.25" customHeight="1">
      <c r="A159" t="inlineStr">
        <is>
          <t>2026腿姐冲刺背诵手册</t>
        </is>
      </c>
      <c r="B159" t="inlineStr">
        <is>
          <t>__upload_recv7d1okDvMU0.jpg</t>
        </is>
      </c>
      <c r="C159" s="2" t="str">
        <f>=HYPERLINK("https://xhslink.com/m/4NEGynMR1d7", "https://xhslink.com/m/4NEGynMR1d7")</f>
        <v>https://xhslink.com/m/4NEGynMR1d7</v>
      </c>
      <c r="D159"/>
      <c r="E159">
        <v>1332</v>
      </c>
      <c r="F159">
        <v>1</v>
      </c>
      <c r="G159"/>
      <c r="H159">
        <v>700</v>
      </c>
      <c r="I159">
        <v>1000</v>
      </c>
      <c r="J159"/>
      <c r="K159" t="inlineStr">
        <is>
          <t>手册</t>
        </is>
      </c>
      <c r="L159" t="inlineStr">
        <is>
          <t>🔥低粉爆款</t>
        </is>
      </c>
      <c r="M159" t="inlineStr">
        <is>
          <t>小韩在努力rmd的店</t>
        </is>
      </c>
      <c r="N159">
        <v>420</v>
      </c>
      <c r="O159">
        <v>4.43</v>
      </c>
      <c r="P159">
        <v>8802</v>
      </c>
      <c r="Q159" t="inlineStr">
        <is>
          <t>68f4a13ab8a4f6000199c9b5</t>
        </is>
      </c>
      <c r="R159"/>
      <c r="S159" t="inlineStr">
        <is>
          <t>考研资料</t>
        </is>
      </c>
      <c r="T159" t="inlineStr">
        <is>
          <t>3.17</t>
        </is>
      </c>
      <c r="U159" s="3">
        <v>46112.78107638889</v>
      </c>
      <c r="V159" t="inlineStr">
        <is>
          <t>虚拟产品</t>
        </is>
      </c>
      <c r="W159" s="3">
        <v>46025</v>
      </c>
      <c r="X159" t="inlineStr">
        <is>
          <t>01</t>
        </is>
      </c>
      <c r="Y159" t="inlineStr">
        <is>
          <t>2026-Q1</t>
        </is>
      </c>
    </row>
    <row r="160" ht="38.25" customHeight="1">
      <c r="A160" t="inlineStr">
        <is>
          <t>抖音AD/千川/本地推运营指南/广告投放手册（全新永久使用）</t>
        </is>
      </c>
      <c r="B160" t="inlineStr">
        <is>
          <t>__upload_recv7fLm1Iz3bZ.jpg</t>
        </is>
      </c>
      <c r="C160" s="2" t="str">
        <f>=HYPERLINK("https://xhslink.com/m/4xWPs9MhPrP", "https://xhslink.com/m/4xWPs9MhPrP")</f>
        <v>https://xhslink.com/m/4xWPs9MhPrP</v>
      </c>
      <c r="D160"/>
      <c r="E160">
        <v>11000</v>
      </c>
      <c r="F160">
        <v>9.88</v>
      </c>
      <c r="G160"/>
      <c r="H160">
        <v>400</v>
      </c>
      <c r="I160">
        <v>1000</v>
      </c>
      <c r="J160"/>
      <c r="K160" t="inlineStr">
        <is>
          <t>手册</t>
        </is>
      </c>
      <c r="L160"/>
      <c r="M160" t="inlineStr">
        <is>
          <t>小一爸爸爱投放的店</t>
        </is>
      </c>
      <c r="N160">
        <v>6657</v>
      </c>
      <c r="O160">
        <v>4.58</v>
      </c>
      <c r="P160">
        <v>11000</v>
      </c>
      <c r="Q160" t="inlineStr">
        <is>
          <t>678a53fc20a16b00012c1cbe</t>
        </is>
      </c>
      <c r="R160"/>
      <c r="S160" t="inlineStr">
        <is>
          <t>运营资料</t>
        </is>
      </c>
      <c r="T160" t="inlineStr">
        <is>
          <t>1.65</t>
        </is>
      </c>
      <c r="U160" s="3">
        <v>46112.78107638889</v>
      </c>
      <c r="V160" t="inlineStr">
        <is>
          <t>虚拟产品</t>
        </is>
      </c>
      <c r="W160" s="3">
        <v>46025</v>
      </c>
      <c r="X160" t="inlineStr">
        <is>
          <t>01</t>
        </is>
      </c>
      <c r="Y160" t="inlineStr">
        <is>
          <t>2026-Q1</t>
        </is>
      </c>
    </row>
    <row r="161" ht="38.25" customHeight="1">
      <c r="A161" t="inlineStr">
        <is>
          <t>【电子版】材料写作实用手册｜总结发言纪要模板+实用句式资料包</t>
        </is>
      </c>
      <c r="B161" t="inlineStr">
        <is>
          <t>__upload_recv7fLm1IkRnS.jpg</t>
        </is>
      </c>
      <c r="C161" s="2" t="str">
        <f>=HYPERLINK("https://xhslink.com/m/6Cukw9xiSTV", "https://xhslink.com/m/6Cukw9xiSTV")</f>
        <v>https://xhslink.com/m/6Cukw9xiSTV</v>
      </c>
      <c r="D161"/>
      <c r="E161">
        <v>3736</v>
      </c>
      <c r="F161">
        <v>29</v>
      </c>
      <c r="G161"/>
      <c r="H161">
        <v>400</v>
      </c>
      <c r="I161">
        <v>1000</v>
      </c>
      <c r="J161"/>
      <c r="K161" t="inlineStr">
        <is>
          <t>手册</t>
        </is>
      </c>
      <c r="L161"/>
      <c r="M161" t="inlineStr">
        <is>
          <t>姜哥写材料的店</t>
        </is>
      </c>
      <c r="N161">
        <v>5114</v>
      </c>
      <c r="O161">
        <v>4.57</v>
      </c>
      <c r="P161">
        <v>3733</v>
      </c>
      <c r="Q161" t="inlineStr">
        <is>
          <t>680f60a1afdaa60001910b90</t>
        </is>
      </c>
      <c r="R161"/>
      <c r="S161" t="inlineStr">
        <is>
          <t>求职面试/职场</t>
        </is>
      </c>
      <c r="T161" t="inlineStr">
        <is>
          <t>0.73</t>
        </is>
      </c>
      <c r="U161" s="3">
        <v>46112.78107638889</v>
      </c>
      <c r="V161" t="inlineStr">
        <is>
          <t>虚拟产品</t>
        </is>
      </c>
      <c r="W161" s="3">
        <v>46025</v>
      </c>
      <c r="X161" t="inlineStr">
        <is>
          <t>01</t>
        </is>
      </c>
      <c r="Y161" t="inlineStr">
        <is>
          <t>2026-Q1</t>
        </is>
      </c>
    </row>
    <row r="162" ht="38.25" customHeight="1">
      <c r="A162" t="inlineStr">
        <is>
          <t>AA整理的26冲刺笔记：短时拿下背诵手册！（持续更新）</t>
        </is>
      </c>
      <c r="B162" t="inlineStr">
        <is>
          <t>__upload_recv7fLm1I8eQe.jpg</t>
        </is>
      </c>
      <c r="C162" s="2" t="str">
        <f>=HYPERLINK("https://xhslink.com/m/AI7tD6aYCyg", "https://xhslink.com/m/AI7tD6aYCyg")</f>
        <v>https://xhslink.com/m/AI7tD6aYCyg</v>
      </c>
      <c r="D162"/>
      <c r="E162">
        <v>2446</v>
      </c>
      <c r="F162">
        <v>17.9</v>
      </c>
      <c r="G162"/>
      <c r="H162">
        <v>300</v>
      </c>
      <c r="I162">
        <v>1000</v>
      </c>
      <c r="J162"/>
      <c r="K162" t="inlineStr">
        <is>
          <t>手册</t>
        </is>
      </c>
      <c r="L162"/>
      <c r="M162" t="inlineStr">
        <is>
          <t>Aprilyx的店</t>
        </is>
      </c>
      <c r="N162">
        <v>34000</v>
      </c>
      <c r="O162">
        <v>4.3</v>
      </c>
      <c r="P162">
        <v>14000</v>
      </c>
      <c r="Q162" t="inlineStr">
        <is>
          <t>6723a29ab43c000001cc7d4f</t>
        </is>
      </c>
      <c r="R162"/>
      <c r="S162" t="inlineStr">
        <is>
          <t>考公资料</t>
        </is>
      </c>
      <c r="T162" t="inlineStr">
        <is>
          <t>0.07</t>
        </is>
      </c>
      <c r="U162" s="3">
        <v>46112.78107638889</v>
      </c>
      <c r="V162" t="inlineStr">
        <is>
          <t>虚拟产品</t>
        </is>
      </c>
      <c r="W162" s="3">
        <v>46025</v>
      </c>
      <c r="X162" t="inlineStr">
        <is>
          <t>01</t>
        </is>
      </c>
      <c r="Y162" t="inlineStr">
        <is>
          <t>2026-Q1</t>
        </is>
      </c>
    </row>
    <row r="163" ht="38.25" customHeight="1">
      <c r="A163" t="inlineStr">
        <is>
          <t>普通人社会化成长手册～i人社交技巧～人情世故保姆攻略</t>
        </is>
      </c>
      <c r="B163" t="inlineStr">
        <is>
          <t>__upload_recv7fLm1Ipa4w.jpg</t>
        </is>
      </c>
      <c r="C163" s="2" t="str">
        <f>=HYPERLINK("https://xhslink.com/m/2fBbdNgX6Ns", "https://xhslink.com/m/2fBbdNgX6Ns")</f>
        <v>https://xhslink.com/m/2fBbdNgX6Ns</v>
      </c>
      <c r="D163"/>
      <c r="E163">
        <v>1238</v>
      </c>
      <c r="F163">
        <v>0.98</v>
      </c>
      <c r="G163"/>
      <c r="H163">
        <v>350</v>
      </c>
      <c r="I163">
        <v>1000</v>
      </c>
      <c r="J163"/>
      <c r="K163" t="inlineStr">
        <is>
          <t>手册</t>
        </is>
      </c>
      <c r="L163"/>
      <c r="M163" t="inlineStr">
        <is>
          <t>珈一八万的店</t>
        </is>
      </c>
      <c r="N163">
        <v>8246</v>
      </c>
      <c r="O163">
        <v>4.08</v>
      </c>
      <c r="P163">
        <v>1919</v>
      </c>
      <c r="Q163" t="inlineStr">
        <is>
          <t>68f0b696c67e470001b13af7</t>
        </is>
      </c>
      <c r="R163"/>
      <c r="S163" t="inlineStr">
        <is>
          <t>生活成长</t>
        </is>
      </c>
      <c r="T163" t="inlineStr">
        <is>
          <t>0.15</t>
        </is>
      </c>
      <c r="U163" s="3">
        <v>46112.78107638889</v>
      </c>
      <c r="V163" t="inlineStr">
        <is>
          <t>虚拟产品</t>
        </is>
      </c>
      <c r="W163" s="3">
        <v>46025</v>
      </c>
      <c r="X163" t="inlineStr">
        <is>
          <t>01</t>
        </is>
      </c>
      <c r="Y163" t="inlineStr">
        <is>
          <t>2026-Q1</t>
        </is>
      </c>
    </row>
    <row r="164" ht="38.25" customHeight="1">
      <c r="A164" t="inlineStr">
        <is>
          <t>初中语文作文技巧方法提升系列电子资料包PPT课件（教师必备）</t>
        </is>
      </c>
      <c r="B164" t="inlineStr">
        <is>
          <t>__upload_recv7fLm1IKrHu.jpg</t>
        </is>
      </c>
      <c r="C164" s="2" t="str">
        <f>=HYPERLINK("https://xhslink.com/m/9XxG8p0CWYt", "https://xhslink.com/m/9XxG8p0CWYt")</f>
        <v>https://xhslink.com/m/9XxG8p0CWYt</v>
      </c>
      <c r="D164"/>
      <c r="E164">
        <v>5292</v>
      </c>
      <c r="F164">
        <v>9.9</v>
      </c>
      <c r="G164"/>
      <c r="H164">
        <v>1500</v>
      </c>
      <c r="I164">
        <v>5000</v>
      </c>
      <c r="J164"/>
      <c r="K164" t="inlineStr">
        <is>
          <t>手册</t>
        </is>
      </c>
      <c r="L164" t="inlineStr">
        <is>
          <t>🔥低粉爆款</t>
        </is>
      </c>
      <c r="M164" t="inlineStr">
        <is>
          <t>阳光泡芙的店</t>
        </is>
      </c>
      <c r="N164">
        <v>1562</v>
      </c>
      <c r="O164">
        <v>4.62</v>
      </c>
      <c r="P164">
        <v>6822</v>
      </c>
      <c r="Q164" t="inlineStr">
        <is>
          <t>68d227d0f735ce0015a8de2f</t>
        </is>
      </c>
      <c r="R164" t="inlineStr">
        <is>
          <t>🚫重复</t>
        </is>
      </c>
      <c r="S164" t="inlineStr">
        <is>
          <t>中小学教辅/教材</t>
        </is>
      </c>
      <c r="T164" t="inlineStr">
        <is>
          <t>3.39</t>
        </is>
      </c>
      <c r="U164" s="3">
        <v>46112.78107638889</v>
      </c>
      <c r="V164" t="inlineStr">
        <is>
          <t>虚拟产品</t>
        </is>
      </c>
      <c r="W164" s="3">
        <v>46025</v>
      </c>
      <c r="X164" t="inlineStr">
        <is>
          <t>01</t>
        </is>
      </c>
      <c r="Y164" t="inlineStr">
        <is>
          <t>2026-Q1</t>
        </is>
      </c>
    </row>
    <row r="165" ht="38.25" customHeight="1">
      <c r="A165" t="inlineStr">
        <is>
          <t>26考研《肖4》+《肖8》+《肖1000》电子版PDF</t>
        </is>
      </c>
      <c r="B165" t="inlineStr">
        <is>
          <t>__upload_recv7fLm1IwNVP.jpg</t>
        </is>
      </c>
      <c r="C165" s="2" t="str">
        <f>=HYPERLINK("https://xhslink.com/m/3S6Wgbsd4gt", "https://xhslink.com/m/3S6Wgbsd4gt")</f>
        <v>https://xhslink.com/m/3S6Wgbsd4gt</v>
      </c>
      <c r="D165"/>
      <c r="E165">
        <v>2813</v>
      </c>
      <c r="F165">
        <v>1</v>
      </c>
      <c r="G165"/>
      <c r="H165">
        <v>800</v>
      </c>
      <c r="I165">
        <v>1000</v>
      </c>
      <c r="J165"/>
      <c r="K165" t="inlineStr">
        <is>
          <t>手册</t>
        </is>
      </c>
      <c r="L165"/>
      <c r="M165" t="inlineStr">
        <is>
          <t>Core的上岸指南的店</t>
        </is>
      </c>
      <c r="N165">
        <v>1164</v>
      </c>
      <c r="O165">
        <v>4.55</v>
      </c>
      <c r="P165">
        <v>21000</v>
      </c>
      <c r="Q165" t="inlineStr">
        <is>
          <t>691af90e0607d40001cf2a0e</t>
        </is>
      </c>
      <c r="R165"/>
      <c r="S165" t="inlineStr">
        <is>
          <t>考研资料</t>
        </is>
      </c>
      <c r="T165" t="inlineStr">
        <is>
          <t>2.42</t>
        </is>
      </c>
      <c r="U165" s="3">
        <v>46112.78107638889</v>
      </c>
      <c r="V165" t="inlineStr">
        <is>
          <t>虚拟产品</t>
        </is>
      </c>
      <c r="W165" s="3">
        <v>46025</v>
      </c>
      <c r="X165" t="inlineStr">
        <is>
          <t>01</t>
        </is>
      </c>
      <c r="Y165" t="inlineStr">
        <is>
          <t>2026-Q1</t>
        </is>
      </c>
    </row>
    <row r="166" ht="38.25" customHeight="1">
      <c r="A166" t="inlineStr">
        <is>
          <t>Ai班级积分管理积分商店排行榜不用联网数据本地保存电子资料包</t>
        </is>
      </c>
      <c r="B166" t="inlineStr">
        <is>
          <t>__upload_recv7fLm1IPsYV.jpg</t>
        </is>
      </c>
      <c r="C166" s="2" t="str">
        <f>=HYPERLINK("https://xhslink.com/m/4OtQP9MJFdk", "https://xhslink.com/m/4OtQP9MJFdk")</f>
        <v>https://xhslink.com/m/4OtQP9MJFdk</v>
      </c>
      <c r="D166"/>
      <c r="E166">
        <v>2612</v>
      </c>
      <c r="F166">
        <v>39.9</v>
      </c>
      <c r="G166"/>
      <c r="H166">
        <v>300</v>
      </c>
      <c r="I166">
        <v>1000</v>
      </c>
      <c r="J166"/>
      <c r="K166" t="inlineStr">
        <is>
          <t>手册</t>
        </is>
      </c>
      <c r="L166" t="inlineStr">
        <is>
          <t>🔥低粉爆款</t>
        </is>
      </c>
      <c r="M166" t="inlineStr">
        <is>
          <t>赛尔号啊的店</t>
        </is>
      </c>
      <c r="N166">
        <v>246</v>
      </c>
      <c r="O166">
        <v>4.52</v>
      </c>
      <c r="P166">
        <v>2673</v>
      </c>
      <c r="Q166" t="inlineStr">
        <is>
          <t>68b4eca29b776a0015b9ef34</t>
        </is>
      </c>
      <c r="R166" t="inlineStr">
        <is>
          <t>🚫重复</t>
        </is>
      </c>
      <c r="S166" t="inlineStr">
        <is>
          <t>老师资料</t>
        </is>
      </c>
      <c r="T166" t="inlineStr">
        <is>
          <t>10.62</t>
        </is>
      </c>
      <c r="U166" s="3">
        <v>46112.78107638889</v>
      </c>
      <c r="V166" t="inlineStr">
        <is>
          <t>虚拟产品</t>
        </is>
      </c>
      <c r="W166" s="3">
        <v>46025</v>
      </c>
      <c r="X166" t="inlineStr">
        <is>
          <t>01</t>
        </is>
      </c>
      <c r="Y166" t="inlineStr">
        <is>
          <t>2026-Q1</t>
        </is>
      </c>
    </row>
    <row r="167" ht="38.25" customHeight="1">
      <c r="A167" t="inlineStr">
        <is>
          <t>26年考研冲刺急救包（考前必背）</t>
        </is>
      </c>
      <c r="B167" t="inlineStr">
        <is>
          <t>recv7fLm1I7a0o.jpg</t>
        </is>
      </c>
      <c r="C167" s="2" t="str">
        <f>=HYPERLINK("https://xhslink.com/m/7tpkVMAxCP4", "https://xhslink.com/m/7tpkVMAxCP4")</f>
        <v>https://xhslink.com/m/7tpkVMAxCP4</v>
      </c>
      <c r="D167"/>
      <c r="E167">
        <v>2260</v>
      </c>
      <c r="F167">
        <v>2.99</v>
      </c>
      <c r="G167"/>
      <c r="H167">
        <v>2000</v>
      </c>
      <c r="I167">
        <v>2000</v>
      </c>
      <c r="J167"/>
      <c r="K167" t="inlineStr">
        <is>
          <t>手册</t>
        </is>
      </c>
      <c r="L167" t="inlineStr">
        <is>
          <t>🔥低粉爆款</t>
        </is>
      </c>
      <c r="M167" t="inlineStr">
        <is>
          <t>奋斗小白的店</t>
        </is>
      </c>
      <c r="N167">
        <v>350</v>
      </c>
      <c r="O167">
        <v>4.27</v>
      </c>
      <c r="P167">
        <v>12000</v>
      </c>
      <c r="Q167" t="inlineStr">
        <is>
          <t>6924311852eecb000184c0bc</t>
        </is>
      </c>
      <c r="R167" t="inlineStr">
        <is>
          <t>🚫重复</t>
        </is>
      </c>
      <c r="S167" t="inlineStr">
        <is>
          <t>考研资料</t>
        </is>
      </c>
      <c r="T167" t="inlineStr">
        <is>
          <t>6.46</t>
        </is>
      </c>
      <c r="U167" s="3">
        <v>46112.78107638889</v>
      </c>
      <c r="V167" t="inlineStr">
        <is>
          <t>虚拟产品</t>
        </is>
      </c>
      <c r="W167" s="3">
        <v>46025</v>
      </c>
      <c r="X167" t="inlineStr">
        <is>
          <t>01</t>
        </is>
      </c>
      <c r="Y167" t="inlineStr">
        <is>
          <t>2026-Q1</t>
        </is>
      </c>
    </row>
    <row r="168" ht="38.25" customHeight="1">
      <c r="A168" t="inlineStr">
        <is>
          <t>小学作文写作技巧指导与训练手册电子版PDF30页含答案</t>
        </is>
      </c>
      <c r="B168" t="inlineStr">
        <is>
          <t>recv7fLm1IxxjD.jpg</t>
        </is>
      </c>
      <c r="C168" s="2" t="str">
        <f>=HYPERLINK("https://xhslink.com/m/9wok5V2tZbN", "https://xhslink.com/m/9wok5V2tZbN")</f>
        <v>https://xhslink.com/m/9wok5V2tZbN</v>
      </c>
      <c r="D168"/>
      <c r="E168">
        <v>1674</v>
      </c>
      <c r="F168">
        <v>12.9</v>
      </c>
      <c r="G168"/>
      <c r="H168">
        <v>400</v>
      </c>
      <c r="I168">
        <v>1000</v>
      </c>
      <c r="J168"/>
      <c r="K168" t="inlineStr">
        <is>
          <t>手册</t>
        </is>
      </c>
      <c r="L168"/>
      <c r="M168" t="inlineStr">
        <is>
          <t>优学教辅的店</t>
        </is>
      </c>
      <c r="N168">
        <v>2249</v>
      </c>
      <c r="O168">
        <v>4.57</v>
      </c>
      <c r="P168">
        <v>9137</v>
      </c>
      <c r="Q168" t="inlineStr">
        <is>
          <t>688bae3f9e83740001a0701c</t>
        </is>
      </c>
      <c r="R168"/>
      <c r="S168" t="inlineStr">
        <is>
          <t>中小学教辅/教材</t>
        </is>
      </c>
      <c r="T168" t="inlineStr">
        <is>
          <t>0.74</t>
        </is>
      </c>
      <c r="U168" s="3">
        <v>46112.78107638889</v>
      </c>
      <c r="V168" t="inlineStr">
        <is>
          <t>虚拟产品</t>
        </is>
      </c>
      <c r="W168" s="3">
        <v>46025</v>
      </c>
      <c r="X168" t="inlineStr">
        <is>
          <t>01</t>
        </is>
      </c>
      <c r="Y168" t="inlineStr">
        <is>
          <t>2026-Q1</t>
        </is>
      </c>
    </row>
    <row r="169" ht="38.25" customHeight="1">
      <c r="A169" t="inlineStr">
        <is>
          <t>懒懒原创行政执法卷模板范文素材【2026新版 含指导视频】</t>
        </is>
      </c>
      <c r="B169" t="inlineStr">
        <is>
          <t>recv7fLm1IrS4u.jpg</t>
        </is>
      </c>
      <c r="C169" s="2" t="str">
        <f>=HYPERLINK("https://xhslink.com/m/9xrFKwyo4Zr", "https://xhslink.com/m/9xrFKwyo4Zr")</f>
        <v>https://xhslink.com/m/9xrFKwyo4Zr</v>
      </c>
      <c r="D169"/>
      <c r="E169">
        <v>3424</v>
      </c>
      <c r="F169">
        <v>38</v>
      </c>
      <c r="G169"/>
      <c r="H169">
        <v>1500</v>
      </c>
      <c r="I169">
        <v>3000</v>
      </c>
      <c r="J169"/>
      <c r="K169" t="inlineStr">
        <is>
          <t>手册</t>
        </is>
      </c>
      <c r="L169"/>
      <c r="M169" t="inlineStr">
        <is>
          <t>懒懒来了上岸版的店</t>
        </is>
      </c>
      <c r="N169">
        <v>38000</v>
      </c>
      <c r="O169">
        <v>4.7</v>
      </c>
      <c r="P169">
        <v>22000</v>
      </c>
      <c r="Q169" t="inlineStr">
        <is>
          <t>68bba7b0c1222100016038a5</t>
        </is>
      </c>
      <c r="R169" t="inlineStr">
        <is>
          <t>🚫重复</t>
        </is>
      </c>
      <c r="S169" t="inlineStr">
        <is>
          <t>考公资料</t>
        </is>
      </c>
      <c r="T169" t="inlineStr">
        <is>
          <t>0.09</t>
        </is>
      </c>
      <c r="U169" s="3">
        <v>46112.78107638889</v>
      </c>
      <c r="V169" t="inlineStr">
        <is>
          <t>虚拟产品</t>
        </is>
      </c>
      <c r="W169" s="3">
        <v>46025</v>
      </c>
      <c r="X169" t="inlineStr">
        <is>
          <t>01</t>
        </is>
      </c>
      <c r="Y169" t="inlineStr">
        <is>
          <t>2026-Q1</t>
        </is>
      </c>
    </row>
    <row r="170" ht="38.25" customHeight="1">
      <c r="A170" t="inlineStr">
        <is>
          <t>【限时8.8】25年秋季小学三年级上册期中家长会PPT</t>
        </is>
      </c>
      <c r="B170" t="inlineStr">
        <is>
          <t>recv7fLm1IWnxH.jpg</t>
        </is>
      </c>
      <c r="C170" s="2" t="str">
        <f>=HYPERLINK("https://xhslink.com/m/4dRllS7W1n9", "https://xhslink.com/m/4dRllS7W1n9")</f>
        <v>https://xhslink.com/m/4dRllS7W1n9</v>
      </c>
      <c r="D170"/>
      <c r="E170">
        <v>3193</v>
      </c>
      <c r="F170">
        <v>8.8</v>
      </c>
      <c r="G170"/>
      <c r="H170">
        <v>2500</v>
      </c>
      <c r="I170">
        <v>2000</v>
      </c>
      <c r="J170"/>
      <c r="K170" t="inlineStr">
        <is>
          <t>手册</t>
        </is>
      </c>
      <c r="L170" t="inlineStr">
        <is>
          <t>🔥低粉爆款</t>
        </is>
      </c>
      <c r="M170" t="inlineStr">
        <is>
          <t>安琪老师的资料铺的店</t>
        </is>
      </c>
      <c r="N170">
        <v>611</v>
      </c>
      <c r="O170">
        <v>4.39</v>
      </c>
      <c r="P170">
        <v>7934</v>
      </c>
      <c r="Q170" t="inlineStr">
        <is>
          <t>68cf8c6dc72840000117dc11</t>
        </is>
      </c>
      <c r="R170" t="inlineStr">
        <is>
          <t>🚫重复</t>
        </is>
      </c>
      <c r="S170" t="inlineStr">
        <is>
          <t>PPT模板</t>
        </is>
      </c>
      <c r="T170" t="inlineStr">
        <is>
          <t>5.23</t>
        </is>
      </c>
      <c r="U170" s="3">
        <v>46112.78107638889</v>
      </c>
      <c r="V170" t="inlineStr">
        <is>
          <t>虚拟产品</t>
        </is>
      </c>
      <c r="W170" s="3">
        <v>46025</v>
      </c>
      <c r="X170" t="inlineStr">
        <is>
          <t>01</t>
        </is>
      </c>
      <c r="Y170" t="inlineStr">
        <is>
          <t>2026-Q1</t>
        </is>
      </c>
    </row>
    <row r="171" ht="38.25" customHeight="1">
      <c r="A171" t="inlineStr">
        <is>
          <t>2026苏一政治《思维导图》电子版高清可打印PDF</t>
        </is>
      </c>
      <c r="B171" t="inlineStr">
        <is>
          <t>recv7fLm1IAP1g.jpg</t>
        </is>
      </c>
      <c r="C171" s="2" t="str">
        <f>=HYPERLINK("https://xhslink.com/m/4iOnLUb0O9w", "https://xhslink.com/m/4iOnLUb0O9w")</f>
        <v>https://xhslink.com/m/4iOnLUb0O9w</v>
      </c>
      <c r="D171"/>
      <c r="E171">
        <v>2793</v>
      </c>
      <c r="F171">
        <v>1.99</v>
      </c>
      <c r="G171"/>
      <c r="H171">
        <v>400</v>
      </c>
      <c r="I171">
        <v>1000</v>
      </c>
      <c r="J171"/>
      <c r="K171" t="inlineStr">
        <is>
          <t>手册</t>
        </is>
      </c>
      <c r="L171" t="inlineStr">
        <is>
          <t>🔥低粉爆款</t>
        </is>
      </c>
      <c r="M171" t="inlineStr">
        <is>
          <t>数据小丸子的店</t>
        </is>
      </c>
      <c r="N171">
        <v>509</v>
      </c>
      <c r="O171">
        <v>4.52</v>
      </c>
      <c r="P171">
        <v>22000</v>
      </c>
      <c r="Q171" t="inlineStr">
        <is>
          <t>6897fb4179bc470001866250</t>
        </is>
      </c>
      <c r="R171" t="inlineStr">
        <is>
          <t>🚫重复</t>
        </is>
      </c>
      <c r="S171" t="inlineStr">
        <is>
          <t>考研资料</t>
        </is>
      </c>
      <c r="T171" t="inlineStr">
        <is>
          <t>5.49</t>
        </is>
      </c>
      <c r="U171" s="3">
        <v>46112.78107638889</v>
      </c>
      <c r="V171" t="inlineStr">
        <is>
          <t>虚拟产品</t>
        </is>
      </c>
      <c r="W171" s="3">
        <v>46025</v>
      </c>
      <c r="X171" t="inlineStr">
        <is>
          <t>01</t>
        </is>
      </c>
      <c r="Y171" t="inlineStr">
        <is>
          <t>2026-Q1</t>
        </is>
      </c>
    </row>
    <row r="172" ht="38.25" customHeight="1">
      <c r="A172" t="inlineStr">
        <is>
          <t>超自然行动组赌金（未成年禁止下单）</t>
        </is>
      </c>
      <c r="B172" t="inlineStr">
        <is>
          <t>recv7fLm1ImkLT.jpg</t>
        </is>
      </c>
      <c r="C172" s="2" t="str">
        <f>=HYPERLINK("https://xhslink.com/m/8E4OiFAGF2f", "https://xhslink.com/m/8E4OiFAGF2f")</f>
        <v>https://xhslink.com/m/8E4OiFAGF2f</v>
      </c>
      <c r="D172"/>
      <c r="E172">
        <v>1969</v>
      </c>
      <c r="F172">
        <v>8.8</v>
      </c>
      <c r="G172"/>
      <c r="H172">
        <v>700</v>
      </c>
      <c r="I172">
        <v>1000</v>
      </c>
      <c r="J172"/>
      <c r="K172" t="inlineStr">
        <is>
          <t>手册</t>
        </is>
      </c>
      <c r="L172" t="inlineStr">
        <is>
          <t>🔥低粉爆款</t>
        </is>
      </c>
      <c r="M172" t="inlineStr">
        <is>
          <t>白瑾妤的店</t>
        </is>
      </c>
      <c r="N172">
        <v>586</v>
      </c>
      <c r="O172">
        <v>4.55</v>
      </c>
      <c r="P172">
        <v>5169</v>
      </c>
      <c r="Q172" t="inlineStr">
        <is>
          <t>68f221d43f37a9000197febc</t>
        </is>
      </c>
      <c r="R172"/>
      <c r="S172" t="inlineStr">
        <is>
          <t>AI</t>
        </is>
      </c>
      <c r="T172" t="inlineStr">
        <is>
          <t>3.36</t>
        </is>
      </c>
      <c r="U172" s="3">
        <v>46112.78107638889</v>
      </c>
      <c r="V172" t="inlineStr">
        <is>
          <t>虚拟产品</t>
        </is>
      </c>
      <c r="W172" s="3">
        <v>46025</v>
      </c>
      <c r="X172" t="inlineStr">
        <is>
          <t>01</t>
        </is>
      </c>
      <c r="Y172" t="inlineStr">
        <is>
          <t>2026-Q1</t>
        </is>
      </c>
    </row>
    <row r="173" ht="38.25" customHeight="1">
      <c r="A173" t="inlineStr">
        <is>
          <t>原创自动成绩分析网页3.0版｜一键导入自动生成可视化图表分析</t>
        </is>
      </c>
      <c r="B173" t="inlineStr">
        <is>
          <t>recv7fLm1Ii4sJ.jpg</t>
        </is>
      </c>
      <c r="C173" s="2" t="str">
        <f>=HYPERLINK("https://xhslink.com/m/AGHw9M8rXTE", "https://xhslink.com/m/AGHw9M8rXTE")</f>
        <v>https://xhslink.com/m/AGHw9M8rXTE</v>
      </c>
      <c r="D173"/>
      <c r="E173">
        <v>1532</v>
      </c>
      <c r="F173">
        <v>39.9</v>
      </c>
      <c r="G173"/>
      <c r="H173">
        <v>1000</v>
      </c>
      <c r="I173">
        <v>1000</v>
      </c>
      <c r="J173"/>
      <c r="K173" t="inlineStr">
        <is>
          <t>手册</t>
        </is>
      </c>
      <c r="L173"/>
      <c r="M173" t="inlineStr">
        <is>
          <t>小邓的教学日记的店</t>
        </is>
      </c>
      <c r="N173">
        <v>2176</v>
      </c>
      <c r="O173">
        <v>4.61</v>
      </c>
      <c r="P173">
        <v>15000</v>
      </c>
      <c r="Q173" t="inlineStr">
        <is>
          <t>6901c0bdf5d048000171669a</t>
        </is>
      </c>
      <c r="R173" t="inlineStr">
        <is>
          <t>🚫重复</t>
        </is>
      </c>
      <c r="S173" t="inlineStr">
        <is>
          <t>软件应用</t>
        </is>
      </c>
      <c r="T173" t="inlineStr">
        <is>
          <t>0.70</t>
        </is>
      </c>
      <c r="U173" s="3">
        <v>46112.78107638889</v>
      </c>
      <c r="V173" t="inlineStr">
        <is>
          <t>虚拟产品</t>
        </is>
      </c>
      <c r="W173" s="3">
        <v>46025</v>
      </c>
      <c r="X173" t="inlineStr">
        <is>
          <t>01</t>
        </is>
      </c>
      <c r="Y173" t="inlineStr">
        <is>
          <t>2026-Q1</t>
        </is>
      </c>
    </row>
    <row r="174" ht="38.25" customHeight="1">
      <c r="A174" t="inlineStr">
        <is>
          <t>A17-42页-PPT+AI+PSD格式-黑白高级设计师作品集模板源文件</t>
        </is>
      </c>
      <c r="B174" t="inlineStr">
        <is>
          <t>recv7fLm1I1cvf.jpg</t>
        </is>
      </c>
      <c r="C174" s="2" t="str">
        <f>=HYPERLINK("https://xhslink.com/m/8TrJLZ2rfyI", "https://xhslink.com/m/8TrJLZ2rfyI")</f>
        <v>https://xhslink.com/m/8TrJLZ2rfyI</v>
      </c>
      <c r="D174"/>
      <c r="E174">
        <v>1291</v>
      </c>
      <c r="F174">
        <v>6.99</v>
      </c>
      <c r="G174"/>
      <c r="H174">
        <v>300</v>
      </c>
      <c r="I174">
        <v>1000</v>
      </c>
      <c r="J174"/>
      <c r="K174" t="inlineStr">
        <is>
          <t>手册</t>
        </is>
      </c>
      <c r="L174"/>
      <c r="M174" t="inlineStr">
        <is>
          <t>D-Art的店</t>
        </is>
      </c>
      <c r="N174">
        <v>3477</v>
      </c>
      <c r="O174">
        <v>4.66</v>
      </c>
      <c r="P174">
        <v>9770</v>
      </c>
      <c r="Q174" t="inlineStr">
        <is>
          <t>68c69a570201ec000156c46f</t>
        </is>
      </c>
      <c r="R174" t="inlineStr">
        <is>
          <t>🚫重复</t>
        </is>
      </c>
      <c r="S174" t="inlineStr">
        <is>
          <t>设计素材</t>
        </is>
      </c>
      <c r="T174" t="inlineStr">
        <is>
          <t>0.37</t>
        </is>
      </c>
      <c r="U174" s="3">
        <v>46112.78107638889</v>
      </c>
      <c r="V174" t="inlineStr">
        <is>
          <t>虚拟产品</t>
        </is>
      </c>
      <c r="W174" s="3">
        <v>46025</v>
      </c>
      <c r="X174" t="inlineStr">
        <is>
          <t>01</t>
        </is>
      </c>
      <c r="Y174" t="inlineStr">
        <is>
          <t>2026-Q1</t>
        </is>
      </c>
    </row>
    <row r="175" ht="38.25" customHeight="1">
      <c r="A175" t="inlineStr">
        <is>
          <t>小学数学4-6年级上册（校内基础+奥数进阶）培优教材|电子版资料</t>
        </is>
      </c>
      <c r="B175" t="inlineStr">
        <is>
          <t>recv7fLm1IXye4.jpg</t>
        </is>
      </c>
      <c r="C175" s="2" t="str">
        <f>=HYPERLINK("https://xhslink.com/m/2sVCarXCNMs", "https://xhslink.com/m/2sVCarXCNMs")</f>
        <v>https://xhslink.com/m/2sVCarXCNMs</v>
      </c>
      <c r="D175"/>
      <c r="E175">
        <v>1035</v>
      </c>
      <c r="F175">
        <v>7.9</v>
      </c>
      <c r="G175"/>
      <c r="H175">
        <v>350</v>
      </c>
      <c r="I175">
        <v>1000</v>
      </c>
      <c r="J175"/>
      <c r="K175" t="inlineStr">
        <is>
          <t>手册</t>
        </is>
      </c>
      <c r="L175"/>
      <c r="M175" t="inlineStr">
        <is>
          <t>不暴躁的杨老师的店</t>
        </is>
      </c>
      <c r="N175">
        <v>14000</v>
      </c>
      <c r="O175">
        <v>4.55</v>
      </c>
      <c r="P175">
        <v>6785</v>
      </c>
      <c r="Q175" t="inlineStr">
        <is>
          <t>68de4dd9ce94ee0001ffcaef</t>
        </is>
      </c>
      <c r="R175" t="inlineStr">
        <is>
          <t>🚫重复</t>
        </is>
      </c>
      <c r="S175" t="inlineStr">
        <is>
          <t>中小学教辅/教材</t>
        </is>
      </c>
      <c r="T175" t="inlineStr">
        <is>
          <t>0.07</t>
        </is>
      </c>
      <c r="U175" s="3">
        <v>46112.78107638889</v>
      </c>
      <c r="V175" t="inlineStr">
        <is>
          <t>虚拟产品</t>
        </is>
      </c>
      <c r="W175" s="3">
        <v>46025</v>
      </c>
      <c r="X175" t="inlineStr">
        <is>
          <t>01</t>
        </is>
      </c>
      <c r="Y175" t="inlineStr">
        <is>
          <t>2026-Q1</t>
        </is>
      </c>
    </row>
    <row r="176" ht="38.25" customHeight="1">
      <c r="A176" t="inlineStr">
        <is>
          <t>人美版新版 | 七上精品课件教案（赛课级品质）</t>
        </is>
      </c>
      <c r="B176" t="inlineStr">
        <is>
          <t>recv7fLm1ItCdV.jpg</t>
        </is>
      </c>
      <c r="C176" s="2" t="str">
        <f>=HYPERLINK("https://xhslink.com/m/3GfRUsqul6M", "https://xhslink.com/m/3GfRUsqul6M")</f>
        <v>https://xhslink.com/m/3GfRUsqul6M</v>
      </c>
      <c r="D176"/>
      <c r="E176">
        <v>1007</v>
      </c>
      <c r="F176">
        <v>13.5</v>
      </c>
      <c r="G176"/>
      <c r="H176">
        <v>350</v>
      </c>
      <c r="I176">
        <v>1000</v>
      </c>
      <c r="J176"/>
      <c r="K176" t="inlineStr">
        <is>
          <t>手册</t>
        </is>
      </c>
      <c r="L176"/>
      <c r="M176" t="inlineStr">
        <is>
          <t>画说老师的店</t>
        </is>
      </c>
      <c r="N176">
        <v>1703</v>
      </c>
      <c r="O176">
        <v>4.53</v>
      </c>
      <c r="P176">
        <v>5434</v>
      </c>
      <c r="Q176" t="inlineStr">
        <is>
          <t>68e777b6c753610001bc923c</t>
        </is>
      </c>
      <c r="R176" t="inlineStr">
        <is>
          <t>🚫重复</t>
        </is>
      </c>
      <c r="S176" t="inlineStr">
        <is>
          <t>中小学教辅/教材</t>
        </is>
      </c>
      <c r="T176" t="inlineStr">
        <is>
          <t>0.59</t>
        </is>
      </c>
      <c r="U176" s="3">
        <v>46112.78107638889</v>
      </c>
      <c r="V176" t="inlineStr">
        <is>
          <t>虚拟产品</t>
        </is>
      </c>
      <c r="W176" s="3">
        <v>46025</v>
      </c>
      <c r="X176" t="inlineStr">
        <is>
          <t>01</t>
        </is>
      </c>
      <c r="Y176" t="inlineStr">
        <is>
          <t>2026-Q1</t>
        </is>
      </c>
    </row>
    <row r="177" ht="38.25" customHeight="1">
      <c r="A177" t="inlineStr">
        <is>
          <t>2025年大学英语四六级历史真题词汇听力阅读音频冲刺电子版资料包</t>
        </is>
      </c>
      <c r="B177" t="inlineStr">
        <is>
          <t>recv7fLm1ImddT.jpg</t>
        </is>
      </c>
      <c r="C177" s="2" t="str">
        <f>=HYPERLINK("https://xhslink.com/m/6n4T3QBu93C", "https://xhslink.com/m/6n4T3QBu93C")</f>
        <v>https://xhslink.com/m/6n4T3QBu93C</v>
      </c>
      <c r="D177"/>
      <c r="E177">
        <v>854</v>
      </c>
      <c r="F177">
        <v>5.98</v>
      </c>
      <c r="G177"/>
      <c r="H177">
        <v>600</v>
      </c>
      <c r="I177">
        <v>1000</v>
      </c>
      <c r="J177"/>
      <c r="K177" t="inlineStr">
        <is>
          <t>手册</t>
        </is>
      </c>
      <c r="L177"/>
      <c r="M177" t="inlineStr">
        <is>
          <t>考百分教育的店</t>
        </is>
      </c>
      <c r="N177">
        <v>1805</v>
      </c>
      <c r="O177">
        <v>4.42</v>
      </c>
      <c r="P177">
        <v>5842</v>
      </c>
      <c r="Q177" t="inlineStr">
        <is>
          <t>690335559de01f0001059a8a</t>
        </is>
      </c>
      <c r="R177" t="inlineStr">
        <is>
          <t>🚫重复</t>
        </is>
      </c>
      <c r="S177" t="inlineStr">
        <is>
          <t>英语资料</t>
        </is>
      </c>
      <c r="T177" t="inlineStr">
        <is>
          <t>0.47</t>
        </is>
      </c>
      <c r="U177" s="3">
        <v>46112.78107638889</v>
      </c>
      <c r="V177" t="inlineStr">
        <is>
          <t>虚拟产品</t>
        </is>
      </c>
      <c r="W177" s="3">
        <v>46025</v>
      </c>
      <c r="X177" t="inlineStr">
        <is>
          <t>01</t>
        </is>
      </c>
      <c r="Y177" t="inlineStr">
        <is>
          <t>2026-Q1</t>
        </is>
      </c>
    </row>
    <row r="178" ht="38.25" customHeight="1">
      <c r="A178" t="inlineStr">
        <is>
          <t>初中语文数学英语物理化生物史地道法知识点总结电子版素材多版本</t>
        </is>
      </c>
      <c r="B178" t="inlineStr">
        <is>
          <t>recv7fLm1IXmCe.jpg</t>
        </is>
      </c>
      <c r="C178" s="2" t="str">
        <f>=HYPERLINK("https://xhslink.com/m/8Ne8TFPSZTT", "https://xhslink.com/m/8Ne8TFPSZTT")</f>
        <v>https://xhslink.com/m/8Ne8TFPSZTT</v>
      </c>
      <c r="D178"/>
      <c r="E178">
        <v>23000</v>
      </c>
      <c r="F178">
        <v>19.8</v>
      </c>
      <c r="G178"/>
      <c r="H178">
        <v>3000</v>
      </c>
      <c r="I178">
        <v>1000</v>
      </c>
      <c r="J178"/>
      <c r="K178" t="inlineStr">
        <is>
          <t>手册</t>
        </is>
      </c>
      <c r="L178"/>
      <c r="M178" t="inlineStr">
        <is>
          <t>赵老师的资料库的店</t>
        </is>
      </c>
      <c r="N178">
        <v>14000</v>
      </c>
      <c r="O178">
        <v>4.45</v>
      </c>
      <c r="P178">
        <v>44000</v>
      </c>
      <c r="Q178" t="inlineStr">
        <is>
          <t>672cd74310adb50001c5717e</t>
        </is>
      </c>
      <c r="R178" t="inlineStr">
        <is>
          <t>🚫重复</t>
        </is>
      </c>
      <c r="S178" t="inlineStr">
        <is>
          <t>中小学教辅/教材</t>
        </is>
      </c>
      <c r="T178" t="inlineStr">
        <is>
          <t>1.64</t>
        </is>
      </c>
      <c r="U178" s="3">
        <v>46112.78107638889</v>
      </c>
      <c r="V178" t="inlineStr">
        <is>
          <t>虚拟产品</t>
        </is>
      </c>
      <c r="W178" s="3">
        <v>46025</v>
      </c>
      <c r="X178" t="inlineStr">
        <is>
          <t>01</t>
        </is>
      </c>
      <c r="Y178" t="inlineStr">
        <is>
          <t>2026-Q1</t>
        </is>
      </c>
    </row>
    <row r="179" ht="38.25" customHeight="1">
      <c r="A179" t="inlineStr">
        <is>
          <t>26考研政治苏一肖八选择题解析（八套已更新完）</t>
        </is>
      </c>
      <c r="B179" t="inlineStr">
        <is>
          <t>recv7fLm1IFSiU.jpg</t>
        </is>
      </c>
      <c r="C179" s="2" t="str">
        <f>=HYPERLINK("https://xhslink.com/m/5fbwPZ30Vrd", "https://xhslink.com/m/5fbwPZ30Vrd")</f>
        <v>https://xhslink.com/m/5fbwPZ30Vrd</v>
      </c>
      <c r="D179"/>
      <c r="E179">
        <v>911</v>
      </c>
      <c r="F179">
        <v>1</v>
      </c>
      <c r="G179"/>
      <c r="H179">
        <v>750</v>
      </c>
      <c r="I179">
        <v>1000</v>
      </c>
      <c r="J179"/>
      <c r="K179" t="inlineStr">
        <is>
          <t>手册</t>
        </is>
      </c>
      <c r="L179" t="inlineStr">
        <is>
          <t>🔥低粉爆款</t>
        </is>
      </c>
      <c r="M179" t="inlineStr">
        <is>
          <t>野望全能小铺的店</t>
        </is>
      </c>
      <c r="N179">
        <v>70</v>
      </c>
      <c r="O179">
        <v>4.47</v>
      </c>
      <c r="P179">
        <v>2269</v>
      </c>
      <c r="Q179" t="inlineStr">
        <is>
          <t>69244c049562430001642e7a</t>
        </is>
      </c>
      <c r="R179"/>
      <c r="S179" t="inlineStr">
        <is>
          <t>考研资料</t>
        </is>
      </c>
      <c r="T179" t="inlineStr">
        <is>
          <t>13.01</t>
        </is>
      </c>
      <c r="U179" s="3">
        <v>46112.78107638889</v>
      </c>
      <c r="V179" t="inlineStr">
        <is>
          <t>虚拟产品</t>
        </is>
      </c>
      <c r="W179" s="3">
        <v>46025</v>
      </c>
      <c r="X179" t="inlineStr">
        <is>
          <t>01</t>
        </is>
      </c>
      <c r="Y179" t="inlineStr">
        <is>
          <t>2026-Q1</t>
        </is>
      </c>
    </row>
    <row r="180" ht="38.25" customHeight="1">
      <c r="A180" t="inlineStr">
        <is>
          <t>0手抄报线稿模版店铺笔记任选一款</t>
        </is>
      </c>
      <c r="B180" t="inlineStr">
        <is>
          <t>recv7j5UmKYDut.jpg</t>
        </is>
      </c>
      <c r="C180" s="2" t="str">
        <f>=HYPERLINK("https://xhslink.com/m/7zSwkxwP8oO", "https://xhslink.com/m/7zSwkxwP8oO")</f>
        <v>https://xhslink.com/m/7zSwkxwP8oO</v>
      </c>
      <c r="D180"/>
      <c r="E180">
        <v>21000</v>
      </c>
      <c r="F180">
        <v>5</v>
      </c>
      <c r="G180"/>
      <c r="H180">
        <v>400</v>
      </c>
      <c r="I180">
        <v>1000</v>
      </c>
      <c r="J180"/>
      <c r="K180" t="inlineStr">
        <is>
          <t>模板</t>
        </is>
      </c>
      <c r="L180"/>
      <c r="M180" t="inlineStr">
        <is>
          <t>多多手抄报的店</t>
        </is>
      </c>
      <c r="N180">
        <v>39000</v>
      </c>
      <c r="O180">
        <v>4.65</v>
      </c>
      <c r="P180">
        <v>56000</v>
      </c>
      <c r="Q180" t="inlineStr">
        <is>
          <t>661e6ec275782a000145040f</t>
        </is>
      </c>
      <c r="R180"/>
      <c r="S180" t="inlineStr">
        <is>
          <t>设计素材</t>
        </is>
      </c>
      <c r="T180" t="inlineStr">
        <is>
          <t>0.54</t>
        </is>
      </c>
      <c r="U180" s="3">
        <v>46112.78107638889</v>
      </c>
      <c r="V180" t="inlineStr">
        <is>
          <t>虚拟产品</t>
        </is>
      </c>
      <c r="W180" s="3">
        <v>46026</v>
      </c>
      <c r="X180" t="inlineStr">
        <is>
          <t>01</t>
        </is>
      </c>
      <c r="Y180" t="inlineStr">
        <is>
          <t>2026-Q1</t>
        </is>
      </c>
    </row>
    <row r="181" ht="38.25" customHeight="1">
      <c r="A181" t="inlineStr">
        <is>
          <t>家长会ppt模板，内容可自己改，虚拟定制</t>
        </is>
      </c>
      <c r="B181" t="inlineStr">
        <is>
          <t>recv7j8rzT1GEc.jpg</t>
        </is>
      </c>
      <c r="C181" s="2" t="str">
        <f>=HYPERLINK("https://xhslink.com/m/Az8dOJRegEc", "https://xhslink.com/m/Az8dOJRegEc")</f>
        <v>https://xhslink.com/m/Az8dOJRegEc</v>
      </c>
      <c r="D181"/>
      <c r="E181">
        <v>16000</v>
      </c>
      <c r="F181">
        <v>14.43</v>
      </c>
      <c r="G181"/>
      <c r="H181">
        <v>750</v>
      </c>
      <c r="I181">
        <v>1000</v>
      </c>
      <c r="J181"/>
      <c r="K181" t="inlineStr">
        <is>
          <t>模板</t>
        </is>
      </c>
      <c r="L181"/>
      <c r="M181" t="inlineStr">
        <is>
          <t>开学就想放暑假的店</t>
        </is>
      </c>
      <c r="N181">
        <v>36000</v>
      </c>
      <c r="O181">
        <v>4.44</v>
      </c>
      <c r="P181">
        <v>52000</v>
      </c>
      <c r="Q181" t="inlineStr">
        <is>
          <t>672198aa632c150001788685</t>
        </is>
      </c>
      <c r="R181" t="inlineStr">
        <is>
          <t>🚫重复</t>
        </is>
      </c>
      <c r="S181" t="inlineStr">
        <is>
          <t>PPT模板</t>
        </is>
      </c>
      <c r="T181" t="inlineStr">
        <is>
          <t>0.44</t>
        </is>
      </c>
      <c r="U181" s="3">
        <v>46112.78107638889</v>
      </c>
      <c r="V181" t="inlineStr">
        <is>
          <t>虚拟产品</t>
        </is>
      </c>
      <c r="W181" s="3">
        <v>46026</v>
      </c>
      <c r="X181" t="inlineStr">
        <is>
          <t>01</t>
        </is>
      </c>
      <c r="Y181" t="inlineStr">
        <is>
          <t>2026-Q1</t>
        </is>
      </c>
    </row>
    <row r="182" ht="38.25" customHeight="1">
      <c r="A182" t="inlineStr">
        <is>
          <t>离婚协议书模板word电子版/有无子女/民政局离婚标准协议书范本</t>
        </is>
      </c>
      <c r="B182" t="inlineStr">
        <is>
          <t>recv7j8rzT0zxa.jpg</t>
        </is>
      </c>
      <c r="C182" s="2" t="str">
        <f>=HYPERLINK("https://xhslink.com/m/6Xc93cMtlCF", "https://xhslink.com/m/6Xc93cMtlCF")</f>
        <v>https://xhslink.com/m/6Xc93cMtlCF</v>
      </c>
      <c r="D182"/>
      <c r="E182">
        <v>13000</v>
      </c>
      <c r="F182">
        <v>4.98</v>
      </c>
      <c r="G182"/>
      <c r="H182">
        <v>400</v>
      </c>
      <c r="I182">
        <v>1000</v>
      </c>
      <c r="J182"/>
      <c r="K182" t="inlineStr">
        <is>
          <t>模板</t>
        </is>
      </c>
      <c r="L182"/>
      <c r="M182" t="inlineStr">
        <is>
          <t>果果素材的店</t>
        </is>
      </c>
      <c r="N182">
        <v>6539</v>
      </c>
      <c r="O182">
        <v>4.41</v>
      </c>
      <c r="P182">
        <v>42000</v>
      </c>
      <c r="Q182" t="inlineStr">
        <is>
          <t>673d78b9bf5b24000192c96c</t>
        </is>
      </c>
      <c r="R182" t="inlineStr">
        <is>
          <t>🚫重复</t>
        </is>
      </c>
      <c r="S182" t="inlineStr">
        <is>
          <t>无匹配类别</t>
        </is>
      </c>
      <c r="T182" t="inlineStr">
        <is>
          <t>1.99</t>
        </is>
      </c>
      <c r="U182" s="3">
        <v>46112.78107638889</v>
      </c>
      <c r="V182" t="inlineStr">
        <is>
          <t>虚拟产品</t>
        </is>
      </c>
      <c r="W182" s="3">
        <v>46026</v>
      </c>
      <c r="X182" t="inlineStr">
        <is>
          <t>01</t>
        </is>
      </c>
      <c r="Y182" t="inlineStr">
        <is>
          <t>2026-Q1</t>
        </is>
      </c>
    </row>
    <row r="183" ht="38.25" customHeight="1">
      <c r="A183" t="inlineStr">
        <is>
          <t>PPT模版任意一套 （拍下请备注编码）</t>
        </is>
      </c>
      <c r="B183" t="inlineStr">
        <is>
          <t>recv7j8rzTrGjH.jpg</t>
        </is>
      </c>
      <c r="C183" s="2" t="str">
        <f>=HYPERLINK("https://xhslink.com/m/35fjFktIPff", "https://xhslink.com/m/35fjFktIPff")</f>
        <v>https://xhslink.com/m/35fjFktIPff</v>
      </c>
      <c r="D183"/>
      <c r="E183">
        <v>13000</v>
      </c>
      <c r="F183">
        <v>4.9</v>
      </c>
      <c r="G183"/>
      <c r="H183">
        <v>400</v>
      </c>
      <c r="I183">
        <v>1000</v>
      </c>
      <c r="J183"/>
      <c r="K183" t="inlineStr">
        <is>
          <t>模板</t>
        </is>
      </c>
      <c r="L183" t="inlineStr">
        <is>
          <t>🔥低粉爆款</t>
        </is>
      </c>
      <c r="M183" t="inlineStr">
        <is>
          <t>小希ppt的店</t>
        </is>
      </c>
      <c r="N183">
        <v>3119</v>
      </c>
      <c r="O183">
        <v>4.62</v>
      </c>
      <c r="P183">
        <v>14000</v>
      </c>
      <c r="Q183" t="inlineStr">
        <is>
          <t>65fe40c7e21a000001def3c1</t>
        </is>
      </c>
      <c r="R183"/>
      <c r="S183" t="inlineStr">
        <is>
          <t>PPT模板</t>
        </is>
      </c>
      <c r="T183" t="inlineStr">
        <is>
          <t>4.17</t>
        </is>
      </c>
      <c r="U183" s="3">
        <v>46112.78107638889</v>
      </c>
      <c r="V183" t="inlineStr">
        <is>
          <t>虚拟产品</t>
        </is>
      </c>
      <c r="W183" s="3">
        <v>46026</v>
      </c>
      <c r="X183" t="inlineStr">
        <is>
          <t>01</t>
        </is>
      </c>
      <c r="Y183" t="inlineStr">
        <is>
          <t>2026-Q1</t>
        </is>
      </c>
    </row>
    <row r="184" ht="38.25" customHeight="1">
      <c r="A184" t="inlineStr">
        <is>
          <t>模版手抄报拍这个</t>
        </is>
      </c>
      <c r="B184" t="inlineStr">
        <is>
          <t>recv7j8rzT4Nc4.jpg</t>
        </is>
      </c>
      <c r="C184" s="2" t="str">
        <f>=HYPERLINK("https://xhslink.com/m/5hnCgEgwFAt", "https://xhslink.com/m/5hnCgEgwFAt")</f>
        <v>https://xhslink.com/m/5hnCgEgwFAt</v>
      </c>
      <c r="D184"/>
      <c r="E184">
        <v>12000</v>
      </c>
      <c r="F184">
        <v>4.88</v>
      </c>
      <c r="G184"/>
      <c r="H184">
        <v>300</v>
      </c>
      <c r="I184">
        <v>1000</v>
      </c>
      <c r="J184"/>
      <c r="K184" t="inlineStr">
        <is>
          <t>模板</t>
        </is>
      </c>
      <c r="L184"/>
      <c r="M184" t="inlineStr">
        <is>
          <t>小鱼画画手抄报的店</t>
        </is>
      </c>
      <c r="N184">
        <v>12000</v>
      </c>
      <c r="O184">
        <v>4.44</v>
      </c>
      <c r="P184">
        <v>32000</v>
      </c>
      <c r="Q184" t="inlineStr">
        <is>
          <t>673f5fab17e95f0001e6dcc7</t>
        </is>
      </c>
      <c r="R184"/>
      <c r="S184" t="inlineStr">
        <is>
          <t>无匹配类别</t>
        </is>
      </c>
      <c r="T184" t="inlineStr">
        <is>
          <t>1.00</t>
        </is>
      </c>
      <c r="U184" s="3">
        <v>46112.78107638889</v>
      </c>
      <c r="V184" t="inlineStr">
        <is>
          <t>虚拟产品</t>
        </is>
      </c>
      <c r="W184" s="3">
        <v>46026</v>
      </c>
      <c r="X184" t="inlineStr">
        <is>
          <t>01</t>
        </is>
      </c>
      <c r="Y184" t="inlineStr">
        <is>
          <t>2026-Q1</t>
        </is>
      </c>
    </row>
    <row r="185" ht="38.25" customHeight="1">
      <c r="A185" t="inlineStr">
        <is>
          <t>OD3-上导航栏开题答辩PPT模板</t>
        </is>
      </c>
      <c r="B185" t="inlineStr">
        <is>
          <t>recv7j8rzTqHRI.jpg</t>
        </is>
      </c>
      <c r="C185" s="2" t="str">
        <f>=HYPERLINK("https://xhslink.com/m/5E57AGIpEUl", "https://xhslink.com/m/5E57AGIpEUl")</f>
        <v>https://xhslink.com/m/5E57AGIpEUl</v>
      </c>
      <c r="D185"/>
      <c r="E185">
        <v>9653</v>
      </c>
      <c r="F185">
        <v>39.9</v>
      </c>
      <c r="G185"/>
      <c r="H185">
        <v>750</v>
      </c>
      <c r="I185">
        <v>1000</v>
      </c>
      <c r="J185"/>
      <c r="K185" t="inlineStr">
        <is>
          <t>模板</t>
        </is>
      </c>
      <c r="L185"/>
      <c r="M185" t="inlineStr">
        <is>
          <t>博士学长的百宝箱的店</t>
        </is>
      </c>
      <c r="N185">
        <v>9587</v>
      </c>
      <c r="O185">
        <v>4.44</v>
      </c>
      <c r="P185">
        <v>24000</v>
      </c>
      <c r="Q185" t="inlineStr">
        <is>
          <t>67ac6e810f41740001af889a</t>
        </is>
      </c>
      <c r="R185" t="inlineStr">
        <is>
          <t>🚫重复</t>
        </is>
      </c>
      <c r="S185" t="inlineStr">
        <is>
          <t>PPT模板</t>
        </is>
      </c>
      <c r="T185" t="inlineStr">
        <is>
          <t>1.01</t>
        </is>
      </c>
      <c r="U185" s="3">
        <v>46112.78107638889</v>
      </c>
      <c r="V185" t="inlineStr">
        <is>
          <t>虚拟产品</t>
        </is>
      </c>
      <c r="W185" s="3">
        <v>46026</v>
      </c>
      <c r="X185" t="inlineStr">
        <is>
          <t>01</t>
        </is>
      </c>
      <c r="Y185" t="inlineStr">
        <is>
          <t>2026-Q1</t>
        </is>
      </c>
    </row>
    <row r="186" ht="38.25" customHeight="1">
      <c r="A186" t="inlineStr">
        <is>
          <t>PPT模板一份/拍下后发送编号</t>
        </is>
      </c>
      <c r="B186" t="inlineStr">
        <is>
          <t>recv7j8rzT5GUj.jpg</t>
        </is>
      </c>
      <c r="C186" s="2" t="str">
        <f>=HYPERLINK("https://xhslink.com/m/45gcvT4kuCi", "https://xhslink.com/m/45gcvT4kuCi")</f>
        <v>https://xhslink.com/m/45gcvT4kuCi</v>
      </c>
      <c r="D186"/>
      <c r="E186">
        <v>7687</v>
      </c>
      <c r="F186">
        <v>6</v>
      </c>
      <c r="G186"/>
      <c r="H186">
        <v>450</v>
      </c>
      <c r="I186">
        <v>1000</v>
      </c>
      <c r="J186"/>
      <c r="K186" t="inlineStr">
        <is>
          <t>模板</t>
        </is>
      </c>
      <c r="L186"/>
      <c r="M186" t="inlineStr">
        <is>
          <t>秋意设计的店</t>
        </is>
      </c>
      <c r="N186">
        <v>9120</v>
      </c>
      <c r="O186">
        <v>4.53</v>
      </c>
      <c r="P186">
        <v>9109</v>
      </c>
      <c r="Q186" t="inlineStr">
        <is>
          <t>653a588aa28ddb0001fd4d32</t>
        </is>
      </c>
      <c r="R186"/>
      <c r="S186" t="inlineStr">
        <is>
          <t>PPT模板</t>
        </is>
      </c>
      <c r="T186" t="inlineStr">
        <is>
          <t>0.84</t>
        </is>
      </c>
      <c r="U186" s="3">
        <v>46112.78107638889</v>
      </c>
      <c r="V186" t="inlineStr">
        <is>
          <t>虚拟产品</t>
        </is>
      </c>
      <c r="W186" s="3">
        <v>46026</v>
      </c>
      <c r="X186" t="inlineStr">
        <is>
          <t>01</t>
        </is>
      </c>
      <c r="Y186" t="inlineStr">
        <is>
          <t>2026-Q1</t>
        </is>
      </c>
    </row>
    <row r="187" ht="38.25" customHeight="1">
      <c r="A187" t="inlineStr">
        <is>
          <t>任选三套模板｜下单备注编号或截图(看到就发货！)</t>
        </is>
      </c>
      <c r="B187" t="inlineStr">
        <is>
          <t>recv7j8rzT5QcO.jpg</t>
        </is>
      </c>
      <c r="C187" s="2" t="str">
        <f>=HYPERLINK("https://xhslink.com/m/4D8Y2dAM4bf", "https://xhslink.com/m/4D8Y2dAM4bf")</f>
        <v>https://xhslink.com/m/4D8Y2dAM4bf</v>
      </c>
      <c r="D187"/>
      <c r="E187">
        <v>6136</v>
      </c>
      <c r="F187">
        <v>13.9</v>
      </c>
      <c r="G187"/>
      <c r="H187">
        <v>400</v>
      </c>
      <c r="I187">
        <v>1000</v>
      </c>
      <c r="J187"/>
      <c r="K187" t="inlineStr">
        <is>
          <t>模板</t>
        </is>
      </c>
      <c r="L187"/>
      <c r="M187" t="inlineStr">
        <is>
          <t>MALY PPT的店</t>
        </is>
      </c>
      <c r="N187">
        <v>49000</v>
      </c>
      <c r="O187">
        <v>4.62</v>
      </c>
      <c r="P187">
        <v>30000</v>
      </c>
      <c r="Q187" t="inlineStr">
        <is>
          <t>65782a5f5c95510001edfbc3</t>
        </is>
      </c>
      <c r="R187"/>
      <c r="S187" t="inlineStr">
        <is>
          <t>无匹配类别</t>
        </is>
      </c>
      <c r="T187" t="inlineStr">
        <is>
          <t>0.13</t>
        </is>
      </c>
      <c r="U187" s="3">
        <v>46112.78107638889</v>
      </c>
      <c r="V187" t="inlineStr">
        <is>
          <t>虚拟产品</t>
        </is>
      </c>
      <c r="W187" s="3">
        <v>46026</v>
      </c>
      <c r="X187" t="inlineStr">
        <is>
          <t>01</t>
        </is>
      </c>
      <c r="Y187" t="inlineStr">
        <is>
          <t>2026-Q1</t>
        </is>
      </c>
    </row>
    <row r="188" ht="38.25" customHeight="1">
      <c r="A188" t="inlineStr">
        <is>
          <t>极简英文简历模板 Word可编辑 手机可填 大学生留学外企面试求职</t>
        </is>
      </c>
      <c r="B188" t="inlineStr">
        <is>
          <t>recv7j8rzTKYsX.jpg</t>
        </is>
      </c>
      <c r="C188" s="2" t="str">
        <f>=HYPERLINK("https://xhslink.com/m/5g5eyqCBqeR", "https://xhslink.com/m/5g5eyqCBqeR")</f>
        <v>https://xhslink.com/m/5g5eyqCBqeR</v>
      </c>
      <c r="D188"/>
      <c r="E188">
        <v>5951</v>
      </c>
      <c r="F188">
        <v>1.2</v>
      </c>
      <c r="G188"/>
      <c r="H188">
        <v>450</v>
      </c>
      <c r="I188">
        <v>1000</v>
      </c>
      <c r="J188"/>
      <c r="K188" t="inlineStr">
        <is>
          <t>模板</t>
        </is>
      </c>
      <c r="L188"/>
      <c r="M188" t="inlineStr">
        <is>
          <t>知知卡券的店</t>
        </is>
      </c>
      <c r="N188">
        <v>3805</v>
      </c>
      <c r="O188">
        <v>4.47</v>
      </c>
      <c r="P188">
        <v>9711</v>
      </c>
      <c r="Q188" t="inlineStr">
        <is>
          <t>67d7e493ba9cf8000103ec26</t>
        </is>
      </c>
      <c r="R188"/>
      <c r="S188" t="inlineStr">
        <is>
          <t>求职面试/职场</t>
        </is>
      </c>
      <c r="T188" t="inlineStr">
        <is>
          <t>1.56</t>
        </is>
      </c>
      <c r="U188" s="3">
        <v>46112.78107638889</v>
      </c>
      <c r="V188" t="inlineStr">
        <is>
          <t>虚拟产品</t>
        </is>
      </c>
      <c r="W188" s="3">
        <v>46026</v>
      </c>
      <c r="X188" t="inlineStr">
        <is>
          <t>01</t>
        </is>
      </c>
      <c r="Y188" t="inlineStr">
        <is>
          <t>2026-Q1</t>
        </is>
      </c>
    </row>
    <row r="189" ht="38.25" customHeight="1">
      <c r="A189" t="inlineStr">
        <is>
          <t>PPT模板10000+各种风格精美实用课堂汇报毕业答辩大学生职规赛PPT</t>
        </is>
      </c>
      <c r="B189" t="inlineStr">
        <is>
          <t>recv7j8rzTgxyO.jpg</t>
        </is>
      </c>
      <c r="C189" s="2" t="str">
        <f>=HYPERLINK("https://xhslink.com/m/6rDbm5ueWr5", "https://xhslink.com/m/6rDbm5ueWr5")</f>
        <v>https://xhslink.com/m/6rDbm5ueWr5</v>
      </c>
      <c r="D189"/>
      <c r="E189">
        <v>4822</v>
      </c>
      <c r="F189">
        <v>0.98</v>
      </c>
      <c r="G189"/>
      <c r="H189">
        <v>350</v>
      </c>
      <c r="I189">
        <v>4000</v>
      </c>
      <c r="J189"/>
      <c r="K189" t="inlineStr">
        <is>
          <t>模板</t>
        </is>
      </c>
      <c r="L189" t="inlineStr">
        <is>
          <t>🔥低粉爆款</t>
        </is>
      </c>
      <c r="M189" t="inlineStr">
        <is>
          <t>阿念老师的店</t>
        </is>
      </c>
      <c r="N189">
        <v>283</v>
      </c>
      <c r="O189">
        <v>4.58</v>
      </c>
      <c r="P189">
        <v>11000</v>
      </c>
      <c r="Q189" t="inlineStr">
        <is>
          <t>69084ce24272610001879e41</t>
        </is>
      </c>
      <c r="R189" t="inlineStr">
        <is>
          <t>🚫重复</t>
        </is>
      </c>
      <c r="S189" t="inlineStr">
        <is>
          <t>PPT模板</t>
        </is>
      </c>
      <c r="T189" t="inlineStr">
        <is>
          <t>17.04</t>
        </is>
      </c>
      <c r="U189" s="3">
        <v>46112.78107638889</v>
      </c>
      <c r="V189" t="inlineStr">
        <is>
          <t>虚拟产品</t>
        </is>
      </c>
      <c r="W189" s="3">
        <v>46026</v>
      </c>
      <c r="X189" t="inlineStr">
        <is>
          <t>01</t>
        </is>
      </c>
      <c r="Y189" t="inlineStr">
        <is>
          <t>2026-Q1</t>
        </is>
      </c>
    </row>
    <row r="190" ht="38.25" customHeight="1">
      <c r="A190" t="inlineStr">
        <is>
          <t>超大趣味奖状ppt模版64张 可编辑可打印，送100+款奖状表扬信模版</t>
        </is>
      </c>
      <c r="B190" t="inlineStr">
        <is>
          <t>recv7j8rzTf5Nt.jpg</t>
        </is>
      </c>
      <c r="C190" s="2" t="str">
        <f>=HYPERLINK("https://xhslink.com/m/6eqicOjHV1e", "https://xhslink.com/m/6eqicOjHV1e")</f>
        <v>https://xhslink.com/m/6eqicOjHV1e</v>
      </c>
      <c r="D190"/>
      <c r="E190">
        <v>4661</v>
      </c>
      <c r="F190">
        <v>3.99</v>
      </c>
      <c r="G190"/>
      <c r="H190">
        <v>650</v>
      </c>
      <c r="I190">
        <v>1000</v>
      </c>
      <c r="J190"/>
      <c r="K190" t="inlineStr">
        <is>
          <t>模板</t>
        </is>
      </c>
      <c r="L190"/>
      <c r="M190" t="inlineStr">
        <is>
          <t>神说原野的店</t>
        </is>
      </c>
      <c r="N190">
        <v>7618</v>
      </c>
      <c r="O190">
        <v>4.63</v>
      </c>
      <c r="P190">
        <v>38000</v>
      </c>
      <c r="Q190" t="inlineStr">
        <is>
          <t>675168197f06b0000189bba6</t>
        </is>
      </c>
      <c r="R190" t="inlineStr">
        <is>
          <t>🚫重复</t>
        </is>
      </c>
      <c r="S190" t="inlineStr">
        <is>
          <t>PPT模板</t>
        </is>
      </c>
      <c r="T190" t="inlineStr">
        <is>
          <t>0.61</t>
        </is>
      </c>
      <c r="U190" s="3">
        <v>46112.78107638889</v>
      </c>
      <c r="V190" t="inlineStr">
        <is>
          <t>虚拟产品</t>
        </is>
      </c>
      <c r="W190" s="3">
        <v>46026</v>
      </c>
      <c r="X190" t="inlineStr">
        <is>
          <t>01</t>
        </is>
      </c>
      <c r="Y190" t="inlineStr">
        <is>
          <t>2026-Q1</t>
        </is>
      </c>
    </row>
    <row r="191" ht="38.25" customHeight="1">
      <c r="A191" t="inlineStr">
        <is>
          <t>meme小猫主题PPT模版｜全21页｜发百度网盘链接发货不退看清楚</t>
        </is>
      </c>
      <c r="B191" t="inlineStr">
        <is>
          <t>recv7j8rzTPhMs.jpg</t>
        </is>
      </c>
      <c r="C191" s="2" t="str">
        <f>=HYPERLINK("https://xhslink.com/m/1W0g6MD1VV0", "https://xhslink.com/m/1W0g6MD1VV0")</f>
        <v>https://xhslink.com/m/1W0g6MD1VV0</v>
      </c>
      <c r="D191"/>
      <c r="E191">
        <v>4253</v>
      </c>
      <c r="F191">
        <v>2.98</v>
      </c>
      <c r="G191"/>
      <c r="H191">
        <v>350</v>
      </c>
      <c r="I191">
        <v>2000</v>
      </c>
      <c r="J191"/>
      <c r="K191" t="inlineStr">
        <is>
          <t>模板</t>
        </is>
      </c>
      <c r="L191"/>
      <c r="M191" t="inlineStr">
        <is>
          <t>小宝PPT的店</t>
        </is>
      </c>
      <c r="N191">
        <v>3561</v>
      </c>
      <c r="O191">
        <v>4.53</v>
      </c>
      <c r="P191">
        <v>16000</v>
      </c>
      <c r="Q191" t="inlineStr">
        <is>
          <t>6807b1696626af00017c1db8</t>
        </is>
      </c>
      <c r="R191"/>
      <c r="S191" t="inlineStr">
        <is>
          <t>PPT模板</t>
        </is>
      </c>
      <c r="T191" t="inlineStr">
        <is>
          <t>1.19</t>
        </is>
      </c>
      <c r="U191" s="3">
        <v>46112.78107638889</v>
      </c>
      <c r="V191" t="inlineStr">
        <is>
          <t>虚拟产品</t>
        </is>
      </c>
      <c r="W191" s="3">
        <v>46026</v>
      </c>
      <c r="X191" t="inlineStr">
        <is>
          <t>01</t>
        </is>
      </c>
      <c r="Y191" t="inlineStr">
        <is>
          <t>2026-Q1</t>
        </is>
      </c>
    </row>
    <row r="192" ht="38.25" customHeight="1">
      <c r="A192" t="inlineStr">
        <is>
          <t>280页动态图文排版PPT模板，下单后自动发货（短信），不支持退换</t>
        </is>
      </c>
      <c r="B192" t="inlineStr">
        <is>
          <t>recv7j8rzT1Qbo.jpg</t>
        </is>
      </c>
      <c r="C192" s="2" t="str">
        <f>=HYPERLINK("https://xhslink.com/m/9olFmk3WbCA", "https://xhslink.com/m/9olFmk3WbCA")</f>
        <v>https://xhslink.com/m/9olFmk3WbCA</v>
      </c>
      <c r="D192"/>
      <c r="E192">
        <v>4149</v>
      </c>
      <c r="F192">
        <v>19.9</v>
      </c>
      <c r="G192"/>
      <c r="H192">
        <v>300</v>
      </c>
      <c r="I192">
        <v>1000</v>
      </c>
      <c r="J192"/>
      <c r="K192" t="inlineStr">
        <is>
          <t>模板</t>
        </is>
      </c>
      <c r="L192"/>
      <c r="M192" t="inlineStr">
        <is>
          <t>小橙子PPT制作的店</t>
        </is>
      </c>
      <c r="N192">
        <v>7629</v>
      </c>
      <c r="O192">
        <v>4.61</v>
      </c>
      <c r="P192">
        <v>13000</v>
      </c>
      <c r="Q192" t="inlineStr">
        <is>
          <t>67fcdb6031f0e70001da1552</t>
        </is>
      </c>
      <c r="R192" t="inlineStr">
        <is>
          <t>🚫重复</t>
        </is>
      </c>
      <c r="S192" t="inlineStr">
        <is>
          <t>PPT模板</t>
        </is>
      </c>
      <c r="T192" t="inlineStr">
        <is>
          <t>0.54</t>
        </is>
      </c>
      <c r="U192" s="3">
        <v>46112.78107638889</v>
      </c>
      <c r="V192" t="inlineStr">
        <is>
          <t>虚拟产品</t>
        </is>
      </c>
      <c r="W192" s="3">
        <v>46026</v>
      </c>
      <c r="X192" t="inlineStr">
        <is>
          <t>01</t>
        </is>
      </c>
      <c r="Y192" t="inlineStr">
        <is>
          <t>2026-Q1</t>
        </is>
      </c>
    </row>
    <row r="193" ht="38.25" customHeight="1">
      <c r="A193" t="inlineStr">
        <is>
          <t>【31页】教学导航栏PPT模板</t>
        </is>
      </c>
      <c r="B193" t="inlineStr">
        <is>
          <t>recv7j8rzT72wl.jpg</t>
        </is>
      </c>
      <c r="C193" s="2" t="str">
        <f>=HYPERLINK("https://xhslink.com/m/86BIh06nfwh", "https://xhslink.com/m/86BIh06nfwh")</f>
        <v>https://xhslink.com/m/86BIh06nfwh</v>
      </c>
      <c r="D193"/>
      <c r="E193">
        <v>3973</v>
      </c>
      <c r="F193">
        <v>1</v>
      </c>
      <c r="G193"/>
      <c r="H193">
        <v>400</v>
      </c>
      <c r="I193">
        <v>1000</v>
      </c>
      <c r="J193"/>
      <c r="K193" t="inlineStr">
        <is>
          <t>模板</t>
        </is>
      </c>
      <c r="L193"/>
      <c r="M193" t="inlineStr">
        <is>
          <t>教育咖啡馆的店</t>
        </is>
      </c>
      <c r="N193">
        <v>6242</v>
      </c>
      <c r="O193">
        <v>4.02</v>
      </c>
      <c r="P193">
        <v>4742</v>
      </c>
      <c r="Q193" t="inlineStr">
        <is>
          <t>67f7731526cdaf000144bb5f</t>
        </is>
      </c>
      <c r="R193"/>
      <c r="S193" t="inlineStr">
        <is>
          <t>PPT模板</t>
        </is>
      </c>
      <c r="T193" t="inlineStr">
        <is>
          <t>0.64</t>
        </is>
      </c>
      <c r="U193" s="3">
        <v>46112.78107638889</v>
      </c>
      <c r="V193" t="inlineStr">
        <is>
          <t>虚拟产品</t>
        </is>
      </c>
      <c r="W193" s="3">
        <v>46026</v>
      </c>
      <c r="X193" t="inlineStr">
        <is>
          <t>01</t>
        </is>
      </c>
      <c r="Y193" t="inlineStr">
        <is>
          <t>2026-Q1</t>
        </is>
      </c>
    </row>
    <row r="194" ht="38.25" customHeight="1">
      <c r="A194" t="inlineStr">
        <is>
          <t>【主页任选一款】手抄报主题画线稿+色稿模板 电子版 可打印</t>
        </is>
      </c>
      <c r="B194" t="inlineStr">
        <is>
          <t>recv7j8rzTJXOO.jpg</t>
        </is>
      </c>
      <c r="C194" s="2" t="str">
        <f>=HYPERLINK("https://xhslink.com/m/fUYeKpvNgF", "https://xhslink.com/m/fUYeKpvNgF")</f>
        <v>https://xhslink.com/m/fUYeKpvNgF</v>
      </c>
      <c r="D194"/>
      <c r="E194">
        <v>3730</v>
      </c>
      <c r="F194">
        <v>8.8</v>
      </c>
      <c r="G194"/>
      <c r="H194">
        <v>350</v>
      </c>
      <c r="I194">
        <v>1000</v>
      </c>
      <c r="J194"/>
      <c r="K194" t="inlineStr">
        <is>
          <t>模板</t>
        </is>
      </c>
      <c r="L194"/>
      <c r="M194" t="inlineStr">
        <is>
          <t>方达达手抄报的店</t>
        </is>
      </c>
      <c r="N194">
        <v>7817</v>
      </c>
      <c r="O194">
        <v>4.46</v>
      </c>
      <c r="P194">
        <v>3941</v>
      </c>
      <c r="Q194" t="inlineStr">
        <is>
          <t>676ba41726657b0001543f83</t>
        </is>
      </c>
      <c r="R194"/>
      <c r="S194" t="inlineStr">
        <is>
          <t>中小学教辅/教材</t>
        </is>
      </c>
      <c r="T194" t="inlineStr">
        <is>
          <t>0.48</t>
        </is>
      </c>
      <c r="U194" s="3">
        <v>46112.78107638889</v>
      </c>
      <c r="V194" t="inlineStr">
        <is>
          <t>虚拟产品</t>
        </is>
      </c>
      <c r="W194" s="3">
        <v>46026</v>
      </c>
      <c r="X194" t="inlineStr">
        <is>
          <t>01</t>
        </is>
      </c>
      <c r="Y194" t="inlineStr">
        <is>
          <t>2026-Q1</t>
        </is>
      </c>
    </row>
    <row r="195" ht="38.25" customHeight="1">
      <c r="A195" t="inlineStr">
        <is>
          <t>【秒发】云朵字模板，多种字体可随意修改，公开课板书、环创设计</t>
        </is>
      </c>
      <c r="B195" t="inlineStr">
        <is>
          <t>recv7j8rzTtiIv.jpg</t>
        </is>
      </c>
      <c r="C195" s="2" t="str">
        <f>=HYPERLINK("https://xhslink.com/m/502tqAXTccK", "https://xhslink.com/m/502tqAXTccK")</f>
        <v>https://xhslink.com/m/502tqAXTccK</v>
      </c>
      <c r="D195"/>
      <c r="E195">
        <v>3665</v>
      </c>
      <c r="F195">
        <v>3.88</v>
      </c>
      <c r="G195"/>
      <c r="H195">
        <v>850</v>
      </c>
      <c r="I195">
        <v>2000</v>
      </c>
      <c r="J195"/>
      <c r="K195" t="inlineStr">
        <is>
          <t>模板</t>
        </is>
      </c>
      <c r="L195" t="inlineStr">
        <is>
          <t>🔥低粉爆款</t>
        </is>
      </c>
      <c r="M195" t="inlineStr">
        <is>
          <t>木桃教育的店</t>
        </is>
      </c>
      <c r="N195">
        <v>297</v>
      </c>
      <c r="O195">
        <v>4.53</v>
      </c>
      <c r="P195">
        <v>6588</v>
      </c>
      <c r="Q195" t="inlineStr">
        <is>
          <t>690b5f7bc4f891000196ae0a</t>
        </is>
      </c>
      <c r="R195" t="inlineStr">
        <is>
          <t>🚫重复</t>
        </is>
      </c>
      <c r="S195" t="inlineStr">
        <is>
          <t>老师资料</t>
        </is>
      </c>
      <c r="T195" t="inlineStr">
        <is>
          <t>12.34</t>
        </is>
      </c>
      <c r="U195" s="3">
        <v>46112.78107638889</v>
      </c>
      <c r="V195" t="inlineStr">
        <is>
          <t>虚拟产品</t>
        </is>
      </c>
      <c r="W195" s="3">
        <v>46026</v>
      </c>
      <c r="X195" t="inlineStr">
        <is>
          <t>01</t>
        </is>
      </c>
      <c r="Y195" t="inlineStr">
        <is>
          <t>2026-Q1</t>
        </is>
      </c>
    </row>
    <row r="196" ht="38.25" customHeight="1">
      <c r="A196" t="inlineStr">
        <is>
          <t>PPT-53 | 红色主题工作汇报述职报告年终总结通用PPT模板</t>
        </is>
      </c>
      <c r="B196" t="inlineStr">
        <is>
          <t>recv7j8rzTV0M5.jpg</t>
        </is>
      </c>
      <c r="C196" s="2" t="str">
        <f>=HYPERLINK("https://xhslink.com/m/5iihnkCKmWn", "https://xhslink.com/m/5iihnkCKmWn")</f>
        <v>https://xhslink.com/m/5iihnkCKmWn</v>
      </c>
      <c r="D196"/>
      <c r="E196">
        <v>3405</v>
      </c>
      <c r="F196">
        <v>5.68</v>
      </c>
      <c r="G196"/>
      <c r="H196">
        <v>1000</v>
      </c>
      <c r="I196">
        <v>3000</v>
      </c>
      <c r="J196"/>
      <c r="K196" t="inlineStr">
        <is>
          <t>模板</t>
        </is>
      </c>
      <c r="L196"/>
      <c r="M196" t="inlineStr">
        <is>
          <t>翌日素材的店</t>
        </is>
      </c>
      <c r="N196">
        <v>1229</v>
      </c>
      <c r="O196">
        <v>4.53</v>
      </c>
      <c r="P196">
        <v>11000</v>
      </c>
      <c r="Q196" t="inlineStr">
        <is>
          <t>6811a34bc883af000118e7ce</t>
        </is>
      </c>
      <c r="R196"/>
      <c r="S196" t="inlineStr">
        <is>
          <t>PPT模板</t>
        </is>
      </c>
      <c r="T196" t="inlineStr">
        <is>
          <t>2.77</t>
        </is>
      </c>
      <c r="U196" s="3">
        <v>46112.78107638889</v>
      </c>
      <c r="V196" t="inlineStr">
        <is>
          <t>虚拟产品</t>
        </is>
      </c>
      <c r="W196" s="3">
        <v>46026</v>
      </c>
      <c r="X196" t="inlineStr">
        <is>
          <t>01</t>
        </is>
      </c>
      <c r="Y196" t="inlineStr">
        <is>
          <t>2026-Q1</t>
        </is>
      </c>
    </row>
    <row r="197" ht="38.25" customHeight="1">
      <c r="A197" t="inlineStr">
        <is>
          <t>PPT模板1份/拍下后给客服发编号哦|虚拟资料不可退换</t>
        </is>
      </c>
      <c r="B197" t="inlineStr">
        <is>
          <t>recv7j8rzTeAdd.jpg</t>
        </is>
      </c>
      <c r="C197" s="2" t="str">
        <f>=HYPERLINK("https://xhslink.com/m/1tF9YtdgNd", "https://xhslink.com/m/1tF9YtdgNd")</f>
        <v>https://xhslink.com/m/1tF9YtdgNd</v>
      </c>
      <c r="D197"/>
      <c r="E197">
        <v>3327</v>
      </c>
      <c r="F197">
        <v>5.8</v>
      </c>
      <c r="G197"/>
      <c r="H197">
        <v>350</v>
      </c>
      <c r="I197">
        <v>1000</v>
      </c>
      <c r="J197"/>
      <c r="K197" t="inlineStr">
        <is>
          <t>模板</t>
        </is>
      </c>
      <c r="L197" t="inlineStr">
        <is>
          <t>🔥低粉爆款</t>
        </is>
      </c>
      <c r="M197" t="inlineStr">
        <is>
          <t>樱桃小丸犊子PPT的店</t>
        </is>
      </c>
      <c r="N197">
        <v>872</v>
      </c>
      <c r="O197">
        <v>4.6</v>
      </c>
      <c r="P197">
        <v>3453</v>
      </c>
      <c r="Q197" t="inlineStr">
        <is>
          <t>67931aa4bac251000194350e</t>
        </is>
      </c>
      <c r="R197" t="inlineStr">
        <is>
          <t>🚫重复</t>
        </is>
      </c>
      <c r="S197" t="inlineStr">
        <is>
          <t>PPT模板</t>
        </is>
      </c>
      <c r="T197" t="inlineStr">
        <is>
          <t>3.82</t>
        </is>
      </c>
      <c r="U197" s="3">
        <v>46112.78107638889</v>
      </c>
      <c r="V197" t="inlineStr">
        <is>
          <t>虚拟产品</t>
        </is>
      </c>
      <c r="W197" s="3">
        <v>46026</v>
      </c>
      <c r="X197" t="inlineStr">
        <is>
          <t>01</t>
        </is>
      </c>
      <c r="Y197" t="inlineStr">
        <is>
          <t>2026-Q1</t>
        </is>
      </c>
    </row>
    <row r="198" ht="38.25" customHeight="1">
      <c r="A198" t="inlineStr">
        <is>
          <t>ppt模板高级感动态极简约商务高端工作汇报毕业答辩教学课件演讲</t>
        </is>
      </c>
      <c r="B198" t="inlineStr">
        <is>
          <t>recv7j8rzT25aE.jpg</t>
        </is>
      </c>
      <c r="C198" s="2" t="str">
        <f>=HYPERLINK("https://xhslink.com/m/AsKKxRl3HzR", "https://xhslink.com/m/AsKKxRl3HzR")</f>
        <v>https://xhslink.com/m/AsKKxRl3HzR</v>
      </c>
      <c r="D198"/>
      <c r="E198">
        <v>3238</v>
      </c>
      <c r="F198">
        <v>1.99</v>
      </c>
      <c r="G198"/>
      <c r="H198">
        <v>450</v>
      </c>
      <c r="I198">
        <v>2000</v>
      </c>
      <c r="J198"/>
      <c r="K198" t="inlineStr">
        <is>
          <t>模板</t>
        </is>
      </c>
      <c r="L198" t="inlineStr">
        <is>
          <t>🔥低粉爆款</t>
        </is>
      </c>
      <c r="M198" t="inlineStr">
        <is>
          <t>四叶草资料的店</t>
        </is>
      </c>
      <c r="N198">
        <v>154</v>
      </c>
      <c r="O198">
        <v>3.89</v>
      </c>
      <c r="P198">
        <v>5113</v>
      </c>
      <c r="Q198" t="inlineStr">
        <is>
          <t>68fcbdade0f3b20001eecc73</t>
        </is>
      </c>
      <c r="R198" t="inlineStr">
        <is>
          <t>🚫重复</t>
        </is>
      </c>
      <c r="S198" t="inlineStr">
        <is>
          <t>PPT模板</t>
        </is>
      </c>
      <c r="T198" t="inlineStr">
        <is>
          <t>21.03</t>
        </is>
      </c>
      <c r="U198" s="3">
        <v>46112.78107638889</v>
      </c>
      <c r="V198" t="inlineStr">
        <is>
          <t>虚拟产品</t>
        </is>
      </c>
      <c r="W198" s="3">
        <v>46026</v>
      </c>
      <c r="X198" t="inlineStr">
        <is>
          <t>01</t>
        </is>
      </c>
      <c r="Y198" t="inlineStr">
        <is>
          <t>2026-Q1</t>
        </is>
      </c>
    </row>
    <row r="199" ht="38.25" customHeight="1">
      <c r="A199" t="inlineStr">
        <is>
          <t>可重复点亮星星ppt英语课堂评价量表美术语文各学科通用课件模版</t>
        </is>
      </c>
      <c r="B199" t="inlineStr">
        <is>
          <t>recv7j8rzT7X66.jpg</t>
        </is>
      </c>
      <c r="C199" s="2" t="str">
        <f>=HYPERLINK("https://xhslink.com/m/3zYqjyopK64", "https://xhslink.com/m/3zYqjyopK64")</f>
        <v>https://xhslink.com/m/3zYqjyopK64</v>
      </c>
      <c r="D199"/>
      <c r="E199">
        <v>3094</v>
      </c>
      <c r="F199">
        <v>13.9</v>
      </c>
      <c r="G199"/>
      <c r="H199">
        <v>300</v>
      </c>
      <c r="I199">
        <v>1000</v>
      </c>
      <c r="J199"/>
      <c r="K199" t="inlineStr">
        <is>
          <t>模板</t>
        </is>
      </c>
      <c r="L199"/>
      <c r="M199" t="inlineStr">
        <is>
          <t>今天要努力丫的店</t>
        </is>
      </c>
      <c r="N199">
        <v>7014</v>
      </c>
      <c r="O199">
        <v>4.54</v>
      </c>
      <c r="P199">
        <v>4259</v>
      </c>
      <c r="Q199" t="inlineStr">
        <is>
          <t>67c7c84629b9f7000116c5eb</t>
        </is>
      </c>
      <c r="R199" t="inlineStr">
        <is>
          <t>🚫重复</t>
        </is>
      </c>
      <c r="S199" t="inlineStr">
        <is>
          <t>PPT模板</t>
        </is>
      </c>
      <c r="T199" t="inlineStr">
        <is>
          <t>0.44</t>
        </is>
      </c>
      <c r="U199" s="3">
        <v>46112.78107638889</v>
      </c>
      <c r="V199" t="inlineStr">
        <is>
          <t>虚拟产品</t>
        </is>
      </c>
      <c r="W199" s="3">
        <v>46026</v>
      </c>
      <c r="X199" t="inlineStr">
        <is>
          <t>01</t>
        </is>
      </c>
      <c r="Y199" t="inlineStr">
        <is>
          <t>2026-Q1</t>
        </is>
      </c>
    </row>
    <row r="200" ht="38.25" customHeight="1">
      <c r="A200" t="inlineStr">
        <is>
          <t>国家/校长奖学金答辩PPT模板 | 一键换色&amp;一键换校徽&amp;高级排版</t>
        </is>
      </c>
      <c r="B200" t="inlineStr">
        <is>
          <t>recv7j8rzTY1vz.jpg</t>
        </is>
      </c>
      <c r="C200" s="2" t="str">
        <f>=HYPERLINK("https://xhslink.com/m/6Uuy5ev02Xl", "https://xhslink.com/m/6Uuy5ev02Xl")</f>
        <v>https://xhslink.com/m/6Uuy5ev02Xl</v>
      </c>
      <c r="D200"/>
      <c r="E200">
        <v>3062</v>
      </c>
      <c r="F200">
        <v>9.9</v>
      </c>
      <c r="G200"/>
      <c r="H200">
        <v>500</v>
      </c>
      <c r="I200">
        <v>2000</v>
      </c>
      <c r="J200"/>
      <c r="K200" t="inlineStr">
        <is>
          <t>模板</t>
        </is>
      </c>
      <c r="L200"/>
      <c r="M200" t="inlineStr">
        <is>
          <t>校园PPT研究室的店</t>
        </is>
      </c>
      <c r="N200">
        <v>5111</v>
      </c>
      <c r="O200">
        <v>4.42</v>
      </c>
      <c r="P200">
        <v>18000</v>
      </c>
      <c r="Q200" t="inlineStr">
        <is>
          <t>68d505b6ed3b2f0001bf9207</t>
        </is>
      </c>
      <c r="R200" t="inlineStr">
        <is>
          <t>🚫重复</t>
        </is>
      </c>
      <c r="S200" t="inlineStr">
        <is>
          <t>PPT模板</t>
        </is>
      </c>
      <c r="T200" t="inlineStr">
        <is>
          <t>0.60</t>
        </is>
      </c>
      <c r="U200" s="3">
        <v>46112.78107638889</v>
      </c>
      <c r="V200" t="inlineStr">
        <is>
          <t>虚拟产品</t>
        </is>
      </c>
      <c r="W200" s="3">
        <v>46026</v>
      </c>
      <c r="X200" t="inlineStr">
        <is>
          <t>01</t>
        </is>
      </c>
      <c r="Y200" t="inlineStr">
        <is>
          <t>2026-Q1</t>
        </is>
      </c>
    </row>
    <row r="201" ht="38.25" customHeight="1">
      <c r="A201" t="inlineStr">
        <is>
          <t>原创｜ps产品展板模板｜产品设计展板模板psd分层A1A3 90x120/Z35</t>
        </is>
      </c>
      <c r="B201" t="inlineStr">
        <is>
          <t>recv7j8rzTeDIE.jpg</t>
        </is>
      </c>
      <c r="C201" s="2" t="str">
        <f>=HYPERLINK("https://xhslink.com/m/7mmQKwxRkjl", "https://xhslink.com/m/7mmQKwxRkjl")</f>
        <v>https://xhslink.com/m/7mmQKwxRkjl</v>
      </c>
      <c r="D201"/>
      <c r="E201">
        <v>3058</v>
      </c>
      <c r="F201">
        <v>6.99</v>
      </c>
      <c r="G201"/>
      <c r="H201">
        <v>500</v>
      </c>
      <c r="I201">
        <v>1000</v>
      </c>
      <c r="J201"/>
      <c r="K201" t="inlineStr">
        <is>
          <t>模板</t>
        </is>
      </c>
      <c r="L201"/>
      <c r="M201" t="inlineStr">
        <is>
          <t>设计狗吖吖的店</t>
        </is>
      </c>
      <c r="N201">
        <v>4178</v>
      </c>
      <c r="O201">
        <v>4.6</v>
      </c>
      <c r="P201">
        <v>49000</v>
      </c>
      <c r="Q201" t="inlineStr">
        <is>
          <t>6807241c61f357000114c5f3</t>
        </is>
      </c>
      <c r="R201" t="inlineStr">
        <is>
          <t>🚫重复</t>
        </is>
      </c>
      <c r="S201" t="inlineStr">
        <is>
          <t>设计素材</t>
        </is>
      </c>
      <c r="T201" t="inlineStr">
        <is>
          <t>0.73</t>
        </is>
      </c>
      <c r="U201" s="3">
        <v>46112.78107638889</v>
      </c>
      <c r="V201" t="inlineStr">
        <is>
          <t>虚拟产品</t>
        </is>
      </c>
      <c r="W201" s="3">
        <v>46026</v>
      </c>
      <c r="X201" t="inlineStr">
        <is>
          <t>01</t>
        </is>
      </c>
      <c r="Y201" t="inlineStr">
        <is>
          <t>2026-Q1</t>
        </is>
      </c>
    </row>
    <row r="202" ht="38.25" customHeight="1">
      <c r="A202" t="inlineStr">
        <is>
          <t>职业生涯规划ppt职业生涯规划PPT模版高端5色（20页有动画）</t>
        </is>
      </c>
      <c r="B202" t="inlineStr">
        <is>
          <t>recv7j8rzTLYza.jpg</t>
        </is>
      </c>
      <c r="C202" s="2" t="str">
        <f>=HYPERLINK("https://xhslink.com/m/9j2rye2xTLq", "https://xhslink.com/m/9j2rye2xTLq")</f>
        <v>https://xhslink.com/m/9j2rye2xTLq</v>
      </c>
      <c r="D202"/>
      <c r="E202">
        <v>3045</v>
      </c>
      <c r="F202">
        <v>6.88</v>
      </c>
      <c r="G202"/>
      <c r="H202">
        <v>700</v>
      </c>
      <c r="I202">
        <v>2000</v>
      </c>
      <c r="J202"/>
      <c r="K202" t="inlineStr">
        <is>
          <t>模板</t>
        </is>
      </c>
      <c r="L202"/>
      <c r="M202" t="inlineStr">
        <is>
          <t>赵小小的店</t>
        </is>
      </c>
      <c r="N202">
        <v>4312</v>
      </c>
      <c r="O202">
        <v>4.51</v>
      </c>
      <c r="P202">
        <v>49000</v>
      </c>
      <c r="Q202" t="inlineStr">
        <is>
          <t>6864cb9555e5a80001022f2e</t>
        </is>
      </c>
      <c r="R202" t="inlineStr">
        <is>
          <t>🚫重复</t>
        </is>
      </c>
      <c r="S202" t="inlineStr">
        <is>
          <t>PPT模板</t>
        </is>
      </c>
      <c r="T202" t="inlineStr">
        <is>
          <t>0.71</t>
        </is>
      </c>
      <c r="U202" s="3">
        <v>46112.78107638889</v>
      </c>
      <c r="V202" t="inlineStr">
        <is>
          <t>虚拟产品</t>
        </is>
      </c>
      <c r="W202" s="3">
        <v>46026</v>
      </c>
      <c r="X202" t="inlineStr">
        <is>
          <t>01</t>
        </is>
      </c>
      <c r="Y202" t="inlineStr">
        <is>
          <t>2026-Q1</t>
        </is>
      </c>
    </row>
    <row r="203" ht="38.25" customHeight="1">
      <c r="A203" t="inlineStr">
        <is>
          <t>180页 框架搭建系列PPT模板  · 复杂逻辑场景 工作汇报 高级感PPT</t>
        </is>
      </c>
      <c r="B203" t="inlineStr">
        <is>
          <t>recv7j8rzTeZxP.jpg</t>
        </is>
      </c>
      <c r="C203" s="2" t="str">
        <f>=HYPERLINK("https://xhslink.com/m/353BCE6VkD", "https://xhslink.com/m/353BCE6VkD")</f>
        <v>https://xhslink.com/m/353BCE6VkD</v>
      </c>
      <c r="D203"/>
      <c r="E203">
        <v>2933</v>
      </c>
      <c r="F203">
        <v>9.8</v>
      </c>
      <c r="G203"/>
      <c r="H203">
        <v>450</v>
      </c>
      <c r="I203">
        <v>1000</v>
      </c>
      <c r="J203"/>
      <c r="K203" t="inlineStr">
        <is>
          <t>模板</t>
        </is>
      </c>
      <c r="L203"/>
      <c r="M203" t="inlineStr">
        <is>
          <t>开悟思维锦囊的店</t>
        </is>
      </c>
      <c r="N203">
        <v>11000</v>
      </c>
      <c r="O203">
        <v>4.43</v>
      </c>
      <c r="P203">
        <v>4807</v>
      </c>
      <c r="Q203" t="inlineStr">
        <is>
          <t>681677409d91940001f009ba</t>
        </is>
      </c>
      <c r="R203" t="inlineStr">
        <is>
          <t>🚫重复</t>
        </is>
      </c>
      <c r="S203" t="inlineStr">
        <is>
          <t>PPT模板</t>
        </is>
      </c>
      <c r="T203" t="inlineStr">
        <is>
          <t>0.27</t>
        </is>
      </c>
      <c r="U203" s="3">
        <v>46112.78107638889</v>
      </c>
      <c r="V203" t="inlineStr">
        <is>
          <t>虚拟产品</t>
        </is>
      </c>
      <c r="W203" s="3">
        <v>46026</v>
      </c>
      <c r="X203" t="inlineStr">
        <is>
          <t>01</t>
        </is>
      </c>
      <c r="Y203" t="inlineStr">
        <is>
          <t>2026-Q1</t>
        </is>
      </c>
    </row>
    <row r="204" ht="38.25" customHeight="1">
      <c r="A204" t="inlineStr">
        <is>
          <t>高级感ppt模板，工作汇报逻辑图表，多种答辩场合可用</t>
        </is>
      </c>
      <c r="B204" t="inlineStr">
        <is>
          <t>recv7j8rzTj9ZV.jpg</t>
        </is>
      </c>
      <c r="C204" s="2" t="str">
        <f>=HYPERLINK("https://xhslink.com/m/3tMrBwx1hSO", "https://xhslink.com/m/3tMrBwx1hSO")</f>
        <v>https://xhslink.com/m/3tMrBwx1hSO</v>
      </c>
      <c r="D204"/>
      <c r="E204">
        <v>2884</v>
      </c>
      <c r="F204">
        <v>3.88</v>
      </c>
      <c r="G204"/>
      <c r="H204">
        <v>650</v>
      </c>
      <c r="I204">
        <v>2000</v>
      </c>
      <c r="J204"/>
      <c r="K204" t="inlineStr">
        <is>
          <t>模板</t>
        </is>
      </c>
      <c r="L204"/>
      <c r="M204" t="inlineStr">
        <is>
          <t>iPad软件总店的店</t>
        </is>
      </c>
      <c r="N204">
        <v>8198</v>
      </c>
      <c r="O204">
        <v>4.28</v>
      </c>
      <c r="P204">
        <v>32000</v>
      </c>
      <c r="Q204" t="inlineStr">
        <is>
          <t>6816070fe375ae0001265a94</t>
        </is>
      </c>
      <c r="R204" t="inlineStr">
        <is>
          <t>🚫重复</t>
        </is>
      </c>
      <c r="S204" t="inlineStr">
        <is>
          <t>PPT模板</t>
        </is>
      </c>
      <c r="T204" t="inlineStr">
        <is>
          <t>0.35</t>
        </is>
      </c>
      <c r="U204" s="3">
        <v>46112.78107638889</v>
      </c>
      <c r="V204" t="inlineStr">
        <is>
          <t>虚拟产品</t>
        </is>
      </c>
      <c r="W204" s="3">
        <v>46026</v>
      </c>
      <c r="X204" t="inlineStr">
        <is>
          <t>01</t>
        </is>
      </c>
      <c r="Y204" t="inlineStr">
        <is>
          <t>2026-Q1</t>
        </is>
      </c>
    </row>
    <row r="205" ht="38.25" customHeight="1">
      <c r="A205" t="inlineStr">
        <is>
          <t>个人简历制作(1次卡)·个人简历模板·在线个人简历制作·个人简历</t>
        </is>
      </c>
      <c r="B205" t="inlineStr">
        <is>
          <t>recv7j8rzTrMSb.jpg</t>
        </is>
      </c>
      <c r="C205" s="2" t="str">
        <f>=HYPERLINK("https://xhslink.com/m/6qAjKQhSG1P", "https://xhslink.com/m/6qAjKQhSG1P")</f>
        <v>https://xhslink.com/m/6qAjKQhSG1P</v>
      </c>
      <c r="D205"/>
      <c r="E205">
        <v>2873</v>
      </c>
      <c r="F205">
        <v>0.99</v>
      </c>
      <c r="G205"/>
      <c r="H205">
        <v>500</v>
      </c>
      <c r="I205">
        <v>1000</v>
      </c>
      <c r="J205"/>
      <c r="K205" t="inlineStr">
        <is>
          <t>模板</t>
        </is>
      </c>
      <c r="L205"/>
      <c r="M205" t="inlineStr">
        <is>
          <t>喵喵的上岸模板的店</t>
        </is>
      </c>
      <c r="N205">
        <v>2500</v>
      </c>
      <c r="O205">
        <v>4.18</v>
      </c>
      <c r="P205">
        <v>27000</v>
      </c>
      <c r="Q205" t="inlineStr">
        <is>
          <t>689380ebeab7930001adaddd</t>
        </is>
      </c>
      <c r="R205"/>
      <c r="S205" t="inlineStr">
        <is>
          <t>求职面试/职场</t>
        </is>
      </c>
      <c r="T205" t="inlineStr">
        <is>
          <t>1.15</t>
        </is>
      </c>
      <c r="U205" s="3">
        <v>46112.78107638889</v>
      </c>
      <c r="V205" t="inlineStr">
        <is>
          <t>虚拟产品</t>
        </is>
      </c>
      <c r="W205" s="3">
        <v>46026</v>
      </c>
      <c r="X205" t="inlineStr">
        <is>
          <t>01</t>
        </is>
      </c>
      <c r="Y205" t="inlineStr">
        <is>
          <t>2026-Q1</t>
        </is>
      </c>
    </row>
    <row r="206" ht="38.25" customHeight="1">
      <c r="A206" t="inlineStr">
        <is>
          <t>A10七年级初一期中家长会PPT＋逐字稿，ppt模板</t>
        </is>
      </c>
      <c r="B206" t="inlineStr">
        <is>
          <t>recv7j8rzTOe9a.jpg</t>
        </is>
      </c>
      <c r="C206" s="2" t="str">
        <f>=HYPERLINK("https://xhslink.com/m/89nG0Bp4K76", "https://xhslink.com/m/89nG0Bp4K76")</f>
        <v>https://xhslink.com/m/89nG0Bp4K76</v>
      </c>
      <c r="D206"/>
      <c r="E206">
        <v>2845</v>
      </c>
      <c r="F206">
        <v>9.9</v>
      </c>
      <c r="G206"/>
      <c r="H206">
        <v>2000</v>
      </c>
      <c r="I206">
        <v>2000</v>
      </c>
      <c r="J206"/>
      <c r="K206" t="inlineStr">
        <is>
          <t>模板</t>
        </is>
      </c>
      <c r="L206"/>
      <c r="M206" t="inlineStr">
        <is>
          <t>安风风的店</t>
        </is>
      </c>
      <c r="N206">
        <v>1348</v>
      </c>
      <c r="O206">
        <v>4.52</v>
      </c>
      <c r="P206">
        <v>10000</v>
      </c>
      <c r="Q206" t="inlineStr">
        <is>
          <t>68e64afac192ac0001a21ca8</t>
        </is>
      </c>
      <c r="R206"/>
      <c r="S206" t="inlineStr">
        <is>
          <t>PPT模板</t>
        </is>
      </c>
      <c r="T206" t="inlineStr">
        <is>
          <t>2.11</t>
        </is>
      </c>
      <c r="U206" s="3">
        <v>46112.78107638889</v>
      </c>
      <c r="V206" t="inlineStr">
        <is>
          <t>虚拟产品</t>
        </is>
      </c>
      <c r="W206" s="3">
        <v>46026</v>
      </c>
      <c r="X206" t="inlineStr">
        <is>
          <t>01</t>
        </is>
      </c>
      <c r="Y206" t="inlineStr">
        <is>
          <t>2026-Q1</t>
        </is>
      </c>
    </row>
    <row r="207" ht="38.25" customHeight="1">
      <c r="A207" t="inlineStr">
        <is>
          <t>（模板出售）变身蚊子·内含五只模板·旺财牌</t>
        </is>
      </c>
      <c r="B207" t="inlineStr">
        <is>
          <t>recv7j8rzTX5Lm.jpg</t>
        </is>
      </c>
      <c r="C207" s="2" t="str">
        <f>=HYPERLINK("https://xhslink.com/m/1rvFYHzACxX", "https://xhslink.com/m/1rvFYHzACxX")</f>
        <v>https://xhslink.com/m/1rvFYHzACxX</v>
      </c>
      <c r="D207"/>
      <c r="E207">
        <v>1382</v>
      </c>
      <c r="F207">
        <v>2</v>
      </c>
      <c r="G207"/>
      <c r="H207">
        <v>800</v>
      </c>
      <c r="I207">
        <v>1000</v>
      </c>
      <c r="J207"/>
      <c r="K207" t="inlineStr">
        <is>
          <t>模板</t>
        </is>
      </c>
      <c r="L207"/>
      <c r="M207" t="inlineStr">
        <is>
          <t>旺财财团CEO【有任何问题请找群管理员】的店</t>
        </is>
      </c>
      <c r="N207">
        <v>6236</v>
      </c>
      <c r="O207">
        <v>4.44</v>
      </c>
      <c r="P207">
        <v>8738</v>
      </c>
      <c r="Q207" t="inlineStr">
        <is>
          <t>690dff005c4f1900010fc312</t>
        </is>
      </c>
      <c r="R207" t="inlineStr">
        <is>
          <t>🚫重复</t>
        </is>
      </c>
      <c r="S207" t="inlineStr">
        <is>
          <t>无匹配类别</t>
        </is>
      </c>
      <c r="T207" t="inlineStr">
        <is>
          <t>0.22</t>
        </is>
      </c>
      <c r="U207" s="3">
        <v>46112.78107638889</v>
      </c>
      <c r="V207" t="inlineStr">
        <is>
          <t>虚拟产品</t>
        </is>
      </c>
      <c r="W207" s="3">
        <v>46026</v>
      </c>
      <c r="X207" t="inlineStr">
        <is>
          <t>01</t>
        </is>
      </c>
      <c r="Y207" t="inlineStr">
        <is>
          <t>2026-Q1</t>
        </is>
      </c>
    </row>
    <row r="208" ht="38.25" customHeight="1">
      <c r="A208" t="inlineStr">
        <is>
          <t>不八岁三期磨砂黑白组*仅支持Procreate/画世界Pro*虚拟网盘发货</t>
        </is>
      </c>
      <c r="B208" t="inlineStr">
        <is>
          <t>__upload_recv7j8rzTEc7I.jpg</t>
        </is>
      </c>
      <c r="C208" s="2" t="str">
        <f>=HYPERLINK("https://xhslink.com/m/9o32KfKmw0S", "https://xhslink.com/m/9o32KfKmw0S")</f>
        <v>https://xhslink.com/m/9o32KfKmw0S</v>
      </c>
      <c r="D208"/>
      <c r="E208">
        <v>8838</v>
      </c>
      <c r="F208">
        <v>13.99</v>
      </c>
      <c r="G208"/>
      <c r="H208">
        <v>2500</v>
      </c>
      <c r="I208"/>
      <c r="J208">
        <v>200</v>
      </c>
      <c r="K208" t="inlineStr">
        <is>
          <t>模板</t>
        </is>
      </c>
      <c r="L208"/>
      <c r="M208" t="inlineStr">
        <is>
          <t>不八岁的店</t>
        </is>
      </c>
      <c r="N208">
        <v>26000</v>
      </c>
      <c r="O208">
        <v>4.61</v>
      </c>
      <c r="P208">
        <v>45000</v>
      </c>
      <c r="Q208" t="inlineStr">
        <is>
          <t>689319a3e019f20001ae1bf4</t>
        </is>
      </c>
      <c r="R208"/>
      <c r="S208" t="inlineStr">
        <is>
          <t>设计素材</t>
        </is>
      </c>
      <c r="T208" t="inlineStr">
        <is>
          <t>0.34</t>
        </is>
      </c>
      <c r="U208" s="3">
        <v>46112.78107638889</v>
      </c>
      <c r="V208" t="inlineStr">
        <is>
          <t>虚拟产品</t>
        </is>
      </c>
      <c r="W208" s="3">
        <v>46026</v>
      </c>
      <c r="X208" t="inlineStr">
        <is>
          <t>01</t>
        </is>
      </c>
      <c r="Y208" t="inlineStr">
        <is>
          <t>2026-Q1</t>
        </is>
      </c>
    </row>
    <row r="209" ht="38.25" customHeight="1">
      <c r="A209" t="inlineStr">
        <is>
          <t>大学生职业生涯规划书成品范文word+PPT成长赛道电子版文档</t>
        </is>
      </c>
      <c r="B209" t="inlineStr">
        <is>
          <t>recv7j8rzTiIpY.jpg</t>
        </is>
      </c>
      <c r="C209" s="2" t="str">
        <f>=HYPERLINK("https://xhslink.com/m/6hcU3LlzHxI", "https://xhslink.com/m/6hcU3LlzHxI")</f>
        <v>https://xhslink.com/m/6hcU3LlzHxI</v>
      </c>
      <c r="D209"/>
      <c r="E209">
        <v>6357</v>
      </c>
      <c r="F209">
        <v>4.98</v>
      </c>
      <c r="G209"/>
      <c r="H209">
        <v>3500</v>
      </c>
      <c r="I209">
        <v>6000</v>
      </c>
      <c r="J209"/>
      <c r="K209" t="inlineStr">
        <is>
          <t>模板</t>
        </is>
      </c>
      <c r="L209"/>
      <c r="M209" t="inlineStr">
        <is>
          <t>学姐阿妍-的店</t>
        </is>
      </c>
      <c r="N209">
        <v>26000</v>
      </c>
      <c r="O209">
        <v>4.58</v>
      </c>
      <c r="P209">
        <v>20000</v>
      </c>
      <c r="Q209" t="inlineStr">
        <is>
          <t>68f451850dfa750001b233fb</t>
        </is>
      </c>
      <c r="R209" t="inlineStr">
        <is>
          <t>🚫重复</t>
        </is>
      </c>
      <c r="S209" t="inlineStr">
        <is>
          <t>大学资料</t>
        </is>
      </c>
      <c r="T209" t="inlineStr">
        <is>
          <t>0.24</t>
        </is>
      </c>
      <c r="U209" s="3">
        <v>46112.78107638889</v>
      </c>
      <c r="V209" t="inlineStr">
        <is>
          <t>虚拟产品</t>
        </is>
      </c>
      <c r="W209" s="3">
        <v>46026</v>
      </c>
      <c r="X209" t="inlineStr">
        <is>
          <t>01</t>
        </is>
      </c>
      <c r="Y209" t="inlineStr">
        <is>
          <t>2026-Q1</t>
        </is>
      </c>
    </row>
    <row r="210" ht="38.25" customHeight="1">
      <c r="A210" t="inlineStr">
        <is>
          <t>早读神器多主题网页版｜无需联网｜含使用教程读书集能量</t>
        </is>
      </c>
      <c r="B210" t="inlineStr">
        <is>
          <t>recv7j8rzTpHYg.jpg</t>
        </is>
      </c>
      <c r="C210" s="2" t="str">
        <f>=HYPERLINK("https://xhslink.com/m/2l7nnhGqmmR", "https://xhslink.com/m/2l7nnhGqmmR")</f>
        <v>https://xhslink.com/m/2l7nnhGqmmR</v>
      </c>
      <c r="D210"/>
      <c r="E210">
        <v>4738</v>
      </c>
      <c r="F210">
        <v>8.8</v>
      </c>
      <c r="G210"/>
      <c r="H210">
        <v>750</v>
      </c>
      <c r="I210">
        <v>2000</v>
      </c>
      <c r="J210"/>
      <c r="K210" t="inlineStr">
        <is>
          <t>模板</t>
        </is>
      </c>
      <c r="L210"/>
      <c r="M210" t="inlineStr">
        <is>
          <t>小邓的教学日记的店</t>
        </is>
      </c>
      <c r="N210">
        <v>2179</v>
      </c>
      <c r="O210">
        <v>4.61</v>
      </c>
      <c r="P210">
        <v>15000</v>
      </c>
      <c r="Q210" t="inlineStr">
        <is>
          <t>6847e7612dd29c00019bf746</t>
        </is>
      </c>
      <c r="R210" t="inlineStr">
        <is>
          <t>🚫重复</t>
        </is>
      </c>
      <c r="S210" t="inlineStr">
        <is>
          <t>无匹配类别</t>
        </is>
      </c>
      <c r="T210" t="inlineStr">
        <is>
          <t>2.17</t>
        </is>
      </c>
      <c r="U210" s="3">
        <v>46112.78107638889</v>
      </c>
      <c r="V210" t="inlineStr">
        <is>
          <t>虚拟产品</t>
        </is>
      </c>
      <c r="W210" s="3">
        <v>46026</v>
      </c>
      <c r="X210" t="inlineStr">
        <is>
          <t>01</t>
        </is>
      </c>
      <c r="Y210" t="inlineStr">
        <is>
          <t>2026-Q1</t>
        </is>
      </c>
    </row>
    <row r="211" ht="38.25" customHeight="1">
      <c r="A211" t="inlineStr">
        <is>
          <t>PPT倒计时器插件软件免安装适用于各种比赛演讲活动ppt计时素材</t>
        </is>
      </c>
      <c r="B211" t="inlineStr">
        <is>
          <t>recv7j8rzTnyYP.jpg</t>
        </is>
      </c>
      <c r="C211" s="2" t="str">
        <f>=HYPERLINK("https://xhslink.com/m/3MHHYwd5A7y", "https://xhslink.com/m/3MHHYwd5A7y")</f>
        <v>https://xhslink.com/m/3MHHYwd5A7y</v>
      </c>
      <c r="D211"/>
      <c r="E211">
        <v>4661</v>
      </c>
      <c r="F211">
        <v>2.6</v>
      </c>
      <c r="G211"/>
      <c r="H211">
        <v>900</v>
      </c>
      <c r="I211">
        <v>3000</v>
      </c>
      <c r="J211"/>
      <c r="K211" t="inlineStr">
        <is>
          <t>模板</t>
        </is>
      </c>
      <c r="L211" t="inlineStr">
        <is>
          <t>🔥低粉爆款</t>
        </is>
      </c>
      <c r="M211" t="inlineStr">
        <is>
          <t>设计妥协的结果的店</t>
        </is>
      </c>
      <c r="N211">
        <v>579</v>
      </c>
      <c r="O211">
        <v>4.49</v>
      </c>
      <c r="P211">
        <v>6704</v>
      </c>
      <c r="Q211" t="inlineStr">
        <is>
          <t>68ad4ca5fba5440001ba3c0b</t>
        </is>
      </c>
      <c r="R211"/>
      <c r="S211" t="inlineStr">
        <is>
          <t>PPT模板</t>
        </is>
      </c>
      <c r="T211" t="inlineStr">
        <is>
          <t>8.05</t>
        </is>
      </c>
      <c r="U211" s="3">
        <v>46112.78107638889</v>
      </c>
      <c r="V211" t="inlineStr">
        <is>
          <t>虚拟产品</t>
        </is>
      </c>
      <c r="W211" s="3">
        <v>46026</v>
      </c>
      <c r="X211" t="inlineStr">
        <is>
          <t>01</t>
        </is>
      </c>
      <c r="Y211" t="inlineStr">
        <is>
          <t>2026-Q1</t>
        </is>
      </c>
    </row>
    <row r="212" ht="38.25" customHeight="1">
      <c r="A212" t="inlineStr">
        <is>
          <t>2026国考申论行政执法范文48篇行政执法类应用文写作模版</t>
        </is>
      </c>
      <c r="B212" t="inlineStr">
        <is>
          <t>recv7j8rzTJv8x.jpg</t>
        </is>
      </c>
      <c r="C212" s="2" t="str">
        <f>=HYPERLINK("https://xhslink.com/m/9Wp0QjKbJwN", "https://xhslink.com/m/9Wp0QjKbJwN")</f>
        <v>https://xhslink.com/m/9Wp0QjKbJwN</v>
      </c>
      <c r="D212"/>
      <c r="E212">
        <v>4081</v>
      </c>
      <c r="F212">
        <v>0.99</v>
      </c>
      <c r="G212"/>
      <c r="H212">
        <v>1000</v>
      </c>
      <c r="I212">
        <v>4000</v>
      </c>
      <c r="J212"/>
      <c r="K212" t="inlineStr">
        <is>
          <t>模板</t>
        </is>
      </c>
      <c r="L212" t="inlineStr">
        <is>
          <t>🔥低粉爆款</t>
        </is>
      </c>
      <c r="M212" t="inlineStr">
        <is>
          <t>跳跳的考公日记的店</t>
        </is>
      </c>
      <c r="N212">
        <v>397</v>
      </c>
      <c r="O212">
        <v>4.65</v>
      </c>
      <c r="P212">
        <v>8448</v>
      </c>
      <c r="Q212" t="inlineStr">
        <is>
          <t>68f0b7654daabe0001d27869</t>
        </is>
      </c>
      <c r="R212" t="inlineStr">
        <is>
          <t>🚫重复</t>
        </is>
      </c>
      <c r="S212" t="inlineStr">
        <is>
          <t>考公资料</t>
        </is>
      </c>
      <c r="T212" t="inlineStr">
        <is>
          <t>10.28</t>
        </is>
      </c>
      <c r="U212" s="3">
        <v>46112.78107638889</v>
      </c>
      <c r="V212" t="inlineStr">
        <is>
          <t>虚拟产品</t>
        </is>
      </c>
      <c r="W212" s="3">
        <v>46026</v>
      </c>
      <c r="X212" t="inlineStr">
        <is>
          <t>01</t>
        </is>
      </c>
      <c r="Y212" t="inlineStr">
        <is>
          <t>2026-Q1</t>
        </is>
      </c>
    </row>
    <row r="213" ht="38.25" customHeight="1">
      <c r="A213" t="inlineStr">
        <is>
          <t>六级654的73篇范文赠送8篇模板 电子版资料</t>
        </is>
      </c>
      <c r="B213" t="inlineStr">
        <is>
          <t>recv7j8rzTV2pD.jpg</t>
        </is>
      </c>
      <c r="C213" s="2" t="str">
        <f>=HYPERLINK("https://xhslink.com/m/2KrYmW5FTUc", "https://xhslink.com/m/2KrYmW5FTUc")</f>
        <v>https://xhslink.com/m/2KrYmW5FTUc</v>
      </c>
      <c r="D213"/>
      <c r="E213">
        <v>3058</v>
      </c>
      <c r="F213">
        <v>16.9</v>
      </c>
      <c r="G213"/>
      <c r="H213">
        <v>950</v>
      </c>
      <c r="I213">
        <v>1000</v>
      </c>
      <c r="J213"/>
      <c r="K213" t="inlineStr">
        <is>
          <t>模板</t>
        </is>
      </c>
      <c r="L213"/>
      <c r="M213" t="inlineStr">
        <is>
          <t>柴犬老师的店</t>
        </is>
      </c>
      <c r="N213">
        <v>27000</v>
      </c>
      <c r="O213">
        <v>4.68</v>
      </c>
      <c r="P213">
        <v>14000</v>
      </c>
      <c r="Q213" t="inlineStr">
        <is>
          <t>682ee227a47eca0001c51e30</t>
        </is>
      </c>
      <c r="R213"/>
      <c r="S213" t="inlineStr">
        <is>
          <t>英语资料</t>
        </is>
      </c>
      <c r="T213" t="inlineStr">
        <is>
          <t>0.11</t>
        </is>
      </c>
      <c r="U213" s="3">
        <v>46112.78107638889</v>
      </c>
      <c r="V213" t="inlineStr">
        <is>
          <t>虚拟产品</t>
        </is>
      </c>
      <c r="W213" s="3">
        <v>46026</v>
      </c>
      <c r="X213" t="inlineStr">
        <is>
          <t>01</t>
        </is>
      </c>
      <c r="Y213" t="inlineStr">
        <is>
          <t>2026-Q1</t>
        </is>
      </c>
    </row>
    <row r="214" ht="38.25" customHeight="1">
      <c r="A214" t="inlineStr">
        <is>
          <t>职业生涯规划PPT（25页，秒拍秒发）</t>
        </is>
      </c>
      <c r="B214" t="inlineStr">
        <is>
          <t>recv7j8rzTRBL6.jpg</t>
        </is>
      </c>
      <c r="C214" s="2" t="str">
        <f>=HYPERLINK("https://xhslink.com/m/3OR1Dd22l3f", "https://xhslink.com/m/3OR1Dd22l3f")</f>
        <v>https://xhslink.com/m/3OR1Dd22l3f</v>
      </c>
      <c r="D214"/>
      <c r="E214">
        <v>2863</v>
      </c>
      <c r="F214">
        <v>8.88</v>
      </c>
      <c r="G214"/>
      <c r="H214">
        <v>750</v>
      </c>
      <c r="I214">
        <v>2000</v>
      </c>
      <c r="J214"/>
      <c r="K214" t="inlineStr">
        <is>
          <t>模板</t>
        </is>
      </c>
      <c r="L214"/>
      <c r="M214" t="inlineStr">
        <is>
          <t>赵小小的店</t>
        </is>
      </c>
      <c r="N214">
        <v>4312</v>
      </c>
      <c r="O214">
        <v>4.51</v>
      </c>
      <c r="P214">
        <v>49000</v>
      </c>
      <c r="Q214" t="inlineStr">
        <is>
          <t>69029bf7dcedc70001f9b486</t>
        </is>
      </c>
      <c r="R214" t="inlineStr">
        <is>
          <t>🚫重复</t>
        </is>
      </c>
      <c r="S214" t="inlineStr">
        <is>
          <t>PPT模板</t>
        </is>
      </c>
      <c r="T214" t="inlineStr">
        <is>
          <t>0.66</t>
        </is>
      </c>
      <c r="U214" s="3">
        <v>46112.78107638889</v>
      </c>
      <c r="V214" t="inlineStr">
        <is>
          <t>虚拟产品</t>
        </is>
      </c>
      <c r="W214" s="3">
        <v>46026</v>
      </c>
      <c r="X214" t="inlineStr">
        <is>
          <t>01</t>
        </is>
      </c>
      <c r="Y214" t="inlineStr">
        <is>
          <t>2026-Q1</t>
        </is>
      </c>
    </row>
    <row r="215" ht="38.25" customHeight="1">
      <c r="A215" t="inlineStr">
        <is>
          <t>小比噶二维码框源文件</t>
        </is>
      </c>
      <c r="B215" t="inlineStr">
        <is>
          <t>recv7j8rzTULNl.jpg</t>
        </is>
      </c>
      <c r="C215" s="2" t="str">
        <f>=HYPERLINK("https://xhslink.com/m/1Inw0KBgZmN", "https://xhslink.com/m/1Inw0KBgZmN")</f>
        <v>https://xhslink.com/m/1Inw0KBgZmN</v>
      </c>
      <c r="D215"/>
      <c r="E215">
        <v>1221</v>
      </c>
      <c r="F215">
        <v>2</v>
      </c>
      <c r="G215"/>
      <c r="H215">
        <v>400</v>
      </c>
      <c r="I215">
        <v>1000</v>
      </c>
      <c r="J215"/>
      <c r="K215" t="inlineStr">
        <is>
          <t>模板</t>
        </is>
      </c>
      <c r="L215"/>
      <c r="M215" t="inlineStr">
        <is>
          <t>十二点海棠（TGA请投丝之歌～）的店</t>
        </is>
      </c>
      <c r="N215">
        <v>1586</v>
      </c>
      <c r="O215">
        <v>4.32</v>
      </c>
      <c r="P215">
        <v>1234</v>
      </c>
      <c r="Q215" t="inlineStr">
        <is>
          <t>68ff5a5dad046d0001bebd5f</t>
        </is>
      </c>
      <c r="R215"/>
      <c r="S215" t="inlineStr">
        <is>
          <t>设计素材</t>
        </is>
      </c>
      <c r="T215" t="inlineStr">
        <is>
          <t>0.77</t>
        </is>
      </c>
      <c r="U215" s="3">
        <v>46112.78107638889</v>
      </c>
      <c r="V215" t="inlineStr">
        <is>
          <t>虚拟产品</t>
        </is>
      </c>
      <c r="W215" s="3">
        <v>46026</v>
      </c>
      <c r="X215" t="inlineStr">
        <is>
          <t>01</t>
        </is>
      </c>
      <c r="Y215" t="inlineStr">
        <is>
          <t>2026-Q1</t>
        </is>
      </c>
    </row>
    <row r="216" ht="38.25" customHeight="1">
      <c r="A216" t="inlineStr">
        <is>
          <t>403号：四上园地/小练笔</t>
        </is>
      </c>
      <c r="B216" t="inlineStr">
        <is>
          <t>recv7j8rzTPdZb.jpg</t>
        </is>
      </c>
      <c r="C216" s="2" t="str">
        <f>=HYPERLINK("https://xhslink.com/m/9xoYCFSDD6h", "https://xhslink.com/m/9xoYCFSDD6h")</f>
        <v>https://xhslink.com/m/9xoYCFSDD6h</v>
      </c>
      <c r="D216"/>
      <c r="E216">
        <v>5206</v>
      </c>
      <c r="F216">
        <v>2</v>
      </c>
      <c r="G216"/>
      <c r="H216">
        <v>1000</v>
      </c>
      <c r="I216">
        <v>1000</v>
      </c>
      <c r="J216"/>
      <c r="K216" t="inlineStr">
        <is>
          <t>模板</t>
        </is>
      </c>
      <c r="L216"/>
      <c r="M216" t="inlineStr">
        <is>
          <t>张主任的情报库的店</t>
        </is>
      </c>
      <c r="N216">
        <v>28000</v>
      </c>
      <c r="O216">
        <v>4.56</v>
      </c>
      <c r="P216">
        <v>216000</v>
      </c>
      <c r="Q216" t="inlineStr">
        <is>
          <t>693c29687159580001c1ca0a</t>
        </is>
      </c>
      <c r="R216" t="inlineStr">
        <is>
          <t>🚫重复</t>
        </is>
      </c>
      <c r="S216" t="inlineStr">
        <is>
          <t>中小学教辅/教材</t>
        </is>
      </c>
      <c r="T216" t="inlineStr">
        <is>
          <t>0.19</t>
        </is>
      </c>
      <c r="U216" s="3">
        <v>46112.78107638889</v>
      </c>
      <c r="V216" t="inlineStr">
        <is>
          <t>虚拟产品</t>
        </is>
      </c>
      <c r="W216" s="3">
        <v>46026</v>
      </c>
      <c r="X216" t="inlineStr">
        <is>
          <t>01</t>
        </is>
      </c>
      <c r="Y216" t="inlineStr">
        <is>
          <t>2026-Q1</t>
        </is>
      </c>
    </row>
    <row r="217" ht="38.25" customHeight="1">
      <c r="A217" t="inlineStr">
        <is>
          <t>黑暗三角人格测试-在线测试-秒出报告售出不退换</t>
        </is>
      </c>
      <c r="B217" t="inlineStr">
        <is>
          <t>recv7j8rzTrIJY.jpg</t>
        </is>
      </c>
      <c r="C217" s="2" t="str">
        <f>=HYPERLINK("https://xhslink.com/m/8A84I3yxwUv", "https://xhslink.com/m/8A84I3yxwUv")</f>
        <v>https://xhslink.com/m/8A84I3yxwUv</v>
      </c>
      <c r="D217"/>
      <c r="E217">
        <v>59000</v>
      </c>
      <c r="F217">
        <v>9.9</v>
      </c>
      <c r="G217"/>
      <c r="H217">
        <v>600</v>
      </c>
      <c r="I217">
        <v>50000</v>
      </c>
      <c r="J217"/>
      <c r="K217" t="inlineStr">
        <is>
          <t>报告</t>
        </is>
      </c>
      <c r="L217" t="inlineStr">
        <is>
          <t>🔥低粉爆款</t>
        </is>
      </c>
      <c r="M217" t="inlineStr">
        <is>
          <t>身心疗愈邮局的店</t>
        </is>
      </c>
      <c r="N217">
        <v>3369</v>
      </c>
      <c r="O217">
        <v>4.43</v>
      </c>
      <c r="P217">
        <v>93000</v>
      </c>
      <c r="Q217" t="inlineStr">
        <is>
          <t>69300a423dc536000164c29e</t>
        </is>
      </c>
      <c r="R217" t="inlineStr">
        <is>
          <t>🚫重复</t>
        </is>
      </c>
      <c r="S217" t="inlineStr">
        <is>
          <t>生活成长</t>
        </is>
      </c>
      <c r="T217" t="inlineStr">
        <is>
          <t>17.51</t>
        </is>
      </c>
      <c r="U217" s="3">
        <v>46112.78107638889</v>
      </c>
      <c r="V217" t="inlineStr">
        <is>
          <t>虚拟产品</t>
        </is>
      </c>
      <c r="W217" s="3">
        <v>46026</v>
      </c>
      <c r="X217" t="inlineStr">
        <is>
          <t>01</t>
        </is>
      </c>
      <c r="Y217" t="inlineStr">
        <is>
          <t>2026-Q1</t>
        </is>
      </c>
    </row>
    <row r="218" ht="38.25" customHeight="1">
      <c r="A218" t="inlineStr">
        <is>
          <t>【正版测试】精神需求探索-个性深度解析·在线秒测·详细报告</t>
        </is>
      </c>
      <c r="B218" t="inlineStr">
        <is>
          <t>recv7j8rzTjHtm.jpg</t>
        </is>
      </c>
      <c r="C218" s="2" t="str">
        <f>=HYPERLINK("https://xhslink.com/m/5eMl2BEunBR", "https://xhslink.com/m/5eMl2BEunBR")</f>
        <v>https://xhslink.com/m/5eMl2BEunBR</v>
      </c>
      <c r="D218"/>
      <c r="E218">
        <v>1055</v>
      </c>
      <c r="F218">
        <v>0.99</v>
      </c>
      <c r="G218"/>
      <c r="H218">
        <v>900</v>
      </c>
      <c r="I218">
        <v>1000</v>
      </c>
      <c r="J218"/>
      <c r="K218" t="inlineStr">
        <is>
          <t>报告</t>
        </is>
      </c>
      <c r="L218" t="inlineStr">
        <is>
          <t>🔥低粉爆款</t>
        </is>
      </c>
      <c r="M218" t="inlineStr">
        <is>
          <t>瑞宏冯玲日用品店1122的店</t>
        </is>
      </c>
      <c r="N218">
        <v>225</v>
      </c>
      <c r="O218">
        <v>3.91</v>
      </c>
      <c r="P218">
        <v>7120</v>
      </c>
      <c r="Q218" t="inlineStr">
        <is>
          <t>691328b7f7f3810001d1855d</t>
        </is>
      </c>
      <c r="R218"/>
      <c r="S218" t="inlineStr">
        <is>
          <t>生活成长</t>
        </is>
      </c>
      <c r="T218" t="inlineStr">
        <is>
          <t>4.69</t>
        </is>
      </c>
      <c r="U218" s="3">
        <v>46112.78107638889</v>
      </c>
      <c r="V218" t="inlineStr">
        <is>
          <t>虚拟产品</t>
        </is>
      </c>
      <c r="W218" s="3">
        <v>46026</v>
      </c>
      <c r="X218" t="inlineStr">
        <is>
          <t>01</t>
        </is>
      </c>
      <c r="Y218" t="inlineStr">
        <is>
          <t>2026-Q1</t>
        </is>
      </c>
    </row>
    <row r="219" ht="38.25" customHeight="1">
      <c r="A219" t="inlineStr">
        <is>
          <t>宠物医生在线问诊咨询 分析病情 用药指导 报告解读</t>
        </is>
      </c>
      <c r="B219" t="inlineStr">
        <is>
          <t>recv7j8rzTKXAP.jpg</t>
        </is>
      </c>
      <c r="C219" s="2" t="str">
        <f>=HYPERLINK("https://xhslink.com/m/727bom8aqkz", "https://xhslink.com/m/727bom8aqkz")</f>
        <v>https://xhslink.com/m/727bom8aqkz</v>
      </c>
      <c r="D219"/>
      <c r="E219">
        <v>5658</v>
      </c>
      <c r="F219">
        <v>28.8</v>
      </c>
      <c r="G219"/>
      <c r="H219">
        <v>350</v>
      </c>
      <c r="I219">
        <v>1000</v>
      </c>
      <c r="J219"/>
      <c r="K219" t="inlineStr">
        <is>
          <t>报告</t>
        </is>
      </c>
      <c r="L219"/>
      <c r="M219" t="inlineStr">
        <is>
          <t>宠医小何（关注回复）的店</t>
        </is>
      </c>
      <c r="N219">
        <v>46000</v>
      </c>
      <c r="O219">
        <v>4.37</v>
      </c>
      <c r="P219">
        <v>5907</v>
      </c>
      <c r="Q219" t="inlineStr">
        <is>
          <t>6866acaf289bae00014e2da6</t>
        </is>
      </c>
      <c r="R219" t="inlineStr">
        <is>
          <t>🚫重复</t>
        </is>
      </c>
      <c r="S219" t="inlineStr">
        <is>
          <t>咨询服务</t>
        </is>
      </c>
      <c r="T219" t="inlineStr">
        <is>
          <t>0.12</t>
        </is>
      </c>
      <c r="U219" s="3">
        <v>46112.78107638889</v>
      </c>
      <c r="V219" t="inlineStr">
        <is>
          <t>虚拟产品</t>
        </is>
      </c>
      <c r="W219" s="3">
        <v>46026</v>
      </c>
      <c r="X219" t="inlineStr">
        <is>
          <t>01</t>
        </is>
      </c>
      <c r="Y219" t="inlineStr">
        <is>
          <t>2026-Q1</t>
        </is>
      </c>
    </row>
    <row r="220" ht="38.25" customHeight="1">
      <c r="A220" t="inlineStr">
        <is>
          <t>ppt模板高级感动态极简约商务高端工作汇报毕业答辩教学课件演讲</t>
        </is>
      </c>
      <c r="B220" t="inlineStr">
        <is>
          <t>recv7j8rzTMFP8.jpg</t>
        </is>
      </c>
      <c r="C220" s="2" t="str">
        <f>=HYPERLINK("https://xhslink.com/m/7NWpxUioreO", "https://xhslink.com/m/7NWpxUioreO")</f>
        <v>https://xhslink.com/m/7NWpxUioreO</v>
      </c>
      <c r="D220"/>
      <c r="E220">
        <v>3239</v>
      </c>
      <c r="F220">
        <v>0.99</v>
      </c>
      <c r="G220"/>
      <c r="H220">
        <v>450</v>
      </c>
      <c r="I220">
        <v>2000</v>
      </c>
      <c r="J220"/>
      <c r="K220" t="inlineStr">
        <is>
          <t>报告</t>
        </is>
      </c>
      <c r="L220" t="inlineStr">
        <is>
          <t>🔥低粉爆款</t>
        </is>
      </c>
      <c r="M220" t="inlineStr">
        <is>
          <t>四叶草资料的店</t>
        </is>
      </c>
      <c r="N220">
        <v>154</v>
      </c>
      <c r="O220">
        <v>3.89</v>
      </c>
      <c r="P220">
        <v>5113</v>
      </c>
      <c r="Q220" t="inlineStr">
        <is>
          <t>68dba104ce94ee0001f361a6</t>
        </is>
      </c>
      <c r="R220" t="inlineStr">
        <is>
          <t>🚫重复</t>
        </is>
      </c>
      <c r="S220" t="inlineStr">
        <is>
          <t>PPT模板</t>
        </is>
      </c>
      <c r="T220" t="inlineStr">
        <is>
          <t>21.03</t>
        </is>
      </c>
      <c r="U220" s="3">
        <v>46112.78107638889</v>
      </c>
      <c r="V220" t="inlineStr">
        <is>
          <t>虚拟产品</t>
        </is>
      </c>
      <c r="W220" s="3">
        <v>46026</v>
      </c>
      <c r="X220" t="inlineStr">
        <is>
          <t>01</t>
        </is>
      </c>
      <c r="Y220" t="inlineStr">
        <is>
          <t>2026-Q1</t>
        </is>
      </c>
    </row>
    <row r="221" ht="38.25" customHeight="1">
      <c r="A221" t="inlineStr">
        <is>
          <t>180页 框架搭建系列PPT模板  · 复杂逻辑场景 工作汇报 高级感PPT</t>
        </is>
      </c>
      <c r="B221" t="inlineStr">
        <is>
          <t>recv7j8rzTe63x.jpg</t>
        </is>
      </c>
      <c r="C221" s="2" t="str">
        <f>=HYPERLINK("https://xhslink.com/m/2R5w63AWXWX", "https://xhslink.com/m/2R5w63AWXWX")</f>
        <v>https://xhslink.com/m/2R5w63AWXWX</v>
      </c>
      <c r="D221"/>
      <c r="E221">
        <v>2933</v>
      </c>
      <c r="F221">
        <v>9.8</v>
      </c>
      <c r="G221"/>
      <c r="H221">
        <v>450</v>
      </c>
      <c r="I221">
        <v>1000</v>
      </c>
      <c r="J221"/>
      <c r="K221" t="inlineStr">
        <is>
          <t>报告</t>
        </is>
      </c>
      <c r="L221"/>
      <c r="M221" t="inlineStr">
        <is>
          <t>开悟思维锦囊的店</t>
        </is>
      </c>
      <c r="N221">
        <v>11000</v>
      </c>
      <c r="O221">
        <v>4.43</v>
      </c>
      <c r="P221">
        <v>4807</v>
      </c>
      <c r="Q221" t="inlineStr">
        <is>
          <t>681677409d91940001f009b4</t>
        </is>
      </c>
      <c r="R221" t="inlineStr">
        <is>
          <t>🚫重复</t>
        </is>
      </c>
      <c r="S221" t="inlineStr">
        <is>
          <t>PPT模板</t>
        </is>
      </c>
      <c r="T221" t="inlineStr">
        <is>
          <t>0.27</t>
        </is>
      </c>
      <c r="U221" s="3">
        <v>46112.78107638889</v>
      </c>
      <c r="V221" t="inlineStr">
        <is>
          <t>虚拟产品</t>
        </is>
      </c>
      <c r="W221" s="3">
        <v>46026</v>
      </c>
      <c r="X221" t="inlineStr">
        <is>
          <t>01</t>
        </is>
      </c>
      <c r="Y221" t="inlineStr">
        <is>
          <t>2026-Q1</t>
        </is>
      </c>
    </row>
    <row r="222" ht="38.25" customHeight="1">
      <c r="A222" t="inlineStr">
        <is>
          <t>359*不限专业通用含内容大学生职业规划PPT模板〔原创插画ppt〕</t>
        </is>
      </c>
      <c r="B222" t="inlineStr">
        <is>
          <t>recv7j8rzT4oRd.jpg</t>
        </is>
      </c>
      <c r="C222" s="2" t="str">
        <f>=HYPERLINK("https://xhslink.com/m/ACUtFfam904", "https://xhslink.com/m/ACUtFfam904")</f>
        <v>https://xhslink.com/m/ACUtFfam904</v>
      </c>
      <c r="D222"/>
      <c r="E222">
        <v>2212</v>
      </c>
      <c r="F222">
        <v>12.88</v>
      </c>
      <c r="G222"/>
      <c r="H222">
        <v>850</v>
      </c>
      <c r="I222">
        <v>2000</v>
      </c>
      <c r="J222"/>
      <c r="K222" t="inlineStr">
        <is>
          <t>报告</t>
        </is>
      </c>
      <c r="L222"/>
      <c r="M222" t="inlineStr">
        <is>
          <t>小渔Eudora的店</t>
        </is>
      </c>
      <c r="N222">
        <v>24000</v>
      </c>
      <c r="O222">
        <v>4.54</v>
      </c>
      <c r="P222">
        <v>42000</v>
      </c>
      <c r="Q222" t="inlineStr">
        <is>
          <t>68e0ac33ed3b2f0001fed184</t>
        </is>
      </c>
      <c r="R222" t="inlineStr">
        <is>
          <t>🚫重复</t>
        </is>
      </c>
      <c r="S222" t="inlineStr">
        <is>
          <t>PPT模板</t>
        </is>
      </c>
      <c r="T222" t="inlineStr">
        <is>
          <t>0.09</t>
        </is>
      </c>
      <c r="U222" s="3">
        <v>46112.78107638889</v>
      </c>
      <c r="V222" t="inlineStr">
        <is>
          <t>虚拟产品</t>
        </is>
      </c>
      <c r="W222" s="3">
        <v>46026</v>
      </c>
      <c r="X222" t="inlineStr">
        <is>
          <t>01</t>
        </is>
      </c>
      <c r="Y222" t="inlineStr">
        <is>
          <t>2026-Q1</t>
        </is>
      </c>
    </row>
    <row r="223" ht="38.25" customHeight="1">
      <c r="A223" t="inlineStr">
        <is>
          <t>【25页】职业规划PPT（成长&amp;就业赛道通用/7色可选/拍后看短信）</t>
        </is>
      </c>
      <c r="B223" t="inlineStr">
        <is>
          <t>recv7j8rzT4UI3.jpg</t>
        </is>
      </c>
      <c r="C223" s="2" t="str">
        <f>=HYPERLINK("https://xhslink.com/m/41Rg6RtJj2f", "https://xhslink.com/m/41Rg6RtJj2f")</f>
        <v>https://xhslink.com/m/41Rg6RtJj2f</v>
      </c>
      <c r="D223"/>
      <c r="E223">
        <v>1839</v>
      </c>
      <c r="F223">
        <v>25.9</v>
      </c>
      <c r="G223"/>
      <c r="H223">
        <v>350</v>
      </c>
      <c r="I223">
        <v>1000</v>
      </c>
      <c r="J223"/>
      <c r="K223" t="inlineStr">
        <is>
          <t>报告</t>
        </is>
      </c>
      <c r="L223"/>
      <c r="M223" t="inlineStr">
        <is>
          <t>PPT 帮帮店的店</t>
        </is>
      </c>
      <c r="N223">
        <v>4576</v>
      </c>
      <c r="O223">
        <v>4.27</v>
      </c>
      <c r="P223">
        <v>5616</v>
      </c>
      <c r="Q223" t="inlineStr">
        <is>
          <t>6743d2b29d499900011140ed</t>
        </is>
      </c>
      <c r="R223"/>
      <c r="S223" t="inlineStr">
        <is>
          <t>PPT模板</t>
        </is>
      </c>
      <c r="T223" t="inlineStr">
        <is>
          <t>0.40</t>
        </is>
      </c>
      <c r="U223" s="3">
        <v>46112.78107638889</v>
      </c>
      <c r="V223" t="inlineStr">
        <is>
          <t>虚拟产品</t>
        </is>
      </c>
      <c r="W223" s="3">
        <v>46026</v>
      </c>
      <c r="X223" t="inlineStr">
        <is>
          <t>01</t>
        </is>
      </c>
      <c r="Y223" t="inlineStr">
        <is>
          <t>2026-Q1</t>
        </is>
      </c>
    </row>
    <row r="224" ht="38.25" customHeight="1">
      <c r="A224" t="inlineStr">
        <is>
          <t>公安辅警招聘考试公安基础知识行测行政能力测试考试题库刷题app</t>
        </is>
      </c>
      <c r="B224" t="inlineStr">
        <is>
          <t>recv7kdgenYq2j.jpg</t>
        </is>
      </c>
      <c r="C224" s="2" t="str">
        <f>=HYPERLINK("https://xhslink.com/m/90WcpUwjxKQ", "https://xhslink.com/m/90WcpUwjxKQ")</f>
        <v>https://xhslink.com/m/90WcpUwjxKQ</v>
      </c>
      <c r="D224"/>
      <c r="E224">
        <v>5939</v>
      </c>
      <c r="F224">
        <v>15.99</v>
      </c>
      <c r="G224"/>
      <c r="H224">
        <v>200</v>
      </c>
      <c r="I224">
        <v>1000</v>
      </c>
      <c r="J224"/>
      <c r="K224" t="inlineStr">
        <is>
          <t>面试题</t>
        </is>
      </c>
      <c r="L224" t="inlineStr">
        <is>
          <t>🔥低粉爆款</t>
        </is>
      </c>
      <c r="M224" t="inlineStr">
        <is>
          <t>香香学姐题库的店</t>
        </is>
      </c>
      <c r="N224">
        <v>1130</v>
      </c>
      <c r="O224">
        <v>4.52</v>
      </c>
      <c r="P224">
        <v>6261</v>
      </c>
      <c r="Q224" t="inlineStr">
        <is>
          <t>690f13fbdcedc700013103ca</t>
        </is>
      </c>
      <c r="R224" t="inlineStr">
        <is>
          <t>🚫重复</t>
        </is>
      </c>
      <c r="S224" t="inlineStr">
        <is>
          <t>求职面试/职场</t>
        </is>
      </c>
      <c r="T224" t="inlineStr">
        <is>
          <t>5.26</t>
        </is>
      </c>
      <c r="U224" s="3">
        <v>46112.78107638889</v>
      </c>
      <c r="V224" t="inlineStr">
        <is>
          <t>虚拟产品</t>
        </is>
      </c>
      <c r="W224" s="3">
        <v>46026</v>
      </c>
      <c r="X224" t="inlineStr">
        <is>
          <t>01</t>
        </is>
      </c>
      <c r="Y224" t="inlineStr">
        <is>
          <t>2026-Q1</t>
        </is>
      </c>
    </row>
    <row r="225" ht="38.25" customHeight="1">
      <c r="A225" t="inlineStr">
        <is>
          <t>26届建设银行面试高频80问及答案（电子版，可打印）</t>
        </is>
      </c>
      <c r="B225" t="inlineStr">
        <is>
          <t>recv7kdh2XmSUH.jpg</t>
        </is>
      </c>
      <c r="C225" s="2" t="str">
        <f>=HYPERLINK("https://xhslink.com/m/3d8xeayaI2L", "https://xhslink.com/m/3d8xeayaI2L")</f>
        <v>https://xhslink.com/m/3d8xeayaI2L</v>
      </c>
      <c r="D225"/>
      <c r="E225">
        <v>1257</v>
      </c>
      <c r="F225">
        <v>9.9</v>
      </c>
      <c r="G225"/>
      <c r="H225">
        <v>1000</v>
      </c>
      <c r="I225">
        <v>1000</v>
      </c>
      <c r="J225"/>
      <c r="K225" t="inlineStr">
        <is>
          <t>面试题</t>
        </is>
      </c>
      <c r="L225"/>
      <c r="M225" t="inlineStr">
        <is>
          <t>小花同学（求职版）的店</t>
        </is>
      </c>
      <c r="N225">
        <v>6893</v>
      </c>
      <c r="O225">
        <v>4.55</v>
      </c>
      <c r="P225">
        <v>12000</v>
      </c>
      <c r="Q225" t="inlineStr">
        <is>
          <t>69070809b96b1600018ddce7</t>
        </is>
      </c>
      <c r="R225"/>
      <c r="S225" t="inlineStr">
        <is>
          <t>求职面试/职场</t>
        </is>
      </c>
      <c r="T225" t="inlineStr">
        <is>
          <t>0.18</t>
        </is>
      </c>
      <c r="U225" s="3">
        <v>46112.78107638889</v>
      </c>
      <c r="V225" t="inlineStr">
        <is>
          <t>虚拟产品</t>
        </is>
      </c>
      <c r="W225" s="3">
        <v>46026</v>
      </c>
      <c r="X225" t="inlineStr">
        <is>
          <t>01</t>
        </is>
      </c>
      <c r="Y225" t="inlineStr">
        <is>
          <t>2026-Q1</t>
        </is>
      </c>
    </row>
    <row r="226" ht="38.25" customHeight="1">
      <c r="A226" t="inlineStr">
        <is>
          <t>2026六大行秋招网课笔试面试备考资料工商农业中国建设交通邮储</t>
        </is>
      </c>
      <c r="B226" t="inlineStr">
        <is>
          <t>recv7pM3qxpgPV.jpg</t>
        </is>
      </c>
      <c r="C226" s="2" t="str">
        <f>=HYPERLINK("https://xhslink.com/m/8zfwpfTXiBa", "https://xhslink.com/m/8zfwpfTXiBa")</f>
        <v>https://xhslink.com/m/8zfwpfTXiBa</v>
      </c>
      <c r="D226"/>
      <c r="E226">
        <v>2958</v>
      </c>
      <c r="F226">
        <v>5.9</v>
      </c>
      <c r="G226"/>
      <c r="H226">
        <v>92</v>
      </c>
      <c r="I226">
        <v>2000</v>
      </c>
      <c r="J226"/>
      <c r="K226" t="inlineStr">
        <is>
          <t>银行面试</t>
        </is>
      </c>
      <c r="L226" t="inlineStr">
        <is>
          <t>🔥低粉爆款</t>
        </is>
      </c>
      <c r="M226" t="inlineStr">
        <is>
          <t>喵喵开心上班的店</t>
        </is>
      </c>
      <c r="N226">
        <v>161</v>
      </c>
      <c r="O226">
        <v>4.15</v>
      </c>
      <c r="P226">
        <v>2977</v>
      </c>
      <c r="Q226" t="inlineStr">
        <is>
          <t>68fddf017d3b3f00019d279c</t>
        </is>
      </c>
      <c r="R226" t="inlineStr">
        <is>
          <t>🚫重复</t>
        </is>
      </c>
      <c r="S226" t="inlineStr">
        <is>
          <t>求职面试/职场</t>
        </is>
      </c>
      <c r="T226" t="inlineStr">
        <is>
          <t>18.37</t>
        </is>
      </c>
      <c r="U226" s="3">
        <v>46112.78107638889</v>
      </c>
      <c r="V226" t="inlineStr">
        <is>
          <t>虚拟产品</t>
        </is>
      </c>
      <c r="W226" s="3">
        <v>46027</v>
      </c>
      <c r="X226" t="inlineStr">
        <is>
          <t>01</t>
        </is>
      </c>
      <c r="Y226" t="inlineStr">
        <is>
          <t>2026-Q1</t>
        </is>
      </c>
    </row>
    <row r="227" ht="38.25" customHeight="1">
      <c r="A227" t="inlineStr">
        <is>
          <t>1-6年级数学必考思维训练题合集 PDF电子版，非实物</t>
        </is>
      </c>
      <c r="B227" t="inlineStr">
        <is>
          <t>recv7pOn6gEtFA.jpg</t>
        </is>
      </c>
      <c r="C227" s="2" t="str">
        <f>=HYPERLINK("https://xhslink.com/m/4otLt3N90X7", "https://xhslink.com/m/4otLt3N90X7")</f>
        <v>https://xhslink.com/m/4otLt3N90X7</v>
      </c>
      <c r="D227"/>
      <c r="E227">
        <v>2590</v>
      </c>
      <c r="F227">
        <v>5.9</v>
      </c>
      <c r="G227"/>
      <c r="H227">
        <v>600</v>
      </c>
      <c r="I227">
        <v>1000</v>
      </c>
      <c r="J227"/>
      <c r="K227" t="inlineStr">
        <is>
          <t>小学数学资料</t>
        </is>
      </c>
      <c r="L227"/>
      <c r="M227" t="inlineStr">
        <is>
          <t>余老师爱分享的店</t>
        </is>
      </c>
      <c r="N227">
        <v>5331</v>
      </c>
      <c r="O227">
        <v>4.52</v>
      </c>
      <c r="P227">
        <v>20000</v>
      </c>
      <c r="Q227" t="inlineStr">
        <is>
          <t>68ac2b76ec7fed0001e44536</t>
        </is>
      </c>
      <c r="R227" t="inlineStr">
        <is>
          <t>🚫重复</t>
        </is>
      </c>
      <c r="S227" t="inlineStr">
        <is>
          <t>中小学教辅/教材</t>
        </is>
      </c>
      <c r="T227" t="inlineStr">
        <is>
          <t>0.49</t>
        </is>
      </c>
      <c r="U227" s="3">
        <v>46112.78107638889</v>
      </c>
      <c r="V227" t="inlineStr">
        <is>
          <t>虚拟产品</t>
        </is>
      </c>
      <c r="W227" s="3">
        <v>46027</v>
      </c>
      <c r="X227" t="inlineStr">
        <is>
          <t>01</t>
        </is>
      </c>
      <c r="Y227" t="inlineStr">
        <is>
          <t>2026-Q1</t>
        </is>
      </c>
    </row>
    <row r="228" ht="38.25" customHeight="1">
      <c r="A228" t="inlineStr">
        <is>
          <t>人教版一二三四五六年级上册数学每日计算口算竖式应用题小纸条</t>
        </is>
      </c>
      <c r="B228" t="inlineStr">
        <is>
          <t>recv7pOn6gLZBl.jpg</t>
        </is>
      </c>
      <c r="C228" s="2" t="str">
        <f>=HYPERLINK("https://xhslink.com/m/4EeN1VtcFnp", "https://xhslink.com/m/4EeN1VtcFnp")</f>
        <v>https://xhslink.com/m/4EeN1VtcFnp</v>
      </c>
      <c r="D228"/>
      <c r="E228">
        <v>2094</v>
      </c>
      <c r="F228">
        <v>2.49</v>
      </c>
      <c r="G228"/>
      <c r="H228">
        <v>500</v>
      </c>
      <c r="I228">
        <v>1000</v>
      </c>
      <c r="J228"/>
      <c r="K228" t="inlineStr">
        <is>
          <t>小学数学资料</t>
        </is>
      </c>
      <c r="L228"/>
      <c r="M228" t="inlineStr">
        <is>
          <t>墨香拾华的店</t>
        </is>
      </c>
      <c r="N228">
        <v>2006</v>
      </c>
      <c r="O228">
        <v>4.38</v>
      </c>
      <c r="P228">
        <v>29000</v>
      </c>
      <c r="Q228" t="inlineStr">
        <is>
          <t>68930db3e019f20001ad564b</t>
        </is>
      </c>
      <c r="R228" t="inlineStr">
        <is>
          <t>🚫重复</t>
        </is>
      </c>
      <c r="S228" t="inlineStr">
        <is>
          <t>中小学教辅/教材</t>
        </is>
      </c>
      <c r="T228" t="inlineStr">
        <is>
          <t>1.04</t>
        </is>
      </c>
      <c r="U228" s="3">
        <v>46112.78107638889</v>
      </c>
      <c r="V228" t="inlineStr">
        <is>
          <t>虚拟产品</t>
        </is>
      </c>
      <c r="W228" s="3">
        <v>46027</v>
      </c>
      <c r="X228" t="inlineStr">
        <is>
          <t>01</t>
        </is>
      </c>
      <c r="Y228" t="inlineStr">
        <is>
          <t>2026-Q1</t>
        </is>
      </c>
    </row>
    <row r="229" ht="38.25" customHeight="1">
      <c r="A229" t="inlineStr">
        <is>
          <t>苏教版三四五六上下册小升初数学期末考点类型复习（虚拟资料）</t>
        </is>
      </c>
      <c r="B229" t="inlineStr">
        <is>
          <t>recv7pOn6goBLO.jpg</t>
        </is>
      </c>
      <c r="C229" s="2" t="str">
        <f>=HYPERLINK("https://xhslink.com/m/6SsiqsVr07T", "https://xhslink.com/m/6SsiqsVr07T")</f>
        <v>https://xhslink.com/m/6SsiqsVr07T</v>
      </c>
      <c r="D229"/>
      <c r="E229">
        <v>2003</v>
      </c>
      <c r="F229">
        <v>4.9</v>
      </c>
      <c r="G229"/>
      <c r="H229">
        <v>400</v>
      </c>
      <c r="I229">
        <v>1000</v>
      </c>
      <c r="J229"/>
      <c r="K229" t="inlineStr">
        <is>
          <t>小学数学资料</t>
        </is>
      </c>
      <c r="L229"/>
      <c r="M229" t="inlineStr">
        <is>
          <t>花花老师🌸🌸的店</t>
        </is>
      </c>
      <c r="N229">
        <v>4279</v>
      </c>
      <c r="O229">
        <v>4.52</v>
      </c>
      <c r="P229">
        <v>5355</v>
      </c>
      <c r="Q229" t="inlineStr">
        <is>
          <t>68fc96f8c4f8910001d36699</t>
        </is>
      </c>
      <c r="R229" t="inlineStr">
        <is>
          <t>🚫重复</t>
        </is>
      </c>
      <c r="S229" t="inlineStr">
        <is>
          <t>中小学教辅/教材</t>
        </is>
      </c>
      <c r="T229" t="inlineStr">
        <is>
          <t>0.47</t>
        </is>
      </c>
      <c r="U229" s="3">
        <v>46112.78107638889</v>
      </c>
      <c r="V229" t="inlineStr">
        <is>
          <t>虚拟产品</t>
        </is>
      </c>
      <c r="W229" s="3">
        <v>46027</v>
      </c>
      <c r="X229" t="inlineStr">
        <is>
          <t>01</t>
        </is>
      </c>
      <c r="Y229" t="inlineStr">
        <is>
          <t>2026-Q1</t>
        </is>
      </c>
    </row>
    <row r="230" ht="38.25" customHeight="1">
      <c r="A230" t="inlineStr">
        <is>
          <t>OD3-上导航栏开题答辩PPT模板</t>
        </is>
      </c>
      <c r="B230" t="inlineStr">
        <is>
          <t>recv7pOn6gxgYf.jpg</t>
        </is>
      </c>
      <c r="C230" s="2" t="str">
        <f>=HYPERLINK("https://xhslink.com/m/6xp2sUpPX0y", "https://xhslink.com/m/6xp2sUpPX0y")</f>
        <v>https://xhslink.com/m/6xp2sUpPX0y</v>
      </c>
      <c r="D230"/>
      <c r="E230">
        <v>9675</v>
      </c>
      <c r="F230">
        <v>6.6</v>
      </c>
      <c r="G230"/>
      <c r="H230">
        <v>700</v>
      </c>
      <c r="I230">
        <v>1000</v>
      </c>
      <c r="J230"/>
      <c r="K230" t="inlineStr">
        <is>
          <t>PPT</t>
        </is>
      </c>
      <c r="L230"/>
      <c r="M230" t="inlineStr">
        <is>
          <t>博士学长的百宝箱的店</t>
        </is>
      </c>
      <c r="N230">
        <v>9587</v>
      </c>
      <c r="O230">
        <v>4.44</v>
      </c>
      <c r="P230">
        <v>24000</v>
      </c>
      <c r="Q230" t="inlineStr">
        <is>
          <t>66e7dce8d69ab90001f6c3d1</t>
        </is>
      </c>
      <c r="R230" t="inlineStr">
        <is>
          <t>🚫重复</t>
        </is>
      </c>
      <c r="S230" t="inlineStr">
        <is>
          <t>PPT模板</t>
        </is>
      </c>
      <c r="T230" t="inlineStr">
        <is>
          <t>1.01</t>
        </is>
      </c>
      <c r="U230" s="3">
        <v>46112.78107638889</v>
      </c>
      <c r="V230" t="inlineStr">
        <is>
          <t>虚拟产品</t>
        </is>
      </c>
      <c r="W230" s="3">
        <v>46027</v>
      </c>
      <c r="X230" t="inlineStr">
        <is>
          <t>01</t>
        </is>
      </c>
      <c r="Y230" t="inlineStr">
        <is>
          <t>2026-Q1</t>
        </is>
      </c>
    </row>
    <row r="231" ht="38.25" customHeight="1">
      <c r="A231" t="inlineStr">
        <is>
          <t>任选一套ppt【联系客服发货】</t>
        </is>
      </c>
      <c r="B231" t="inlineStr">
        <is>
          <t>recv7pOn6g48Av.jpg</t>
        </is>
      </c>
      <c r="C231" s="2" t="str">
        <f>=HYPERLINK("https://xhslink.com/m/9IiKBs9Qs5Y", "https://xhslink.com/m/9IiKBs9Qs5Y")</f>
        <v>https://xhslink.com/m/9IiKBs9Qs5Y</v>
      </c>
      <c r="D231"/>
      <c r="E231">
        <v>7172</v>
      </c>
      <c r="F231">
        <v>4.6</v>
      </c>
      <c r="G231"/>
      <c r="H231">
        <v>350</v>
      </c>
      <c r="I231">
        <v>1000</v>
      </c>
      <c r="J231"/>
      <c r="K231" t="inlineStr">
        <is>
          <t>PPT</t>
        </is>
      </c>
      <c r="L231"/>
      <c r="M231" t="inlineStr">
        <is>
          <t>hu240316的店</t>
        </is>
      </c>
      <c r="N231">
        <v>11000</v>
      </c>
      <c r="O231">
        <v>4.57</v>
      </c>
      <c r="P231">
        <v>10000</v>
      </c>
      <c r="Q231" t="inlineStr">
        <is>
          <t>66d9bd131fced80001d4f7fa</t>
        </is>
      </c>
      <c r="R231"/>
      <c r="S231" t="inlineStr">
        <is>
          <t>PPT模板</t>
        </is>
      </c>
      <c r="T231" t="inlineStr">
        <is>
          <t>0.65</t>
        </is>
      </c>
      <c r="U231" s="3">
        <v>46112.78107638889</v>
      </c>
      <c r="V231" t="inlineStr">
        <is>
          <t>虚拟产品</t>
        </is>
      </c>
      <c r="W231" s="3">
        <v>46027</v>
      </c>
      <c r="X231" t="inlineStr">
        <is>
          <t>01</t>
        </is>
      </c>
      <c r="Y231" t="inlineStr">
        <is>
          <t>2026-Q1</t>
        </is>
      </c>
    </row>
    <row r="232" ht="38.25" customHeight="1">
      <c r="A232" t="inlineStr">
        <is>
          <t>中小学全套花式随机点名抽背PPT可编辑（拍下自动发货 无需等待）</t>
        </is>
      </c>
      <c r="B232" t="inlineStr">
        <is>
          <t>recv7pOn6gf50v.jpg</t>
        </is>
      </c>
      <c r="C232" s="2" t="str">
        <f>=HYPERLINK("https://xhslink.com/m/6LKDajQ8Hfe", "https://xhslink.com/m/6LKDajQ8Hfe")</f>
        <v>https://xhslink.com/m/6LKDajQ8Hfe</v>
      </c>
      <c r="D232"/>
      <c r="E232">
        <v>6123</v>
      </c>
      <c r="F232">
        <v>4.8</v>
      </c>
      <c r="G232"/>
      <c r="H232">
        <v>450</v>
      </c>
      <c r="I232">
        <v>1000</v>
      </c>
      <c r="J232"/>
      <c r="K232" t="inlineStr">
        <is>
          <t>PPT</t>
        </is>
      </c>
      <c r="L232"/>
      <c r="M232" t="inlineStr">
        <is>
          <t>准时关机老师的店</t>
        </is>
      </c>
      <c r="N232">
        <v>2473</v>
      </c>
      <c r="O232">
        <v>4.58</v>
      </c>
      <c r="P232">
        <v>9511</v>
      </c>
      <c r="Q232" t="inlineStr">
        <is>
          <t>68284e12c3bab900014ee226</t>
        </is>
      </c>
      <c r="R232" t="inlineStr">
        <is>
          <t>🚫重复</t>
        </is>
      </c>
      <c r="S232" t="inlineStr">
        <is>
          <t>PPT模板</t>
        </is>
      </c>
      <c r="T232" t="inlineStr">
        <is>
          <t>2.48</t>
        </is>
      </c>
      <c r="U232" s="3">
        <v>46112.78107638889</v>
      </c>
      <c r="V232" t="inlineStr">
        <is>
          <t>虚拟产品</t>
        </is>
      </c>
      <c r="W232" s="3">
        <v>46027</v>
      </c>
      <c r="X232" t="inlineStr">
        <is>
          <t>01</t>
        </is>
      </c>
      <c r="Y232" t="inlineStr">
        <is>
          <t>2026-Q1</t>
        </is>
      </c>
    </row>
    <row r="233" ht="38.25" customHeight="1">
      <c r="A233" t="inlineStr">
        <is>
          <t>【秒发】云朵字模板，多种字体可随意修改，公开课板书、环创设计</t>
        </is>
      </c>
      <c r="B233" t="inlineStr">
        <is>
          <t>recv7pOn6gHVQZ.jpg</t>
        </is>
      </c>
      <c r="C233" s="2" t="str">
        <f>=HYPERLINK("https://xhslink.com/m/1kCgtDeMuwa", "https://xhslink.com/m/1kCgtDeMuwa")</f>
        <v>https://xhslink.com/m/1kCgtDeMuwa</v>
      </c>
      <c r="D233"/>
      <c r="E233">
        <v>3668</v>
      </c>
      <c r="F233">
        <v>3.88</v>
      </c>
      <c r="G233"/>
      <c r="H233">
        <v>800</v>
      </c>
      <c r="I233">
        <v>2000</v>
      </c>
      <c r="J233"/>
      <c r="K233" t="inlineStr">
        <is>
          <t>PPT</t>
        </is>
      </c>
      <c r="L233" t="inlineStr">
        <is>
          <t>🔥低粉爆款</t>
        </is>
      </c>
      <c r="M233" t="inlineStr">
        <is>
          <t>木桃教育的店</t>
        </is>
      </c>
      <c r="N233">
        <v>298</v>
      </c>
      <c r="O233">
        <v>4.53</v>
      </c>
      <c r="P233">
        <v>6610</v>
      </c>
      <c r="Q233" t="inlineStr">
        <is>
          <t>68fc91817d3b3f000191cf31</t>
        </is>
      </c>
      <c r="R233" t="inlineStr">
        <is>
          <t>🚫重复</t>
        </is>
      </c>
      <c r="S233" t="inlineStr">
        <is>
          <t>老师资料</t>
        </is>
      </c>
      <c r="T233" t="inlineStr">
        <is>
          <t>12.31</t>
        </is>
      </c>
      <c r="U233" s="3">
        <v>46112.78107638889</v>
      </c>
      <c r="V233" t="inlineStr">
        <is>
          <t>虚拟产品</t>
        </is>
      </c>
      <c r="W233" s="3">
        <v>46027</v>
      </c>
      <c r="X233" t="inlineStr">
        <is>
          <t>01</t>
        </is>
      </c>
      <c r="Y233" t="inlineStr">
        <is>
          <t>2026-Q1</t>
        </is>
      </c>
    </row>
    <row r="234" ht="38.25" customHeight="1">
      <c r="A234" t="inlineStr">
        <is>
          <t>国家奖学金/个人评优答辩PPT模板-19页(含5页备用)带动画-秒发货</t>
        </is>
      </c>
      <c r="B234" t="inlineStr">
        <is>
          <t>recv7pOn6gIqRg.jpg</t>
        </is>
      </c>
      <c r="C234" s="2" t="str">
        <f>=HYPERLINK("https://xhslink.com/m/6eVtJvCAy4V", "https://xhslink.com/m/6eVtJvCAy4V")</f>
        <v>https://xhslink.com/m/6eVtJvCAy4V</v>
      </c>
      <c r="D234"/>
      <c r="E234">
        <v>3579</v>
      </c>
      <c r="F234">
        <v>6.99</v>
      </c>
      <c r="G234"/>
      <c r="H234">
        <v>100</v>
      </c>
      <c r="I234">
        <v>1000</v>
      </c>
      <c r="J234"/>
      <c r="K234" t="inlineStr">
        <is>
          <t>PPT</t>
        </is>
      </c>
      <c r="L234"/>
      <c r="M234" t="inlineStr">
        <is>
          <t>不抓鱼的喵的店</t>
        </is>
      </c>
      <c r="N234">
        <v>8456</v>
      </c>
      <c r="O234">
        <v>4.59</v>
      </c>
      <c r="P234">
        <v>7449</v>
      </c>
      <c r="Q234" t="inlineStr">
        <is>
          <t>68bfef588c331700012a50e0</t>
        </is>
      </c>
      <c r="R234" t="inlineStr">
        <is>
          <t>🚫重复</t>
        </is>
      </c>
      <c r="S234" t="inlineStr">
        <is>
          <t>PPT模板</t>
        </is>
      </c>
      <c r="T234" t="inlineStr">
        <is>
          <t>0.42</t>
        </is>
      </c>
      <c r="U234" s="3">
        <v>46112.78107638889</v>
      </c>
      <c r="V234" t="inlineStr">
        <is>
          <t>虚拟产品</t>
        </is>
      </c>
      <c r="W234" s="3">
        <v>46027</v>
      </c>
      <c r="X234" t="inlineStr">
        <is>
          <t>01</t>
        </is>
      </c>
      <c r="Y234" t="inlineStr">
        <is>
          <t>2026-Q1</t>
        </is>
      </c>
    </row>
    <row r="235" ht="38.25" customHeight="1">
      <c r="A235" t="inlineStr">
        <is>
          <t>25年幼儿园公开课PPT课件+配套教案</t>
        </is>
      </c>
      <c r="B235" t="inlineStr">
        <is>
          <t>recv7pOn6gNN5W.jpg</t>
        </is>
      </c>
      <c r="C235" s="2" t="str">
        <f>=HYPERLINK("https://xhslink.com/m/1igfctoXsjb", "https://xhslink.com/m/1igfctoXsjb")</f>
        <v>https://xhslink.com/m/1igfctoXsjb</v>
      </c>
      <c r="D235"/>
      <c r="E235">
        <v>3596</v>
      </c>
      <c r="F235">
        <v>5.9</v>
      </c>
      <c r="G235"/>
      <c r="H235">
        <v>500</v>
      </c>
      <c r="I235">
        <v>1000</v>
      </c>
      <c r="J235"/>
      <c r="K235" t="inlineStr">
        <is>
          <t>PPT</t>
        </is>
      </c>
      <c r="L235" t="inlineStr">
        <is>
          <t>🔥低粉爆款</t>
        </is>
      </c>
      <c r="M235" t="inlineStr">
        <is>
          <t>365days、的店</t>
        </is>
      </c>
      <c r="N235">
        <v>1028</v>
      </c>
      <c r="O235">
        <v>4.46</v>
      </c>
      <c r="P235">
        <v>9707</v>
      </c>
      <c r="Q235" t="inlineStr">
        <is>
          <t>6816f966a548d00015ba2e02</t>
        </is>
      </c>
      <c r="R235" t="inlineStr">
        <is>
          <t>🚫重复</t>
        </is>
      </c>
      <c r="S235" t="inlineStr">
        <is>
          <t>幼教资料</t>
        </is>
      </c>
      <c r="T235" t="inlineStr">
        <is>
          <t>3.50</t>
        </is>
      </c>
      <c r="U235" s="3">
        <v>46112.78107638889</v>
      </c>
      <c r="V235" t="inlineStr">
        <is>
          <t>虚拟产品</t>
        </is>
      </c>
      <c r="W235" s="3">
        <v>46027</v>
      </c>
      <c r="X235" t="inlineStr">
        <is>
          <t>01</t>
        </is>
      </c>
      <c r="Y235" t="inlineStr">
        <is>
          <t>2026-Q1</t>
        </is>
      </c>
    </row>
    <row r="236" ht="38.25" customHeight="1">
      <c r="A236" t="inlineStr">
        <is>
          <t>ppt模板高级感动态极简约商务高端工作汇报毕业答辩教学课件演讲</t>
        </is>
      </c>
      <c r="B236" t="inlineStr">
        <is>
          <t>recv7pOn6gHWVb.jpg</t>
        </is>
      </c>
      <c r="C236" s="2" t="str">
        <f>=HYPERLINK("https://xhslink.com/m/1ru3BUQ4gTm", "https://xhslink.com/m/1ru3BUQ4gTm")</f>
        <v>https://xhslink.com/m/1ru3BUQ4gTm</v>
      </c>
      <c r="D236"/>
      <c r="E236">
        <v>3244</v>
      </c>
      <c r="F236">
        <v>0.99</v>
      </c>
      <c r="G236"/>
      <c r="H236">
        <v>400</v>
      </c>
      <c r="I236">
        <v>2000</v>
      </c>
      <c r="J236"/>
      <c r="K236" t="inlineStr">
        <is>
          <t>PPT</t>
        </is>
      </c>
      <c r="L236" t="inlineStr">
        <is>
          <t>🔥低粉爆款</t>
        </is>
      </c>
      <c r="M236" t="inlineStr">
        <is>
          <t>四叶草资料的店</t>
        </is>
      </c>
      <c r="N236">
        <v>154</v>
      </c>
      <c r="O236">
        <v>3.9</v>
      </c>
      <c r="P236">
        <v>5123</v>
      </c>
      <c r="Q236" t="inlineStr">
        <is>
          <t>68dba104ce94ee0001f361a9</t>
        </is>
      </c>
      <c r="R236" t="inlineStr">
        <is>
          <t>🚫重复</t>
        </is>
      </c>
      <c r="S236" t="inlineStr">
        <is>
          <t>PPT模板</t>
        </is>
      </c>
      <c r="T236" t="inlineStr">
        <is>
          <t>21.06</t>
        </is>
      </c>
      <c r="U236" s="3">
        <v>46112.78107638889</v>
      </c>
      <c r="V236" t="inlineStr">
        <is>
          <t>虚拟产品</t>
        </is>
      </c>
      <c r="W236" s="3">
        <v>46027</v>
      </c>
      <c r="X236" t="inlineStr">
        <is>
          <t>01</t>
        </is>
      </c>
      <c r="Y236" t="inlineStr">
        <is>
          <t>2026-Q1</t>
        </is>
      </c>
    </row>
    <row r="237" ht="38.25" customHeight="1">
      <c r="A237" t="inlineStr">
        <is>
          <t>【限时8.8】25年秋季小学三年级上册期中家长会PPT</t>
        </is>
      </c>
      <c r="B237" t="inlineStr">
        <is>
          <t>recv7pOn6gO4PL.jpg</t>
        </is>
      </c>
      <c r="C237" s="2" t="str">
        <f>=HYPERLINK("https://xhslink.com/m/5oqAWbyVvEz", "https://xhslink.com/m/5oqAWbyVvEz")</f>
        <v>https://xhslink.com/m/5oqAWbyVvEz</v>
      </c>
      <c r="D237"/>
      <c r="E237">
        <v>3194</v>
      </c>
      <c r="F237">
        <v>8.8</v>
      </c>
      <c r="G237"/>
      <c r="H237">
        <v>2500</v>
      </c>
      <c r="I237">
        <v>2000</v>
      </c>
      <c r="J237"/>
      <c r="K237" t="inlineStr">
        <is>
          <t>PPT</t>
        </is>
      </c>
      <c r="L237" t="inlineStr">
        <is>
          <t>🔥低粉爆款</t>
        </is>
      </c>
      <c r="M237" t="inlineStr">
        <is>
          <t>安琪老师的资料铺的店</t>
        </is>
      </c>
      <c r="N237">
        <v>614</v>
      </c>
      <c r="O237">
        <v>4.38</v>
      </c>
      <c r="P237">
        <v>7975</v>
      </c>
      <c r="Q237" t="inlineStr">
        <is>
          <t>69140859611c010001b45982</t>
        </is>
      </c>
      <c r="R237" t="inlineStr">
        <is>
          <t>🚫重复</t>
        </is>
      </c>
      <c r="S237" t="inlineStr">
        <is>
          <t>PPT模板</t>
        </is>
      </c>
      <c r="T237" t="inlineStr">
        <is>
          <t>5.20</t>
        </is>
      </c>
      <c r="U237" s="3">
        <v>46112.78107638889</v>
      </c>
      <c r="V237" t="inlineStr">
        <is>
          <t>虚拟产品</t>
        </is>
      </c>
      <c r="W237" s="3">
        <v>46027</v>
      </c>
      <c r="X237" t="inlineStr">
        <is>
          <t>01</t>
        </is>
      </c>
      <c r="Y237" t="inlineStr">
        <is>
          <t>2026-Q1</t>
        </is>
      </c>
    </row>
    <row r="238" ht="38.25" customHeight="1">
      <c r="A238" t="inlineStr">
        <is>
          <t>国家中小学智慧教育平台课件教案代下载 智慧中小学课件PPT视频</t>
        </is>
      </c>
      <c r="B238" t="inlineStr">
        <is>
          <t>recv7pOn6gaRWB.jpg</t>
        </is>
      </c>
      <c r="C238" s="2" t="str">
        <f>=HYPERLINK("https://xhslink.com/m/5ts74ta8PVq", "https://xhslink.com/m/5ts74ta8PVq")</f>
        <v>https://xhslink.com/m/5ts74ta8PVq</v>
      </c>
      <c r="D238"/>
      <c r="E238">
        <v>3003</v>
      </c>
      <c r="F238">
        <v>1.88</v>
      </c>
      <c r="G238"/>
      <c r="H238">
        <v>200</v>
      </c>
      <c r="I238">
        <v>1000</v>
      </c>
      <c r="J238"/>
      <c r="K238" t="inlineStr">
        <is>
          <t>PPT</t>
        </is>
      </c>
      <c r="L238" t="inlineStr">
        <is>
          <t>🔥低粉爆款</t>
        </is>
      </c>
      <c r="M238" t="inlineStr">
        <is>
          <t>光阴学徒的店</t>
        </is>
      </c>
      <c r="N238">
        <v>296</v>
      </c>
      <c r="O238">
        <v>4.55</v>
      </c>
      <c r="P238">
        <v>3220</v>
      </c>
      <c r="Q238" t="inlineStr">
        <is>
          <t>6816f03ecd029e0001ece80e</t>
        </is>
      </c>
      <c r="R238" t="inlineStr">
        <is>
          <t>🚫重复</t>
        </is>
      </c>
      <c r="S238" t="inlineStr">
        <is>
          <t>中小学教辅/教材</t>
        </is>
      </c>
      <c r="T238" t="inlineStr">
        <is>
          <t>10.15</t>
        </is>
      </c>
      <c r="U238" s="3">
        <v>46112.78107638889</v>
      </c>
      <c r="V238" t="inlineStr">
        <is>
          <t>虚拟产品</t>
        </is>
      </c>
      <c r="W238" s="3">
        <v>46027</v>
      </c>
      <c r="X238" t="inlineStr">
        <is>
          <t>01</t>
        </is>
      </c>
      <c r="Y238" t="inlineStr">
        <is>
          <t>2026-Q1</t>
        </is>
      </c>
    </row>
    <row r="239" ht="38.25" customHeight="1">
      <c r="A239" t="inlineStr">
        <is>
          <t>【限时8.8】25年新款秋季小学一年级上册期中家长会PPT</t>
        </is>
      </c>
      <c r="B239" t="inlineStr">
        <is>
          <t>recv7pOn6glaUx.jpg</t>
        </is>
      </c>
      <c r="C239" s="2" t="str">
        <f>=HYPERLINK("https://xhslink.com/m/Avocyh4RPTW", "https://xhslink.com/m/Avocyh4RPTW")</f>
        <v>https://xhslink.com/m/Avocyh4RPTW</v>
      </c>
      <c r="D239"/>
      <c r="E239">
        <v>1754</v>
      </c>
      <c r="F239">
        <v>8.8</v>
      </c>
      <c r="G239"/>
      <c r="H239">
        <v>1000</v>
      </c>
      <c r="I239">
        <v>1000</v>
      </c>
      <c r="J239"/>
      <c r="K239" t="inlineStr">
        <is>
          <t>PPT</t>
        </is>
      </c>
      <c r="L239"/>
      <c r="M239" t="inlineStr">
        <is>
          <t>安琪老师的资料铺的店</t>
        </is>
      </c>
      <c r="N239">
        <v>614</v>
      </c>
      <c r="O239">
        <v>4.38</v>
      </c>
      <c r="P239">
        <v>7975</v>
      </c>
      <c r="Q239" t="inlineStr">
        <is>
          <t>690c49a25c4f190001acd549</t>
        </is>
      </c>
      <c r="R239" t="inlineStr">
        <is>
          <t>🚫重复</t>
        </is>
      </c>
      <c r="S239" t="inlineStr">
        <is>
          <t>PPT模板</t>
        </is>
      </c>
      <c r="T239" t="inlineStr">
        <is>
          <t>2.86</t>
        </is>
      </c>
      <c r="U239" s="3">
        <v>46112.78107638889</v>
      </c>
      <c r="V239" t="inlineStr">
        <is>
          <t>虚拟产品</t>
        </is>
      </c>
      <c r="W239" s="3">
        <v>46027</v>
      </c>
      <c r="X239" t="inlineStr">
        <is>
          <t>01</t>
        </is>
      </c>
      <c r="Y239" t="inlineStr">
        <is>
          <t>2026-Q1</t>
        </is>
      </c>
    </row>
    <row r="240" ht="38.25" customHeight="1">
      <c r="A240" t="inlineStr">
        <is>
          <t>【秒发】A03公司学校惩罚游戏ppt 团建聚会年会班会课堂</t>
        </is>
      </c>
      <c r="B240" t="inlineStr">
        <is>
          <t>recv7pOn6gXyJT.jpg</t>
        </is>
      </c>
      <c r="C240" s="2" t="str">
        <f>=HYPERLINK("https://xhslink.com/m/8ldwBC40XD1", "https://xhslink.com/m/8ldwBC40XD1")</f>
        <v>https://xhslink.com/m/8ldwBC40XD1</v>
      </c>
      <c r="D240"/>
      <c r="E240">
        <v>2929</v>
      </c>
      <c r="F240">
        <v>3.9</v>
      </c>
      <c r="G240"/>
      <c r="H240">
        <v>350</v>
      </c>
      <c r="I240">
        <v>1000</v>
      </c>
      <c r="J240"/>
      <c r="K240" t="inlineStr">
        <is>
          <t>PPT</t>
        </is>
      </c>
      <c r="L240"/>
      <c r="M240" t="inlineStr">
        <is>
          <t>阿克游戏库😄的店</t>
        </is>
      </c>
      <c r="N240">
        <v>4825</v>
      </c>
      <c r="O240">
        <v>4.55</v>
      </c>
      <c r="P240">
        <v>20000</v>
      </c>
      <c r="Q240" t="inlineStr">
        <is>
          <t>6761a30bbe2f680001efe7d9</t>
        </is>
      </c>
      <c r="R240" t="inlineStr">
        <is>
          <t>🚫重复</t>
        </is>
      </c>
      <c r="S240" t="inlineStr">
        <is>
          <t>PPT模板</t>
        </is>
      </c>
      <c r="T240" t="inlineStr">
        <is>
          <t>0.61</t>
        </is>
      </c>
      <c r="U240" s="3">
        <v>46112.78107638889</v>
      </c>
      <c r="V240" t="inlineStr">
        <is>
          <t>虚拟产品</t>
        </is>
      </c>
      <c r="W240" s="3">
        <v>46027</v>
      </c>
      <c r="X240" t="inlineStr">
        <is>
          <t>01</t>
        </is>
      </c>
      <c r="Y240" t="inlineStr">
        <is>
          <t>2026-Q1</t>
        </is>
      </c>
    </row>
    <row r="241" ht="38.25" customHeight="1">
      <c r="A241" t="inlineStr">
        <is>
          <t>语文一年级上册 精品ppt课件教案 (支持单课）请看详情收货</t>
        </is>
      </c>
      <c r="B241" t="inlineStr">
        <is>
          <t>recv7pOn6gKUV2.jpg</t>
        </is>
      </c>
      <c r="C241" s="2" t="str">
        <f>=HYPERLINK("https://xhslink.com/m/hISn0Qjwdy", "https://xhslink.com/m/hISn0Qjwdy")</f>
        <v>https://xhslink.com/m/hISn0Qjwdy</v>
      </c>
      <c r="D241"/>
      <c r="E241">
        <v>2760</v>
      </c>
      <c r="F241">
        <v>0.1</v>
      </c>
      <c r="G241"/>
      <c r="H241">
        <v>500</v>
      </c>
      <c r="I241">
        <v>1000</v>
      </c>
      <c r="J241"/>
      <c r="K241" t="inlineStr">
        <is>
          <t>PPT</t>
        </is>
      </c>
      <c r="L241"/>
      <c r="M241" t="inlineStr">
        <is>
          <t>聚优课件教案的店</t>
        </is>
      </c>
      <c r="N241">
        <v>5984</v>
      </c>
      <c r="O241">
        <v>4.44</v>
      </c>
      <c r="P241">
        <v>21000</v>
      </c>
      <c r="Q241" t="inlineStr">
        <is>
          <t>680f90884dac330001dfcb5e</t>
        </is>
      </c>
      <c r="R241" t="inlineStr">
        <is>
          <t>🚫重复</t>
        </is>
      </c>
      <c r="S241" t="inlineStr">
        <is>
          <t>中小学教辅/教材</t>
        </is>
      </c>
      <c r="T241" t="inlineStr">
        <is>
          <t>0.46</t>
        </is>
      </c>
      <c r="U241" s="3">
        <v>46112.78107638889</v>
      </c>
      <c r="V241" t="inlineStr">
        <is>
          <t>虚拟产品</t>
        </is>
      </c>
      <c r="W241" s="3">
        <v>46027</v>
      </c>
      <c r="X241" t="inlineStr">
        <is>
          <t>01</t>
        </is>
      </c>
      <c r="Y241" t="inlineStr">
        <is>
          <t>2026-Q1</t>
        </is>
      </c>
    </row>
    <row r="242" ht="38.25" customHeight="1">
      <c r="A242" t="inlineStr">
        <is>
          <t>《谁吃了我的苹果》幼儿园小班语言领域绘本公开课教案PPT课件</t>
        </is>
      </c>
      <c r="B242" t="inlineStr">
        <is>
          <t>recv7pOn6gqKSm.jpg</t>
        </is>
      </c>
      <c r="C242" s="2" t="str">
        <f>=HYPERLINK("https://xhslink.com/m/6S2yhtSWu12", "https://xhslink.com/m/6S2yhtSWu12")</f>
        <v>https://xhslink.com/m/6S2yhtSWu12</v>
      </c>
      <c r="D242"/>
      <c r="E242">
        <v>2742</v>
      </c>
      <c r="F242">
        <v>6.6</v>
      </c>
      <c r="G242"/>
      <c r="H242">
        <v>350</v>
      </c>
      <c r="I242">
        <v>1000</v>
      </c>
      <c r="J242"/>
      <c r="K242" t="inlineStr">
        <is>
          <t>PPT</t>
        </is>
      </c>
      <c r="L242"/>
      <c r="M242" t="inlineStr">
        <is>
          <t>小鹿老师幼儿教育咨询的店</t>
        </is>
      </c>
      <c r="N242">
        <v>3523</v>
      </c>
      <c r="O242">
        <v>4.47</v>
      </c>
      <c r="P242">
        <v>18000</v>
      </c>
      <c r="Q242" t="inlineStr">
        <is>
          <t>674e9757bdb5900001826d7a</t>
        </is>
      </c>
      <c r="R242" t="inlineStr">
        <is>
          <t>🚫重复</t>
        </is>
      </c>
      <c r="S242" t="inlineStr">
        <is>
          <t>幼教资料</t>
        </is>
      </c>
      <c r="T242" t="inlineStr">
        <is>
          <t>0.78</t>
        </is>
      </c>
      <c r="U242" s="3">
        <v>46112.78107638889</v>
      </c>
      <c r="V242" t="inlineStr">
        <is>
          <t>虚拟产品</t>
        </is>
      </c>
      <c r="W242" s="3">
        <v>46027</v>
      </c>
      <c r="X242" t="inlineStr">
        <is>
          <t>01</t>
        </is>
      </c>
      <c r="Y242" t="inlineStr">
        <is>
          <t>2026-Q1</t>
        </is>
      </c>
    </row>
    <row r="243" ht="38.25" customHeight="1">
      <c r="A243" t="inlineStr">
        <is>
          <t>PPT模板内容可编辑修改（下单选择编号）</t>
        </is>
      </c>
      <c r="B243" t="inlineStr">
        <is>
          <t>recv7pOn6g05lO.jpg</t>
        </is>
      </c>
      <c r="C243" s="2" t="str">
        <f>=HYPERLINK("https://xhslink.com/m/Acjte0aZkS8", "https://xhslink.com/m/Acjte0aZkS8")</f>
        <v>https://xhslink.com/m/Acjte0aZkS8</v>
      </c>
      <c r="D243"/>
      <c r="E243">
        <v>2701</v>
      </c>
      <c r="F243">
        <v>4.9</v>
      </c>
      <c r="G243"/>
      <c r="H243">
        <v>350</v>
      </c>
      <c r="I243">
        <v>1000</v>
      </c>
      <c r="J243"/>
      <c r="K243" t="inlineStr">
        <is>
          <t>PPT</t>
        </is>
      </c>
      <c r="L243"/>
      <c r="M243" t="inlineStr">
        <is>
          <t>阿欣爱分享的店</t>
        </is>
      </c>
      <c r="N243">
        <v>2715</v>
      </c>
      <c r="O243">
        <v>4.48</v>
      </c>
      <c r="P243">
        <v>23000</v>
      </c>
      <c r="Q243" t="inlineStr">
        <is>
          <t>67777b83365be4000159abd7</t>
        </is>
      </c>
      <c r="R243" t="inlineStr">
        <is>
          <t>🚫重复</t>
        </is>
      </c>
      <c r="S243" t="inlineStr">
        <is>
          <t>PPT模板</t>
        </is>
      </c>
      <c r="T243" t="inlineStr">
        <is>
          <t>0.99</t>
        </is>
      </c>
      <c r="U243" s="3">
        <v>46112.78107638889</v>
      </c>
      <c r="V243" t="inlineStr">
        <is>
          <t>虚拟产品</t>
        </is>
      </c>
      <c r="W243" s="3">
        <v>46027</v>
      </c>
      <c r="X243" t="inlineStr">
        <is>
          <t>01</t>
        </is>
      </c>
      <c r="Y243" t="inlineStr">
        <is>
          <t>2026-Q1</t>
        </is>
      </c>
    </row>
    <row r="244" ht="38.25" customHeight="1">
      <c r="A244" t="inlineStr">
        <is>
          <t>PPT模板内容可编辑修改（下单选择编号）</t>
        </is>
      </c>
      <c r="B244" t="inlineStr">
        <is>
          <t>recv7pOn6gZZub.jpg</t>
        </is>
      </c>
      <c r="C244" s="2" t="str">
        <f>=HYPERLINK("https://xhslink.com/m/9hbc5QUXlxn", "https://xhslink.com/m/9hbc5QUXlxn")</f>
        <v>https://xhslink.com/m/9hbc5QUXlxn</v>
      </c>
      <c r="D244"/>
      <c r="E244">
        <v>2701</v>
      </c>
      <c r="F244">
        <v>4.9</v>
      </c>
      <c r="G244"/>
      <c r="H244">
        <v>350</v>
      </c>
      <c r="I244">
        <v>1000</v>
      </c>
      <c r="J244"/>
      <c r="K244" t="inlineStr">
        <is>
          <t>PPT</t>
        </is>
      </c>
      <c r="L244"/>
      <c r="M244" t="inlineStr">
        <is>
          <t>阿欣爱分享的店</t>
        </is>
      </c>
      <c r="N244">
        <v>2715</v>
      </c>
      <c r="O244">
        <v>4.48</v>
      </c>
      <c r="P244">
        <v>23000</v>
      </c>
      <c r="Q244" t="inlineStr">
        <is>
          <t>68bc0ae72773df0001d8e231</t>
        </is>
      </c>
      <c r="R244" t="inlineStr">
        <is>
          <t>🚫重复</t>
        </is>
      </c>
      <c r="S244" t="inlineStr">
        <is>
          <t>PPT模板</t>
        </is>
      </c>
      <c r="T244" t="inlineStr">
        <is>
          <t>0.99</t>
        </is>
      </c>
      <c r="U244" s="3">
        <v>46112.78107638889</v>
      </c>
      <c r="V244" t="inlineStr">
        <is>
          <t>虚拟产品</t>
        </is>
      </c>
      <c r="W244" s="3">
        <v>46027</v>
      </c>
      <c r="X244" t="inlineStr">
        <is>
          <t>01</t>
        </is>
      </c>
      <c r="Y244" t="inlineStr">
        <is>
          <t>2026-Q1</t>
        </is>
      </c>
    </row>
    <row r="245" ht="38.25" customHeight="1">
      <c r="A245" t="inlineStr">
        <is>
          <t>班主任必备：非物质奖励兑换券《pdf/ppt可自行编辑》</t>
        </is>
      </c>
      <c r="B245" t="inlineStr">
        <is>
          <t>recv7pOn6gSago.jpg</t>
        </is>
      </c>
      <c r="C245" s="2" t="str">
        <f>=HYPERLINK("https://xhslink.com/m/1u1R4SQdopy", "https://xhslink.com/m/1u1R4SQdopy")</f>
        <v>https://xhslink.com/m/1u1R4SQdopy</v>
      </c>
      <c r="D245"/>
      <c r="E245">
        <v>2593</v>
      </c>
      <c r="F245">
        <v>0.99</v>
      </c>
      <c r="G245"/>
      <c r="H245">
        <v>450</v>
      </c>
      <c r="I245">
        <v>1000</v>
      </c>
      <c r="J245"/>
      <c r="K245" t="inlineStr">
        <is>
          <t>PPT</t>
        </is>
      </c>
      <c r="L245"/>
      <c r="M245" t="inlineStr">
        <is>
          <t>小小瑶老师的店</t>
        </is>
      </c>
      <c r="N245">
        <v>4406</v>
      </c>
      <c r="O245">
        <v>4.42</v>
      </c>
      <c r="P245">
        <v>3833</v>
      </c>
      <c r="Q245" t="inlineStr">
        <is>
          <t>68b6d3380c1e9b0001ce708a</t>
        </is>
      </c>
      <c r="R245"/>
      <c r="S245" t="inlineStr">
        <is>
          <t>老师资料</t>
        </is>
      </c>
      <c r="T245" t="inlineStr">
        <is>
          <t>0.59</t>
        </is>
      </c>
      <c r="U245" s="3">
        <v>46112.78107638889</v>
      </c>
      <c r="V245" t="inlineStr">
        <is>
          <t>虚拟产品</t>
        </is>
      </c>
      <c r="W245" s="3">
        <v>46027</v>
      </c>
      <c r="X245" t="inlineStr">
        <is>
          <t>01</t>
        </is>
      </c>
      <c r="Y245" t="inlineStr">
        <is>
          <t>2026-Q1</t>
        </is>
      </c>
    </row>
    <row r="246" ht="38.25" customHeight="1">
      <c r="A246" t="inlineStr">
        <is>
          <t>持续更新 14套晕染风答辩PPT模版.</t>
        </is>
      </c>
      <c r="B246" t="inlineStr">
        <is>
          <t>recv7pOn6grkqC.jpg</t>
        </is>
      </c>
      <c r="C246" s="2" t="str">
        <f>=HYPERLINK("https://xhslink.com/m/792IB3uBs6N", "https://xhslink.com/m/792IB3uBs6N")</f>
        <v>https://xhslink.com/m/792IB3uBs6N</v>
      </c>
      <c r="D246"/>
      <c r="E246">
        <v>2542</v>
      </c>
      <c r="F246">
        <v>3.99</v>
      </c>
      <c r="G246"/>
      <c r="H246">
        <v>400</v>
      </c>
      <c r="I246">
        <v>1000</v>
      </c>
      <c r="J246"/>
      <c r="K246" t="inlineStr">
        <is>
          <t>PPT</t>
        </is>
      </c>
      <c r="L246"/>
      <c r="M246" t="inlineStr">
        <is>
          <t>ERGE素材基地的店</t>
        </is>
      </c>
      <c r="N246">
        <v>14000</v>
      </c>
      <c r="O246">
        <v>4.55</v>
      </c>
      <c r="P246">
        <v>120000</v>
      </c>
      <c r="Q246" t="inlineStr">
        <is>
          <t>681dea7e81f9bc000173bd29</t>
        </is>
      </c>
      <c r="R246" t="inlineStr">
        <is>
          <t>🚫重复</t>
        </is>
      </c>
      <c r="S246" t="inlineStr">
        <is>
          <t>PPT模板</t>
        </is>
      </c>
      <c r="T246" t="inlineStr">
        <is>
          <t>0.18</t>
        </is>
      </c>
      <c r="U246" s="3">
        <v>46112.78107638889</v>
      </c>
      <c r="V246" t="inlineStr">
        <is>
          <t>虚拟产品</t>
        </is>
      </c>
      <c r="W246" s="3">
        <v>46027</v>
      </c>
      <c r="X246" t="inlineStr">
        <is>
          <t>01</t>
        </is>
      </c>
      <c r="Y246" t="inlineStr">
        <is>
          <t>2026-Q1</t>
        </is>
      </c>
    </row>
    <row r="247" ht="38.25" customHeight="1">
      <c r="A247" t="inlineStr">
        <is>
          <t>（通用版）家校携手同心，共育繁花成长家长会PPT，共39页</t>
        </is>
      </c>
      <c r="B247" t="inlineStr">
        <is>
          <t>recv7pOn6gqCOQ.jpg</t>
        </is>
      </c>
      <c r="C247" s="2" t="str">
        <f>=HYPERLINK("https://xhslink.com/m/2gSK2xCR7yT", "https://xhslink.com/m/2gSK2xCR7yT")</f>
        <v>https://xhslink.com/m/2gSK2xCR7yT</v>
      </c>
      <c r="D247"/>
      <c r="E247">
        <v>2453</v>
      </c>
      <c r="F247">
        <v>9.99</v>
      </c>
      <c r="G247"/>
      <c r="H247">
        <v>2000</v>
      </c>
      <c r="I247">
        <v>2000</v>
      </c>
      <c r="J247"/>
      <c r="K247" t="inlineStr">
        <is>
          <t>PPT</t>
        </is>
      </c>
      <c r="L247"/>
      <c r="M247" t="inlineStr">
        <is>
          <t>小雅老师.的店</t>
        </is>
      </c>
      <c r="N247">
        <v>49000</v>
      </c>
      <c r="O247">
        <v>4.59</v>
      </c>
      <c r="P247">
        <v>75000</v>
      </c>
      <c r="Q247" t="inlineStr">
        <is>
          <t>691b59d1e8b9d4000175e3f7</t>
        </is>
      </c>
      <c r="R247" t="inlineStr">
        <is>
          <t>🚫重复</t>
        </is>
      </c>
      <c r="S247" t="inlineStr">
        <is>
          <t>PPT模板</t>
        </is>
      </c>
      <c r="T247" t="inlineStr">
        <is>
          <t>0.05</t>
        </is>
      </c>
      <c r="U247" s="3">
        <v>46112.78107638889</v>
      </c>
      <c r="V247" t="inlineStr">
        <is>
          <t>虚拟产品</t>
        </is>
      </c>
      <c r="W247" s="3">
        <v>46027</v>
      </c>
      <c r="X247" t="inlineStr">
        <is>
          <t>01</t>
        </is>
      </c>
      <c r="Y247" t="inlineStr">
        <is>
          <t>2026-Q1</t>
        </is>
      </c>
    </row>
    <row r="248" ht="38.25" customHeight="1">
      <c r="A248" t="inlineStr">
        <is>
          <t>表彰颁奖大会PPT课件</t>
        </is>
      </c>
      <c r="B248" t="inlineStr">
        <is>
          <t>recv7pOn6gNYDO.jpg</t>
        </is>
      </c>
      <c r="C248" s="2" t="str">
        <f>=HYPERLINK("https://xhslink.com/m/2HGEg5FpN1x", "https://xhslink.com/m/2HGEg5FpN1x")</f>
        <v>https://xhslink.com/m/2HGEg5FpN1x</v>
      </c>
      <c r="D248"/>
      <c r="E248">
        <v>2364</v>
      </c>
      <c r="F248">
        <v>9.99</v>
      </c>
      <c r="G248"/>
      <c r="H248">
        <v>1500</v>
      </c>
      <c r="I248">
        <v>1000</v>
      </c>
      <c r="J248"/>
      <c r="K248" t="inlineStr">
        <is>
          <t>PPT</t>
        </is>
      </c>
      <c r="L248"/>
      <c r="M248" t="inlineStr">
        <is>
          <t>小雅老师.的店</t>
        </is>
      </c>
      <c r="N248">
        <v>49000</v>
      </c>
      <c r="O248">
        <v>4.59</v>
      </c>
      <c r="P248">
        <v>75000</v>
      </c>
      <c r="Q248" t="inlineStr">
        <is>
          <t>6804966df1ef950001c0e5b8</t>
        </is>
      </c>
      <c r="R248" t="inlineStr">
        <is>
          <t>🚫重复</t>
        </is>
      </c>
      <c r="S248" t="inlineStr">
        <is>
          <t>PPT模板</t>
        </is>
      </c>
      <c r="T248" t="inlineStr">
        <is>
          <t>0.05</t>
        </is>
      </c>
      <c r="U248" s="3">
        <v>46112.78107638889</v>
      </c>
      <c r="V248" t="inlineStr">
        <is>
          <t>虚拟产品</t>
        </is>
      </c>
      <c r="W248" s="3">
        <v>46027</v>
      </c>
      <c r="X248" t="inlineStr">
        <is>
          <t>01</t>
        </is>
      </c>
      <c r="Y248" t="inlineStr">
        <is>
          <t>2026-Q1</t>
        </is>
      </c>
    </row>
    <row r="249" ht="38.25" customHeight="1">
      <c r="A249" t="inlineStr">
        <is>
          <t>游戏PPT - 猜泰国广告（NO.024）</t>
        </is>
      </c>
      <c r="B249" t="inlineStr">
        <is>
          <t>recv7pOn6gLchR.jpg</t>
        </is>
      </c>
      <c r="C249" s="2" t="str">
        <f>=HYPERLINK("https://xhslink.com/m/9JiEsQZNwXD", "https://xhslink.com/m/9JiEsQZNwXD")</f>
        <v>https://xhslink.com/m/9JiEsQZNwXD</v>
      </c>
      <c r="D249"/>
      <c r="E249">
        <v>2280</v>
      </c>
      <c r="F249">
        <v>4.6</v>
      </c>
      <c r="G249"/>
      <c r="H249">
        <v>450</v>
      </c>
      <c r="I249">
        <v>1000</v>
      </c>
      <c r="J249"/>
      <c r="K249" t="inlineStr">
        <is>
          <t>PPT</t>
        </is>
      </c>
      <c r="L249"/>
      <c r="M249" t="inlineStr">
        <is>
          <t>玉米PPT的店</t>
        </is>
      </c>
      <c r="N249">
        <v>2882</v>
      </c>
      <c r="O249">
        <v>4.52</v>
      </c>
      <c r="P249">
        <v>25000</v>
      </c>
      <c r="Q249" t="inlineStr">
        <is>
          <t>68707d9c3f6e4500011e5c29</t>
        </is>
      </c>
      <c r="R249" t="inlineStr">
        <is>
          <t>🚫重复</t>
        </is>
      </c>
      <c r="S249" t="inlineStr">
        <is>
          <t>PPT模板</t>
        </is>
      </c>
      <c r="T249" t="inlineStr">
        <is>
          <t>0.79</t>
        </is>
      </c>
      <c r="U249" s="3">
        <v>46112.78107638889</v>
      </c>
      <c r="V249" t="inlineStr">
        <is>
          <t>虚拟产品</t>
        </is>
      </c>
      <c r="W249" s="3">
        <v>46027</v>
      </c>
      <c r="X249" t="inlineStr">
        <is>
          <t>01</t>
        </is>
      </c>
      <c r="Y249" t="inlineStr">
        <is>
          <t>2026-Q1</t>
        </is>
      </c>
    </row>
    <row r="250" ht="38.25" customHeight="1">
      <c r="A250" t="inlineStr">
        <is>
          <t>自动秒发货！五上语文（统编版）PPT课件电子版+教学设计</t>
        </is>
      </c>
      <c r="B250" t="inlineStr">
        <is>
          <t>recv7pOn6gcMdl.jpg</t>
        </is>
      </c>
      <c r="C250" s="2" t="str">
        <f>=HYPERLINK("https://xhslink.com/m/1AdmYZZz14a", "https://xhslink.com/m/1AdmYZZz14a")</f>
        <v>https://xhslink.com/m/1AdmYZZz14a</v>
      </c>
      <c r="D250"/>
      <c r="E250">
        <v>2084</v>
      </c>
      <c r="F250">
        <v>6.9</v>
      </c>
      <c r="G250"/>
      <c r="H250">
        <v>500</v>
      </c>
      <c r="I250">
        <v>1000</v>
      </c>
      <c r="J250"/>
      <c r="K250" t="inlineStr">
        <is>
          <t>PPT</t>
        </is>
      </c>
      <c r="L250"/>
      <c r="M250" t="inlineStr">
        <is>
          <t>皮卡素材资料库的店</t>
        </is>
      </c>
      <c r="N250">
        <v>1068</v>
      </c>
      <c r="O250">
        <v>4.41</v>
      </c>
      <c r="P250">
        <v>23000</v>
      </c>
      <c r="Q250" t="inlineStr">
        <is>
          <t>6873cf9d4485460001d2cd0e</t>
        </is>
      </c>
      <c r="R250" t="inlineStr">
        <is>
          <t>🚫重复</t>
        </is>
      </c>
      <c r="S250" t="inlineStr">
        <is>
          <t>PPT模板</t>
        </is>
      </c>
      <c r="T250" t="inlineStr">
        <is>
          <t>1.95</t>
        </is>
      </c>
      <c r="U250" s="3">
        <v>46112.78107638889</v>
      </c>
      <c r="V250" t="inlineStr">
        <is>
          <t>虚拟产品</t>
        </is>
      </c>
      <c r="W250" s="3">
        <v>46027</v>
      </c>
      <c r="X250" t="inlineStr">
        <is>
          <t>01</t>
        </is>
      </c>
      <c r="Y250" t="inlineStr">
        <is>
          <t>2026-Q1</t>
        </is>
      </c>
    </row>
    <row r="251" ht="38.25" customHeight="1">
      <c r="A251" t="inlineStr">
        <is>
          <t>自动秒发货！高级感PPT模板电子版3（版式看主页笔记，已勾选）</t>
        </is>
      </c>
      <c r="B251" t="inlineStr">
        <is>
          <t>recv7pOn6gKS2W.jpg</t>
        </is>
      </c>
      <c r="C251" s="2" t="str">
        <f>=HYPERLINK("https://xhslink.com/m/7Stx4LfUbiX", "https://xhslink.com/m/7Stx4LfUbiX")</f>
        <v>https://xhslink.com/m/7Stx4LfUbiX</v>
      </c>
      <c r="D251"/>
      <c r="E251">
        <v>2037</v>
      </c>
      <c r="F251">
        <v>4.99</v>
      </c>
      <c r="G251"/>
      <c r="H251">
        <v>450</v>
      </c>
      <c r="I251">
        <v>1000</v>
      </c>
      <c r="J251"/>
      <c r="K251" t="inlineStr">
        <is>
          <t>PPT</t>
        </is>
      </c>
      <c r="L251"/>
      <c r="M251" t="inlineStr">
        <is>
          <t>小纸盒PPT的店</t>
        </is>
      </c>
      <c r="N251">
        <v>11000</v>
      </c>
      <c r="O251">
        <v>4.38</v>
      </c>
      <c r="P251">
        <v>46000</v>
      </c>
      <c r="Q251" t="inlineStr">
        <is>
          <t>681ac27b605b3a0001bab6ea</t>
        </is>
      </c>
      <c r="R251" t="inlineStr">
        <is>
          <t>🚫重复</t>
        </is>
      </c>
      <c r="S251" t="inlineStr">
        <is>
          <t>PPT模板</t>
        </is>
      </c>
      <c r="T251" t="inlineStr">
        <is>
          <t>0.19</t>
        </is>
      </c>
      <c r="U251" s="3">
        <v>46112.78107638889</v>
      </c>
      <c r="V251" t="inlineStr">
        <is>
          <t>虚拟产品</t>
        </is>
      </c>
      <c r="W251" s="3">
        <v>46027</v>
      </c>
      <c r="X251" t="inlineStr">
        <is>
          <t>01</t>
        </is>
      </c>
      <c r="Y251" t="inlineStr">
        <is>
          <t>2026-Q1</t>
        </is>
      </c>
    </row>
    <row r="252" ht="38.25" customHeight="1">
      <c r="A252" t="inlineStr">
        <is>
          <t>高级感国潮古风中国风博物馆水墨古典文化艺术通用ppt幻灯片模版</t>
        </is>
      </c>
      <c r="B252" t="inlineStr">
        <is>
          <t>recv7pOn6gv0LR.jpg</t>
        </is>
      </c>
      <c r="C252" s="2" t="str">
        <f>=HYPERLINK("https://xhslink.com/m/6YbJHT01TIH", "https://xhslink.com/m/6YbJHT01TIH")</f>
        <v>https://xhslink.com/m/6YbJHT01TIH</v>
      </c>
      <c r="D252"/>
      <c r="E252">
        <v>2016</v>
      </c>
      <c r="F252">
        <v>5</v>
      </c>
      <c r="G252"/>
      <c r="H252">
        <v>250</v>
      </c>
      <c r="I252">
        <v>1000</v>
      </c>
      <c r="J252"/>
      <c r="K252" t="inlineStr">
        <is>
          <t>PPT</t>
        </is>
      </c>
      <c r="L252"/>
      <c r="M252" t="inlineStr">
        <is>
          <t>印象素材资源的店</t>
        </is>
      </c>
      <c r="N252">
        <v>2310</v>
      </c>
      <c r="O252">
        <v>4.62</v>
      </c>
      <c r="P252">
        <v>21000</v>
      </c>
      <c r="Q252" t="inlineStr">
        <is>
          <t>674bf657a7f7b30001841506</t>
        </is>
      </c>
      <c r="R252" t="inlineStr">
        <is>
          <t>🚫重复</t>
        </is>
      </c>
      <c r="S252" t="inlineStr">
        <is>
          <t>PPT模板</t>
        </is>
      </c>
      <c r="T252" t="inlineStr">
        <is>
          <t>0.87</t>
        </is>
      </c>
      <c r="U252" s="3">
        <v>46112.78107638889</v>
      </c>
      <c r="V252" t="inlineStr">
        <is>
          <t>虚拟产品</t>
        </is>
      </c>
      <c r="W252" s="3">
        <v>46027</v>
      </c>
      <c r="X252" t="inlineStr">
        <is>
          <t>01</t>
        </is>
      </c>
      <c r="Y252" t="inlineStr">
        <is>
          <t>2026-Q1</t>
        </is>
      </c>
    </row>
    <row r="253" ht="38.25" customHeight="1">
      <c r="A253" t="inlineStr">
        <is>
          <t>【一上语文】期中家长会ppt课件+发言稿+暖场视频+亲子互动问卷</t>
        </is>
      </c>
      <c r="B253" t="inlineStr">
        <is>
          <t>recv7pOn6giaoh.jpg</t>
        </is>
      </c>
      <c r="C253" s="2" t="str">
        <f>=HYPERLINK("https://xhslink.com/m/3uoT7dlgWc", "https://xhslink.com/m/3uoT7dlgWc")</f>
        <v>https://xhslink.com/m/3uoT7dlgWc</v>
      </c>
      <c r="D253"/>
      <c r="E253">
        <v>1994</v>
      </c>
      <c r="F253">
        <v>9.99</v>
      </c>
      <c r="G253"/>
      <c r="H253">
        <v>1500</v>
      </c>
      <c r="I253">
        <v>1000</v>
      </c>
      <c r="J253"/>
      <c r="K253" t="inlineStr">
        <is>
          <t>PPT</t>
        </is>
      </c>
      <c r="L253"/>
      <c r="M253" t="inlineStr">
        <is>
          <t>神说原野的店</t>
        </is>
      </c>
      <c r="N253">
        <v>7626</v>
      </c>
      <c r="O253">
        <v>4.63</v>
      </c>
      <c r="P253">
        <v>38000</v>
      </c>
      <c r="Q253" t="inlineStr">
        <is>
          <t>68f70c85c4f89100019ce037</t>
        </is>
      </c>
      <c r="R253" t="inlineStr">
        <is>
          <t>🚫重复</t>
        </is>
      </c>
      <c r="S253" t="inlineStr">
        <is>
          <t>PPT模板</t>
        </is>
      </c>
      <c r="T253" t="inlineStr">
        <is>
          <t>0.26</t>
        </is>
      </c>
      <c r="U253" s="3">
        <v>46112.78107638889</v>
      </c>
      <c r="V253" t="inlineStr">
        <is>
          <t>虚拟产品</t>
        </is>
      </c>
      <c r="W253" s="3">
        <v>46027</v>
      </c>
      <c r="X253" t="inlineStr">
        <is>
          <t>01</t>
        </is>
      </c>
      <c r="Y253" t="inlineStr">
        <is>
          <t>2026-Q1</t>
        </is>
      </c>
    </row>
    <row r="254" ht="38.25" customHeight="1">
      <c r="A254" t="inlineStr">
        <is>
          <t>【三上】第6单元ppt课件教案</t>
        </is>
      </c>
      <c r="B254" t="inlineStr">
        <is>
          <t>recv7pOn6gsWaD.jpg</t>
        </is>
      </c>
      <c r="C254" s="2" t="str">
        <f>=HYPERLINK("https://xhslink.com/m/8LgLSCUoJ55", "https://xhslink.com/m/8LgLSCUoJ55")</f>
        <v>https://xhslink.com/m/8LgLSCUoJ55</v>
      </c>
      <c r="D254"/>
      <c r="E254">
        <v>1967</v>
      </c>
      <c r="F254">
        <v>9.9</v>
      </c>
      <c r="G254"/>
      <c r="H254">
        <v>850</v>
      </c>
      <c r="I254">
        <v>1000</v>
      </c>
      <c r="J254"/>
      <c r="K254" t="inlineStr">
        <is>
          <t>PPT</t>
        </is>
      </c>
      <c r="L254"/>
      <c r="M254" t="inlineStr">
        <is>
          <t>小瓜瓜的语文课的店</t>
        </is>
      </c>
      <c r="N254">
        <v>32000</v>
      </c>
      <c r="O254">
        <v>4.58</v>
      </c>
      <c r="P254">
        <v>14000</v>
      </c>
      <c r="Q254" t="inlineStr">
        <is>
          <t>68d26d119176f50001cf46f4</t>
        </is>
      </c>
      <c r="R254"/>
      <c r="S254" t="inlineStr">
        <is>
          <t>PPT模板</t>
        </is>
      </c>
      <c r="T254" t="inlineStr">
        <is>
          <t>0.06</t>
        </is>
      </c>
      <c r="U254" s="3">
        <v>46112.78107638889</v>
      </c>
      <c r="V254" t="inlineStr">
        <is>
          <t>虚拟产品</t>
        </is>
      </c>
      <c r="W254" s="3">
        <v>46027</v>
      </c>
      <c r="X254" t="inlineStr">
        <is>
          <t>01</t>
        </is>
      </c>
      <c r="Y254" t="inlineStr">
        <is>
          <t>2026-Q1</t>
        </is>
      </c>
    </row>
    <row r="255" ht="38.25" customHeight="1">
      <c r="A255" t="inlineStr">
        <is>
          <t>苹果ipad画画软件procreate全家桶笔刷/教程安卓勿拍</t>
        </is>
      </c>
      <c r="B255" t="inlineStr">
        <is>
          <t>recv7pOn6gr9e9.jpg</t>
        </is>
      </c>
      <c r="C255" s="2" t="str">
        <f>=HYPERLINK("https://xhslink.com/m/3LoaqpgdxHk", "https://xhslink.com/m/3LoaqpgdxHk")</f>
        <v>https://xhslink.com/m/3LoaqpgdxHk</v>
      </c>
      <c r="D255"/>
      <c r="E255">
        <v>12000</v>
      </c>
      <c r="F255">
        <v>6.99</v>
      </c>
      <c r="G255"/>
      <c r="H255">
        <v>350</v>
      </c>
      <c r="I255">
        <v>1000</v>
      </c>
      <c r="J255"/>
      <c r="K255" t="inlineStr">
        <is>
          <t>教程</t>
        </is>
      </c>
      <c r="L255" t="inlineStr">
        <is>
          <t>🔥低粉爆款</t>
        </is>
      </c>
      <c r="M255" t="inlineStr">
        <is>
          <t>小媛同学爱玩游戏的店</t>
        </is>
      </c>
      <c r="N255">
        <v>354</v>
      </c>
      <c r="O255">
        <v>4.51</v>
      </c>
      <c r="P255">
        <v>14000</v>
      </c>
      <c r="Q255" t="inlineStr">
        <is>
          <t>6887643922713e00015b8e03</t>
        </is>
      </c>
      <c r="R255"/>
      <c r="S255" t="inlineStr">
        <is>
          <t>软件应用</t>
        </is>
      </c>
      <c r="T255" t="inlineStr">
        <is>
          <t>33.90</t>
        </is>
      </c>
      <c r="U255" s="3">
        <v>46112.78107638889</v>
      </c>
      <c r="V255" t="inlineStr">
        <is>
          <t>虚拟产品</t>
        </is>
      </c>
      <c r="W255" s="3">
        <v>46027</v>
      </c>
      <c r="X255" t="inlineStr">
        <is>
          <t>01</t>
        </is>
      </c>
      <c r="Y255" t="inlineStr">
        <is>
          <t>2026-Q1</t>
        </is>
      </c>
    </row>
    <row r="256" ht="38.25" customHeight="1">
      <c r="A256" t="inlineStr">
        <is>
          <t>早读神器多主题网页版｜无需联网｜含使用教程读书集能量</t>
        </is>
      </c>
      <c r="B256" t="inlineStr">
        <is>
          <t>recv7pOn6gg66Z.jpg</t>
        </is>
      </c>
      <c r="C256" s="2" t="str">
        <f>=HYPERLINK("https://xhslink.com/m/2pt6JGsTK1z", "https://xhslink.com/m/2pt6JGsTK1z")</f>
        <v>https://xhslink.com/m/2pt6JGsTK1z</v>
      </c>
      <c r="D256"/>
      <c r="E256">
        <v>4743</v>
      </c>
      <c r="F256">
        <v>16.8</v>
      </c>
      <c r="G256"/>
      <c r="H256">
        <v>750</v>
      </c>
      <c r="I256">
        <v>2000</v>
      </c>
      <c r="J256"/>
      <c r="K256" t="inlineStr">
        <is>
          <t>班级</t>
        </is>
      </c>
      <c r="L256"/>
      <c r="M256" t="inlineStr">
        <is>
          <t>小邓的教学日记的店</t>
        </is>
      </c>
      <c r="N256">
        <v>2188</v>
      </c>
      <c r="O256">
        <v>4.6</v>
      </c>
      <c r="P256">
        <v>15000</v>
      </c>
      <c r="Q256" t="inlineStr">
        <is>
          <t>694502a0bd92f50001cbd122</t>
        </is>
      </c>
      <c r="R256" t="inlineStr">
        <is>
          <t>🚫重复</t>
        </is>
      </c>
      <c r="S256" t="inlineStr">
        <is>
          <t>无匹配类别</t>
        </is>
      </c>
      <c r="T256" t="inlineStr">
        <is>
          <t>2.17</t>
        </is>
      </c>
      <c r="U256" s="3">
        <v>46112.78107638889</v>
      </c>
      <c r="V256" t="inlineStr">
        <is>
          <t>虚拟产品</t>
        </is>
      </c>
      <c r="W256" s="3">
        <v>46027</v>
      </c>
      <c r="X256" t="inlineStr">
        <is>
          <t>01</t>
        </is>
      </c>
      <c r="Y256" t="inlineStr">
        <is>
          <t>2026-Q1</t>
        </is>
      </c>
    </row>
    <row r="257" ht="38.25" customHeight="1">
      <c r="A257" t="inlineStr">
        <is>
          <t>班级小组积分 可以课件悬浮 离线保存 无需安装 可放U盘 教师好物</t>
        </is>
      </c>
      <c r="B257" t="inlineStr">
        <is>
          <t>recv7pOn6g3Coa.jpg</t>
        </is>
      </c>
      <c r="C257" s="2" t="str">
        <f>=HYPERLINK("https://xhslink.com/m/8bR6YkIgNDE", "https://xhslink.com/m/8bR6YkIgNDE")</f>
        <v>https://xhslink.com/m/8bR6YkIgNDE</v>
      </c>
      <c r="D257"/>
      <c r="E257">
        <v>2998</v>
      </c>
      <c r="F257">
        <v>19</v>
      </c>
      <c r="G257"/>
      <c r="H257">
        <v>350</v>
      </c>
      <c r="I257">
        <v>1000</v>
      </c>
      <c r="J257"/>
      <c r="K257" t="inlineStr">
        <is>
          <t>班级</t>
        </is>
      </c>
      <c r="L257"/>
      <c r="M257" t="inlineStr">
        <is>
          <t>芝士虾米的店</t>
        </is>
      </c>
      <c r="N257">
        <v>15000</v>
      </c>
      <c r="O257">
        <v>4.48</v>
      </c>
      <c r="P257">
        <v>4948</v>
      </c>
      <c r="Q257" t="inlineStr">
        <is>
          <t>68a930033f78410001bc7322</t>
        </is>
      </c>
      <c r="R257" t="inlineStr">
        <is>
          <t>🚫重复</t>
        </is>
      </c>
      <c r="S257" t="inlineStr">
        <is>
          <t>老师资料</t>
        </is>
      </c>
      <c r="T257" t="inlineStr">
        <is>
          <t>0.20</t>
        </is>
      </c>
      <c r="U257" s="3">
        <v>46112.78107638889</v>
      </c>
      <c r="V257" t="inlineStr">
        <is>
          <t>虚拟产品</t>
        </is>
      </c>
      <c r="W257" s="3">
        <v>46027</v>
      </c>
      <c r="X257" t="inlineStr">
        <is>
          <t>01</t>
        </is>
      </c>
      <c r="Y257" t="inlineStr">
        <is>
          <t>2026-Q1</t>
        </is>
      </c>
    </row>
    <row r="258" ht="38.25" customHeight="1">
      <c r="A258" t="inlineStr">
        <is>
          <t>Ai班级积分管理积分商店排行榜不用联网数据本地保存电子资料包</t>
        </is>
      </c>
      <c r="B258" t="inlineStr">
        <is>
          <t>recv7pOn6gJ5Br.jpg</t>
        </is>
      </c>
      <c r="C258" s="2" t="str">
        <f>=HYPERLINK("https://xhslink.com/m/gAcG2mtxvO", "https://xhslink.com/m/gAcG2mtxvO")</f>
        <v>https://xhslink.com/m/gAcG2mtxvO</v>
      </c>
      <c r="D258"/>
      <c r="E258">
        <v>2612</v>
      </c>
      <c r="F258">
        <v>19.9</v>
      </c>
      <c r="G258"/>
      <c r="H258">
        <v>300</v>
      </c>
      <c r="I258">
        <v>1000</v>
      </c>
      <c r="J258"/>
      <c r="K258" t="inlineStr">
        <is>
          <t>班级</t>
        </is>
      </c>
      <c r="L258" t="inlineStr">
        <is>
          <t>🔥低粉爆款</t>
        </is>
      </c>
      <c r="M258" t="inlineStr">
        <is>
          <t>赛尔号啊的店</t>
        </is>
      </c>
      <c r="N258">
        <v>248</v>
      </c>
      <c r="O258">
        <v>4.51</v>
      </c>
      <c r="P258">
        <v>2673</v>
      </c>
      <c r="Q258" t="inlineStr">
        <is>
          <t>68b4eca29b776a0015b9ef30</t>
        </is>
      </c>
      <c r="R258" t="inlineStr">
        <is>
          <t>🚫重复</t>
        </is>
      </c>
      <c r="S258" t="inlineStr">
        <is>
          <t>老师资料</t>
        </is>
      </c>
      <c r="T258" t="inlineStr">
        <is>
          <t>10.53</t>
        </is>
      </c>
      <c r="U258" s="3">
        <v>46112.78107638889</v>
      </c>
      <c r="V258" t="inlineStr">
        <is>
          <t>虚拟产品</t>
        </is>
      </c>
      <c r="W258" s="3">
        <v>46027</v>
      </c>
      <c r="X258" t="inlineStr">
        <is>
          <t>01</t>
        </is>
      </c>
      <c r="Y258" t="inlineStr">
        <is>
          <t>2026-Q1</t>
        </is>
      </c>
    </row>
    <row r="259" ht="38.25" customHeight="1">
      <c r="A259" t="inlineStr">
        <is>
          <t>自动秒发货！五上语文（统编版）PPT课件电子版+教学设计</t>
        </is>
      </c>
      <c r="B259" t="inlineStr">
        <is>
          <t>recv7pOn6gmTs8.jpg</t>
        </is>
      </c>
      <c r="C259" s="2" t="str">
        <f>=HYPERLINK("https://xhslink.com/m/V7vIwQT6jm", "https://xhslink.com/m/V7vIwQT6jm")</f>
        <v>https://xhslink.com/m/V7vIwQT6jm</v>
      </c>
      <c r="D259"/>
      <c r="E259">
        <v>2084</v>
      </c>
      <c r="F259">
        <v>6.9</v>
      </c>
      <c r="G259"/>
      <c r="H259">
        <v>500</v>
      </c>
      <c r="I259">
        <v>1000</v>
      </c>
      <c r="J259"/>
      <c r="K259" t="inlineStr">
        <is>
          <t>班级</t>
        </is>
      </c>
      <c r="L259"/>
      <c r="M259" t="inlineStr">
        <is>
          <t>皮卡素材资料库的店</t>
        </is>
      </c>
      <c r="N259">
        <v>1068</v>
      </c>
      <c r="O259">
        <v>4.41</v>
      </c>
      <c r="P259">
        <v>23000</v>
      </c>
      <c r="Q259" t="inlineStr">
        <is>
          <t>6873cf9d4485460001d2cc3c</t>
        </is>
      </c>
      <c r="R259" t="inlineStr">
        <is>
          <t>🚫重复</t>
        </is>
      </c>
      <c r="S259" t="inlineStr">
        <is>
          <t>中小学教辅/教材</t>
        </is>
      </c>
      <c r="T259" t="inlineStr">
        <is>
          <t>1.95</t>
        </is>
      </c>
      <c r="U259" s="3">
        <v>46112.78107638889</v>
      </c>
      <c r="V259" t="inlineStr">
        <is>
          <t>虚拟产品</t>
        </is>
      </c>
      <c r="W259" s="3">
        <v>46027</v>
      </c>
      <c r="X259" t="inlineStr">
        <is>
          <t>01</t>
        </is>
      </c>
      <c r="Y259" t="inlineStr">
        <is>
          <t>2026-Q1</t>
        </is>
      </c>
    </row>
    <row r="260" ht="38.25" customHeight="1">
      <c r="A260" t="inlineStr">
        <is>
          <t>【限时8.8】中小学主题班会ppt【拍下即发】</t>
        </is>
      </c>
      <c r="B260" t="inlineStr">
        <is>
          <t>recv7pOn6gnNgX.jpg</t>
        </is>
      </c>
      <c r="C260" s="2" t="str">
        <f>=HYPERLINK("https://xhslink.com/m/5blns7asfq1", "https://xhslink.com/m/5blns7asfq1")</f>
        <v>https://xhslink.com/m/5blns7asfq1</v>
      </c>
      <c r="D260"/>
      <c r="E260">
        <v>1718</v>
      </c>
      <c r="F260">
        <v>8.8</v>
      </c>
      <c r="G260"/>
      <c r="H260">
        <v>350</v>
      </c>
      <c r="I260">
        <v>1000</v>
      </c>
      <c r="J260"/>
      <c r="K260" t="inlineStr">
        <is>
          <t>班级</t>
        </is>
      </c>
      <c r="L260"/>
      <c r="M260" t="inlineStr">
        <is>
          <t>初春老师的店</t>
        </is>
      </c>
      <c r="N260">
        <v>1535</v>
      </c>
      <c r="O260">
        <v>4.49</v>
      </c>
      <c r="P260">
        <v>12000</v>
      </c>
      <c r="Q260" t="inlineStr">
        <is>
          <t>6925752ce4338c0001397a43</t>
        </is>
      </c>
      <c r="R260" t="inlineStr">
        <is>
          <t>🚫重复</t>
        </is>
      </c>
      <c r="S260" t="inlineStr">
        <is>
          <t>PPT模板</t>
        </is>
      </c>
      <c r="T260" t="inlineStr">
        <is>
          <t>1.12</t>
        </is>
      </c>
      <c r="U260" s="3">
        <v>46112.78107638889</v>
      </c>
      <c r="V260" t="inlineStr">
        <is>
          <t>虚拟产品</t>
        </is>
      </c>
      <c r="W260" s="3">
        <v>46027</v>
      </c>
      <c r="X260" t="inlineStr">
        <is>
          <t>01</t>
        </is>
      </c>
      <c r="Y260" t="inlineStr">
        <is>
          <t>2026-Q1</t>
        </is>
      </c>
    </row>
    <row r="261" ht="38.25" customHeight="1">
      <c r="A261" t="inlineStr">
        <is>
          <t>班级环创文化墙国学古风，唐诗宋词，诗词里的中国素材【电子版】</t>
        </is>
      </c>
      <c r="B261" t="inlineStr">
        <is>
          <t>recv7pOn6g97hf.jpg</t>
        </is>
      </c>
      <c r="C261" s="2" t="str">
        <f>=HYPERLINK("https://xhslink.com/m/3qKGDKxuiWt", "https://xhslink.com/m/3qKGDKxuiWt")</f>
        <v>https://xhslink.com/m/3qKGDKxuiWt</v>
      </c>
      <c r="D261"/>
      <c r="E261">
        <v>1681</v>
      </c>
      <c r="F261">
        <v>12</v>
      </c>
      <c r="G261"/>
      <c r="H261">
        <v>350</v>
      </c>
      <c r="I261">
        <v>1000</v>
      </c>
      <c r="J261"/>
      <c r="K261" t="inlineStr">
        <is>
          <t>班级</t>
        </is>
      </c>
      <c r="L261"/>
      <c r="M261" t="inlineStr">
        <is>
          <t>是阿陈呐的店</t>
        </is>
      </c>
      <c r="N261">
        <v>8473</v>
      </c>
      <c r="O261">
        <v>4.56</v>
      </c>
      <c r="P261">
        <v>20000</v>
      </c>
      <c r="Q261" t="inlineStr">
        <is>
          <t>68d22325f0063900014548ef</t>
        </is>
      </c>
      <c r="R261"/>
      <c r="S261" t="inlineStr">
        <is>
          <t>老师资料</t>
        </is>
      </c>
      <c r="T261" t="inlineStr">
        <is>
          <t>0.20</t>
        </is>
      </c>
      <c r="U261" s="3">
        <v>46112.78107638889</v>
      </c>
      <c r="V261" t="inlineStr">
        <is>
          <t>虚拟产品</t>
        </is>
      </c>
      <c r="W261" s="3">
        <v>46027</v>
      </c>
      <c r="X261" t="inlineStr">
        <is>
          <t>01</t>
        </is>
      </c>
      <c r="Y261" t="inlineStr">
        <is>
          <t>2026-Q1</t>
        </is>
      </c>
    </row>
    <row r="262" ht="38.25" customHeight="1">
      <c r="A262" t="inlineStr">
        <is>
          <t>《幸运大转盘》随机抽奖点名班级管理互动游戏可更改版ppt</t>
        </is>
      </c>
      <c r="B262" t="inlineStr">
        <is>
          <t>recv7pOn6gn3YA.jpg</t>
        </is>
      </c>
      <c r="C262" s="2" t="str">
        <f>=HYPERLINK("https://xhslink.com/m/4w8JnUjUncP", "https://xhslink.com/m/4w8JnUjUncP")</f>
        <v>https://xhslink.com/m/4w8JnUjUncP</v>
      </c>
      <c r="D262"/>
      <c r="E262">
        <v>1385</v>
      </c>
      <c r="F262">
        <v>2</v>
      </c>
      <c r="G262"/>
      <c r="H262">
        <v>350</v>
      </c>
      <c r="I262">
        <v>1000</v>
      </c>
      <c r="J262"/>
      <c r="K262" t="inlineStr">
        <is>
          <t>班级</t>
        </is>
      </c>
      <c r="L262"/>
      <c r="M262" t="inlineStr">
        <is>
          <t>要养一只杨的店</t>
        </is>
      </c>
      <c r="N262">
        <v>816</v>
      </c>
      <c r="O262">
        <v>4.49</v>
      </c>
      <c r="P262">
        <v>2120</v>
      </c>
      <c r="Q262" t="inlineStr">
        <is>
          <t>686bc7159c0b440001490c32</t>
        </is>
      </c>
      <c r="R262"/>
      <c r="S262" t="inlineStr">
        <is>
          <t>PPT模板</t>
        </is>
      </c>
      <c r="T262" t="inlineStr">
        <is>
          <t>1.70</t>
        </is>
      </c>
      <c r="U262" s="3">
        <v>46112.78107638889</v>
      </c>
      <c r="V262" t="inlineStr">
        <is>
          <t>虚拟产品</t>
        </is>
      </c>
      <c r="W262" s="3">
        <v>46027</v>
      </c>
      <c r="X262" t="inlineStr">
        <is>
          <t>01</t>
        </is>
      </c>
      <c r="Y262" t="inlineStr">
        <is>
          <t>2026-Q1</t>
        </is>
      </c>
    </row>
    <row r="263" ht="38.25" customHeight="1">
      <c r="A263" t="inlineStr">
        <is>
          <t>班级管理实战指南！（超详细实操）新手教师班主任-销量1300涨价</t>
        </is>
      </c>
      <c r="B263" t="inlineStr">
        <is>
          <t>recv7pOn6grMhz.jpg</t>
        </is>
      </c>
      <c r="C263" s="2" t="str">
        <f>=HYPERLINK("https://xhslink.com/m/4frwcoSGbTO", "https://xhslink.com/m/4frwcoSGbTO")</f>
        <v>https://xhslink.com/m/4frwcoSGbTO</v>
      </c>
      <c r="D263"/>
      <c r="E263">
        <v>1246</v>
      </c>
      <c r="F263">
        <v>2.9</v>
      </c>
      <c r="G263"/>
      <c r="H263">
        <v>400</v>
      </c>
      <c r="I263">
        <v>1000</v>
      </c>
      <c r="J263"/>
      <c r="K263" t="inlineStr">
        <is>
          <t>班级</t>
        </is>
      </c>
      <c r="L263"/>
      <c r="M263" t="inlineStr">
        <is>
          <t>妍妍的教书日记的店</t>
        </is>
      </c>
      <c r="N263">
        <v>770</v>
      </c>
      <c r="O263">
        <v>4.33</v>
      </c>
      <c r="P263">
        <v>1323</v>
      </c>
      <c r="Q263" t="inlineStr">
        <is>
          <t>68e61605f8d1f000016cc5bb</t>
        </is>
      </c>
      <c r="R263"/>
      <c r="S263" t="inlineStr">
        <is>
          <t>老师资料</t>
        </is>
      </c>
      <c r="T263" t="inlineStr">
        <is>
          <t>1.62</t>
        </is>
      </c>
      <c r="U263" s="3">
        <v>46112.78107638889</v>
      </c>
      <c r="V263" t="inlineStr">
        <is>
          <t>虚拟产品</t>
        </is>
      </c>
      <c r="W263" s="3">
        <v>46027</v>
      </c>
      <c r="X263" t="inlineStr">
        <is>
          <t>01</t>
        </is>
      </c>
      <c r="Y263" t="inlineStr">
        <is>
          <t>2026-Q1</t>
        </is>
      </c>
    </row>
    <row r="264" ht="38.25" customHeight="1">
      <c r="A264" t="inlineStr">
        <is>
          <t>期中家长会（上学期）</t>
        </is>
      </c>
      <c r="B264" t="inlineStr">
        <is>
          <t>recv7uk6a7dBfe.jpg</t>
        </is>
      </c>
      <c r="C264" s="2" t="str">
        <f>=HYPERLINK("https://xhslink.com/m/NejV3kkRiJ", "https://xhslink.com/m/NejV3kkRiJ")</f>
        <v>https://xhslink.com/m/NejV3kkRiJ</v>
      </c>
      <c r="D264"/>
      <c r="E264">
        <v>4516</v>
      </c>
      <c r="F264">
        <v>9.9</v>
      </c>
      <c r="G264"/>
      <c r="H264">
        <v>2000</v>
      </c>
      <c r="I264">
        <v>2000</v>
      </c>
      <c r="J264"/>
      <c r="K264" t="inlineStr">
        <is>
          <t>家长会</t>
        </is>
      </c>
      <c r="L264"/>
      <c r="M264" t="inlineStr">
        <is>
          <t>小鹿伢的店</t>
        </is>
      </c>
      <c r="N264">
        <v>17000</v>
      </c>
      <c r="O264">
        <v>4.28</v>
      </c>
      <c r="P264">
        <v>65000</v>
      </c>
      <c r="Q264" t="inlineStr">
        <is>
          <t>68ab45f4ae2af10001928a80</t>
        </is>
      </c>
      <c r="R264" t="inlineStr">
        <is>
          <t>🚫重复</t>
        </is>
      </c>
      <c r="S264" t="inlineStr">
        <is>
          <t>老师资料</t>
        </is>
      </c>
      <c r="T264" t="inlineStr">
        <is>
          <t>0.27</t>
        </is>
      </c>
      <c r="U264" s="3">
        <v>46112.78107638889</v>
      </c>
      <c r="V264" t="inlineStr">
        <is>
          <t>虚拟产品</t>
        </is>
      </c>
      <c r="W264" s="3">
        <v>46028</v>
      </c>
      <c r="X264" t="inlineStr">
        <is>
          <t>01</t>
        </is>
      </c>
      <c r="Y264" t="inlineStr">
        <is>
          <t>2026-Q1</t>
        </is>
      </c>
    </row>
    <row r="265" ht="38.25" customHeight="1">
      <c r="A265" t="inlineStr">
        <is>
          <t>小学期中家长会（自选主题）</t>
        </is>
      </c>
      <c r="B265" t="inlineStr">
        <is>
          <t>recv7uk6a7idoX.jpg</t>
        </is>
      </c>
      <c r="C265" s="2" t="str">
        <f>=HYPERLINK("https://xhslink.com/m/3SYHAJU74m8", "https://xhslink.com/m/3SYHAJU74m8")</f>
        <v>https://xhslink.com/m/3SYHAJU74m8</v>
      </c>
      <c r="D265"/>
      <c r="E265">
        <v>4178</v>
      </c>
      <c r="F265">
        <v>9.9</v>
      </c>
      <c r="G265"/>
      <c r="H265">
        <v>3000</v>
      </c>
      <c r="I265">
        <v>3000</v>
      </c>
      <c r="J265"/>
      <c r="K265" t="inlineStr">
        <is>
          <t>家长会</t>
        </is>
      </c>
      <c r="L265" t="inlineStr">
        <is>
          <t>🔥低粉爆款</t>
        </is>
      </c>
      <c r="M265" t="inlineStr">
        <is>
          <t>木南老师mk的店</t>
        </is>
      </c>
      <c r="N265">
        <v>441</v>
      </c>
      <c r="O265">
        <v>4.37</v>
      </c>
      <c r="P265">
        <v>5889</v>
      </c>
      <c r="Q265" t="inlineStr">
        <is>
          <t>690728a9dcedc70001280081</t>
        </is>
      </c>
      <c r="R265" t="inlineStr">
        <is>
          <t>🚫重复</t>
        </is>
      </c>
      <c r="S265" t="inlineStr">
        <is>
          <t>老师资料</t>
        </is>
      </c>
      <c r="T265" t="inlineStr">
        <is>
          <t>9.47</t>
        </is>
      </c>
      <c r="U265" s="3">
        <v>46112.78107638889</v>
      </c>
      <c r="V265" t="inlineStr">
        <is>
          <t>虚拟产品</t>
        </is>
      </c>
      <c r="W265" s="3">
        <v>46028</v>
      </c>
      <c r="X265" t="inlineStr">
        <is>
          <t>01</t>
        </is>
      </c>
      <c r="Y265" t="inlineStr">
        <is>
          <t>2026-Q1</t>
        </is>
      </c>
    </row>
    <row r="266" ht="38.25" customHeight="1">
      <c r="A266" t="inlineStr">
        <is>
          <t>家长会开场暖场视频</t>
        </is>
      </c>
      <c r="B266" t="inlineStr">
        <is>
          <t>recv7uk6a7vadB.jpg</t>
        </is>
      </c>
      <c r="C266" s="2" t="str">
        <f>=HYPERLINK("https://xhslink.com/m/MnPTnibrQP", "https://xhslink.com/m/MnPTnibrQP")</f>
        <v>https://xhslink.com/m/MnPTnibrQP</v>
      </c>
      <c r="D266"/>
      <c r="E266">
        <v>3120</v>
      </c>
      <c r="F266">
        <v>6.99</v>
      </c>
      <c r="G266"/>
      <c r="H266">
        <v>2000</v>
      </c>
      <c r="I266">
        <v>2000</v>
      </c>
      <c r="J266"/>
      <c r="K266" t="inlineStr">
        <is>
          <t>家长会</t>
        </is>
      </c>
      <c r="L266"/>
      <c r="M266" t="inlineStr">
        <is>
          <t>小雅老师.的店</t>
        </is>
      </c>
      <c r="N266">
        <v>49000</v>
      </c>
      <c r="O266">
        <v>4.59</v>
      </c>
      <c r="P266">
        <v>75000</v>
      </c>
      <c r="Q266" t="inlineStr">
        <is>
          <t>6914ba871b787900014c2bb6</t>
        </is>
      </c>
      <c r="R266" t="inlineStr">
        <is>
          <t>🚫重复</t>
        </is>
      </c>
      <c r="S266" t="inlineStr">
        <is>
          <t>老师资料</t>
        </is>
      </c>
      <c r="T266" t="inlineStr">
        <is>
          <t>0.06</t>
        </is>
      </c>
      <c r="U266" s="3">
        <v>46112.78107638889</v>
      </c>
      <c r="V266" t="inlineStr">
        <is>
          <t>虚拟产品</t>
        </is>
      </c>
      <c r="W266" s="3">
        <v>46028</v>
      </c>
      <c r="X266" t="inlineStr">
        <is>
          <t>01</t>
        </is>
      </c>
      <c r="Y266" t="inlineStr">
        <is>
          <t>2026-Q1</t>
        </is>
      </c>
    </row>
    <row r="267" ht="38.25" customHeight="1">
      <c r="A267" t="inlineStr">
        <is>
          <t>语文上学期开学家长会（年级自选）【伢伢老师】</t>
        </is>
      </c>
      <c r="B267" t="inlineStr">
        <is>
          <t>recv7uk6a7gxa3.jpg</t>
        </is>
      </c>
      <c r="C267" s="2" t="str">
        <f>=HYPERLINK("https://xhslink.com/m/33pf5P8iCzf", "https://xhslink.com/m/33pf5P8iCzf")</f>
        <v>https://xhslink.com/m/33pf5P8iCzf</v>
      </c>
      <c r="D267"/>
      <c r="E267">
        <v>1871</v>
      </c>
      <c r="F267">
        <v>9.99</v>
      </c>
      <c r="G267"/>
      <c r="H267">
        <v>600</v>
      </c>
      <c r="I267">
        <v>1000</v>
      </c>
      <c r="J267"/>
      <c r="K267" t="inlineStr">
        <is>
          <t>家长会</t>
        </is>
      </c>
      <c r="L267"/>
      <c r="M267" t="inlineStr">
        <is>
          <t>伢伢老师的店</t>
        </is>
      </c>
      <c r="N267">
        <v>23000</v>
      </c>
      <c r="O267">
        <v>4.27</v>
      </c>
      <c r="P267">
        <v>76000</v>
      </c>
      <c r="Q267" t="inlineStr">
        <is>
          <t>68c531d0d1f7b80001313b20</t>
        </is>
      </c>
      <c r="R267" t="inlineStr">
        <is>
          <t>🚫重复</t>
        </is>
      </c>
      <c r="S267" t="inlineStr">
        <is>
          <t>老师资料</t>
        </is>
      </c>
      <c r="T267" t="inlineStr">
        <is>
          <t>0.08</t>
        </is>
      </c>
      <c r="U267" s="3">
        <v>46112.78107638889</v>
      </c>
      <c r="V267" t="inlineStr">
        <is>
          <t>虚拟产品</t>
        </is>
      </c>
      <c r="W267" s="3">
        <v>46028</v>
      </c>
      <c r="X267" t="inlineStr">
        <is>
          <t>01</t>
        </is>
      </c>
      <c r="Y267" t="inlineStr">
        <is>
          <t>2026-Q1</t>
        </is>
      </c>
    </row>
    <row r="268" ht="38.25" customHeight="1">
      <c r="A268" t="inlineStr">
        <is>
          <t>【三上语文】期中家长会ppt课件+发言稿+暖场视频+亲子互动问卷</t>
        </is>
      </c>
      <c r="B268" t="inlineStr">
        <is>
          <t>recv7uk6a7b8i9.jpg</t>
        </is>
      </c>
      <c r="C268" s="2" t="str">
        <f>=HYPERLINK("https://xhslink.com/m/5kq2wePfiH", "https://xhslink.com/m/5kq2wePfiH")</f>
        <v>https://xhslink.com/m/5kq2wePfiH</v>
      </c>
      <c r="D268"/>
      <c r="E268">
        <v>1606</v>
      </c>
      <c r="F268">
        <v>9.99</v>
      </c>
      <c r="G268"/>
      <c r="H268">
        <v>1000</v>
      </c>
      <c r="I268">
        <v>1000</v>
      </c>
      <c r="J268"/>
      <c r="K268" t="inlineStr">
        <is>
          <t>家长会</t>
        </is>
      </c>
      <c r="L268"/>
      <c r="M268" t="inlineStr">
        <is>
          <t>神说原野的店</t>
        </is>
      </c>
      <c r="N268">
        <v>7628</v>
      </c>
      <c r="O268">
        <v>4.63</v>
      </c>
      <c r="P268">
        <v>38000</v>
      </c>
      <c r="Q268" t="inlineStr">
        <is>
          <t>68f287da3f37a900019b2b9f</t>
        </is>
      </c>
      <c r="R268" t="inlineStr">
        <is>
          <t>🚫重复</t>
        </is>
      </c>
      <c r="S268" t="inlineStr">
        <is>
          <t>老师资料</t>
        </is>
      </c>
      <c r="T268" t="inlineStr">
        <is>
          <t>0.21</t>
        </is>
      </c>
      <c r="U268" s="3">
        <v>46112.78107638889</v>
      </c>
      <c r="V268" t="inlineStr">
        <is>
          <t>虚拟产品</t>
        </is>
      </c>
      <c r="W268" s="3">
        <v>46028</v>
      </c>
      <c r="X268" t="inlineStr">
        <is>
          <t>01</t>
        </is>
      </c>
      <c r="Y268" t="inlineStr">
        <is>
          <t>2026-Q1</t>
        </is>
      </c>
    </row>
    <row r="269" ht="38.25" customHeight="1">
      <c r="A269" t="inlineStr">
        <is>
          <t>初一初二初三期末家长会ppt课件配讲稿可编辑编号111</t>
        </is>
      </c>
      <c r="B269" t="inlineStr">
        <is>
          <t>recv7uk6a7g5Vx.jpg</t>
        </is>
      </c>
      <c r="C269" s="2" t="str">
        <f>=HYPERLINK("https://xhslink.com/m/5ugflNhAHVe", "https://xhslink.com/m/5ugflNhAHVe")</f>
        <v>https://xhslink.com/m/5ugflNhAHVe</v>
      </c>
      <c r="D269"/>
      <c r="E269">
        <v>1424</v>
      </c>
      <c r="F269">
        <v>9.9</v>
      </c>
      <c r="G269"/>
      <c r="H269">
        <v>1000</v>
      </c>
      <c r="I269">
        <v>1000</v>
      </c>
      <c r="J269"/>
      <c r="K269" t="inlineStr">
        <is>
          <t>家长会</t>
        </is>
      </c>
      <c r="L269"/>
      <c r="M269" t="inlineStr">
        <is>
          <t>砾砾向上的店</t>
        </is>
      </c>
      <c r="N269">
        <v>755</v>
      </c>
      <c r="O269">
        <v>4.35</v>
      </c>
      <c r="P269">
        <v>5111</v>
      </c>
      <c r="Q269" t="inlineStr">
        <is>
          <t>695217906fadb700019280f1</t>
        </is>
      </c>
      <c r="R269"/>
      <c r="S269" t="inlineStr">
        <is>
          <t>PPT模板</t>
        </is>
      </c>
      <c r="T269" t="inlineStr">
        <is>
          <t>1.89</t>
        </is>
      </c>
      <c r="U269" s="3">
        <v>46112.78107638889</v>
      </c>
      <c r="V269" t="inlineStr">
        <is>
          <t>虚拟产品</t>
        </is>
      </c>
      <c r="W269" s="3">
        <v>46028</v>
      </c>
      <c r="X269" t="inlineStr">
        <is>
          <t>01</t>
        </is>
      </c>
      <c r="Y269" t="inlineStr">
        <is>
          <t>2026-Q1</t>
        </is>
      </c>
    </row>
    <row r="270" ht="38.25" customHeight="1">
      <c r="A270" t="inlineStr">
        <is>
          <t>二上家长会课件，发言稿</t>
        </is>
      </c>
      <c r="B270" t="inlineStr">
        <is>
          <t>recv7uk6a7hKab.jpg</t>
        </is>
      </c>
      <c r="C270" s="2" t="str">
        <f>=HYPERLINK("https://xhslink.com/m/7p6oKKaFIx0", "https://xhslink.com/m/7p6oKKaFIx0")</f>
        <v>https://xhslink.com/m/7p6oKKaFIx0</v>
      </c>
      <c r="D270"/>
      <c r="E270">
        <v>1267</v>
      </c>
      <c r="F270">
        <v>9.9</v>
      </c>
      <c r="G270"/>
      <c r="H270">
        <v>700</v>
      </c>
      <c r="I270">
        <v>1000</v>
      </c>
      <c r="J270"/>
      <c r="K270" t="inlineStr">
        <is>
          <t>家长会</t>
        </is>
      </c>
      <c r="L270"/>
      <c r="M270" t="inlineStr">
        <is>
          <t>多彩课件的店</t>
        </is>
      </c>
      <c r="N270">
        <v>2669</v>
      </c>
      <c r="O270">
        <v>4.57</v>
      </c>
      <c r="P270">
        <v>4805</v>
      </c>
      <c r="Q270" t="inlineStr">
        <is>
          <t>689e96f9c4391000015573ef</t>
        </is>
      </c>
      <c r="R270"/>
      <c r="S270" t="inlineStr">
        <is>
          <t>老师资料</t>
        </is>
      </c>
      <c r="T270" t="inlineStr">
        <is>
          <t>0.47</t>
        </is>
      </c>
      <c r="U270" s="3">
        <v>46112.78107638889</v>
      </c>
      <c r="V270" t="inlineStr">
        <is>
          <t>虚拟产品</t>
        </is>
      </c>
      <c r="W270" s="3">
        <v>46028</v>
      </c>
      <c r="X270" t="inlineStr">
        <is>
          <t>01</t>
        </is>
      </c>
      <c r="Y270" t="inlineStr">
        <is>
          <t>2026-Q1</t>
        </is>
      </c>
    </row>
    <row r="271" ht="38.25" customHeight="1">
      <c r="A271" t="inlineStr">
        <is>
          <t>新教材1-6年级数学《家长会》PPT+发言稿(人教、苏教、北师)</t>
        </is>
      </c>
      <c r="B271" t="inlineStr">
        <is>
          <t>recv7uk6a7Yklx.jpg</t>
        </is>
      </c>
      <c r="C271" s="2" t="str">
        <f>=HYPERLINK("https://xhslink.com/m/4wA4nY2Ws7H", "https://xhslink.com/m/4wA4nY2Ws7H")</f>
        <v>https://xhslink.com/m/4wA4nY2Ws7H</v>
      </c>
      <c r="D271"/>
      <c r="E271">
        <v>1235</v>
      </c>
      <c r="F271">
        <v>9.99</v>
      </c>
      <c r="G271"/>
      <c r="H271">
        <v>800</v>
      </c>
      <c r="I271">
        <v>1000</v>
      </c>
      <c r="J271"/>
      <c r="K271" t="inlineStr">
        <is>
          <t>家长会</t>
        </is>
      </c>
      <c r="L271"/>
      <c r="M271" t="inlineStr">
        <is>
          <t>优课研究所的店</t>
        </is>
      </c>
      <c r="N271">
        <v>4026</v>
      </c>
      <c r="O271">
        <v>4.37</v>
      </c>
      <c r="P271">
        <v>10000</v>
      </c>
      <c r="Q271" t="inlineStr">
        <is>
          <t>68fa11b2f5d048000128e1a2</t>
        </is>
      </c>
      <c r="R271"/>
      <c r="S271" t="inlineStr">
        <is>
          <t>老师资料</t>
        </is>
      </c>
      <c r="T271" t="inlineStr">
        <is>
          <t>0.31</t>
        </is>
      </c>
      <c r="U271" s="3">
        <v>46112.78107638889</v>
      </c>
      <c r="V271" t="inlineStr">
        <is>
          <t>虚拟产品</t>
        </is>
      </c>
      <c r="W271" s="3">
        <v>46028</v>
      </c>
      <c r="X271" t="inlineStr">
        <is>
          <t>01</t>
        </is>
      </c>
      <c r="Y271" t="inlineStr">
        <is>
          <t>2026-Q1</t>
        </is>
      </c>
    </row>
    <row r="272" ht="38.25" customHeight="1">
      <c r="A272" t="inlineStr">
        <is>
          <t>2025新版教材期中家长会ppt</t>
        </is>
      </c>
      <c r="B272" t="inlineStr">
        <is>
          <t>recv7uk6a7N8Vp.jpg</t>
        </is>
      </c>
      <c r="C272" s="2" t="str">
        <f>=HYPERLINK("https://xhslink.com/m/1qJdTdbPeKg", "https://xhslink.com/m/1qJdTdbPeKg")</f>
        <v>https://xhslink.com/m/1qJdTdbPeKg</v>
      </c>
      <c r="D272"/>
      <c r="E272">
        <v>1229</v>
      </c>
      <c r="F272">
        <v>9.9</v>
      </c>
      <c r="G272"/>
      <c r="H272">
        <v>1000</v>
      </c>
      <c r="I272">
        <v>1000</v>
      </c>
      <c r="J272"/>
      <c r="K272" t="inlineStr">
        <is>
          <t>家长会</t>
        </is>
      </c>
      <c r="L272" t="inlineStr">
        <is>
          <t>🔥低粉爆款</t>
        </is>
      </c>
      <c r="M272" t="inlineStr">
        <is>
          <t>小满（小号）的店</t>
        </is>
      </c>
      <c r="N272">
        <v>227</v>
      </c>
      <c r="O272">
        <v>4.49</v>
      </c>
      <c r="P272">
        <v>1859</v>
      </c>
      <c r="Q272" t="inlineStr">
        <is>
          <t>690a21109509c10001374f6a</t>
        </is>
      </c>
      <c r="R272"/>
      <c r="S272" t="inlineStr">
        <is>
          <t>PPT模板</t>
        </is>
      </c>
      <c r="T272" t="inlineStr">
        <is>
          <t>5.41</t>
        </is>
      </c>
      <c r="U272" s="3">
        <v>46112.78107638889</v>
      </c>
      <c r="V272" t="inlineStr">
        <is>
          <t>虚拟产品</t>
        </is>
      </c>
      <c r="W272" s="3">
        <v>46028</v>
      </c>
      <c r="X272" t="inlineStr">
        <is>
          <t>01</t>
        </is>
      </c>
      <c r="Y272" t="inlineStr">
        <is>
          <t>2026-Q1</t>
        </is>
      </c>
    </row>
    <row r="273" ht="38.25" customHeight="1">
      <c r="A273" t="inlineStr">
        <is>
          <t>【四上语文】期中家长会ppt课件+发言稿+暖场视频+亲子互动问卷</t>
        </is>
      </c>
      <c r="B273" t="inlineStr">
        <is>
          <t>recv7uk6a7Ysm8.jpg</t>
        </is>
      </c>
      <c r="C273" s="2" t="str">
        <f>=HYPERLINK("https://xhslink.com/m/4xTrLns8s2H", "https://xhslink.com/m/4xTrLns8s2H")</f>
        <v>https://xhslink.com/m/4xTrLns8s2H</v>
      </c>
      <c r="D273"/>
      <c r="E273">
        <v>1187</v>
      </c>
      <c r="F273">
        <v>9.99</v>
      </c>
      <c r="G273"/>
      <c r="H273">
        <v>800</v>
      </c>
      <c r="I273">
        <v>1000</v>
      </c>
      <c r="J273"/>
      <c r="K273" t="inlineStr">
        <is>
          <t>家长会</t>
        </is>
      </c>
      <c r="L273"/>
      <c r="M273" t="inlineStr">
        <is>
          <t>神说原野的店</t>
        </is>
      </c>
      <c r="N273">
        <v>7628</v>
      </c>
      <c r="O273">
        <v>4.63</v>
      </c>
      <c r="P273">
        <v>38000</v>
      </c>
      <c r="Q273" t="inlineStr">
        <is>
          <t>68ecfe723f37a900016318d8</t>
        </is>
      </c>
      <c r="R273" t="inlineStr">
        <is>
          <t>🚫重复</t>
        </is>
      </c>
      <c r="S273" t="inlineStr">
        <is>
          <t>老师资料</t>
        </is>
      </c>
      <c r="T273" t="inlineStr">
        <is>
          <t>0.16</t>
        </is>
      </c>
      <c r="U273" s="3">
        <v>46112.78107638889</v>
      </c>
      <c r="V273" t="inlineStr">
        <is>
          <t>虚拟产品</t>
        </is>
      </c>
      <c r="W273" s="3">
        <v>46028</v>
      </c>
      <c r="X273" t="inlineStr">
        <is>
          <t>01</t>
        </is>
      </c>
      <c r="Y273" t="inlineStr">
        <is>
          <t>2026-Q1</t>
        </is>
      </c>
    </row>
    <row r="274" ht="38.25" customHeight="1">
      <c r="A274" t="inlineStr">
        <is>
          <t>（自选年级）数学期中家长会课件、发言稿</t>
        </is>
      </c>
      <c r="B274" t="inlineStr">
        <is>
          <t>recv7uk6a78beP.jpg</t>
        </is>
      </c>
      <c r="C274" s="2" t="str">
        <f>=HYPERLINK("https://xhslink.com/m/2sn36vbYbcQ", "https://xhslink.com/m/2sn36vbYbcQ")</f>
        <v>https://xhslink.com/m/2sn36vbYbcQ</v>
      </c>
      <c r="D274"/>
      <c r="E274">
        <v>1079</v>
      </c>
      <c r="F274">
        <v>9.99</v>
      </c>
      <c r="G274"/>
      <c r="H274">
        <v>850</v>
      </c>
      <c r="I274">
        <v>1000</v>
      </c>
      <c r="J274"/>
      <c r="K274" t="inlineStr">
        <is>
          <t>家长会</t>
        </is>
      </c>
      <c r="L274"/>
      <c r="M274" t="inlineStr">
        <is>
          <t>班主任西柚的店</t>
        </is>
      </c>
      <c r="N274">
        <v>1387</v>
      </c>
      <c r="O274">
        <v>4.52</v>
      </c>
      <c r="P274">
        <v>4512</v>
      </c>
      <c r="Q274" t="inlineStr">
        <is>
          <t>68eb584a4daabe0001ab6570</t>
        </is>
      </c>
      <c r="R274"/>
      <c r="S274" t="inlineStr">
        <is>
          <t>中小学教辅/教材</t>
        </is>
      </c>
      <c r="T274" t="inlineStr">
        <is>
          <t>0.78</t>
        </is>
      </c>
      <c r="U274" s="3">
        <v>46112.78107638889</v>
      </c>
      <c r="V274" t="inlineStr">
        <is>
          <t>虚拟产品</t>
        </is>
      </c>
      <c r="W274" s="3">
        <v>46028</v>
      </c>
      <c r="X274" t="inlineStr">
        <is>
          <t>01</t>
        </is>
      </c>
      <c r="Y274" t="inlineStr">
        <is>
          <t>2026-Q1</t>
        </is>
      </c>
    </row>
    <row r="275" ht="38.25" customHeight="1">
      <c r="A275" t="inlineStr">
        <is>
          <t>家长会通用课件，共计30页，内容可编辑修改</t>
        </is>
      </c>
      <c r="B275" t="inlineStr">
        <is>
          <t>recv7uk6a7BWc5.jpg</t>
        </is>
      </c>
      <c r="C275" s="2" t="str">
        <f>=HYPERLINK("https://xhslink.com/m/55wuCHgqjtR", "https://xhslink.com/m/55wuCHgqjtR")</f>
        <v>https://xhslink.com/m/55wuCHgqjtR</v>
      </c>
      <c r="D275"/>
      <c r="E275">
        <v>1083</v>
      </c>
      <c r="F275">
        <v>8.88</v>
      </c>
      <c r="G275"/>
      <c r="H275">
        <v>900</v>
      </c>
      <c r="I275">
        <v>1000</v>
      </c>
      <c r="J275"/>
      <c r="K275" t="inlineStr">
        <is>
          <t>家长会</t>
        </is>
      </c>
      <c r="L275"/>
      <c r="M275" t="inlineStr">
        <is>
          <t>开学就想放暑假的店</t>
        </is>
      </c>
      <c r="N275">
        <v>36000</v>
      </c>
      <c r="O275">
        <v>4.44</v>
      </c>
      <c r="P275">
        <v>52000</v>
      </c>
      <c r="Q275" t="inlineStr">
        <is>
          <t>691f3a0f603b4e0001df3e41</t>
        </is>
      </c>
      <c r="R275" t="inlineStr">
        <is>
          <t>🚫重复</t>
        </is>
      </c>
      <c r="S275" t="inlineStr">
        <is>
          <t>老师资料</t>
        </is>
      </c>
      <c r="T275" t="inlineStr">
        <is>
          <t>0.03</t>
        </is>
      </c>
      <c r="U275" s="3">
        <v>46112.78107638889</v>
      </c>
      <c r="V275" t="inlineStr">
        <is>
          <t>虚拟产品</t>
        </is>
      </c>
      <c r="W275" s="3">
        <v>46028</v>
      </c>
      <c r="X275" t="inlineStr">
        <is>
          <t>01</t>
        </is>
      </c>
      <c r="Y275" t="inlineStr">
        <is>
          <t>2026-Q1</t>
        </is>
      </c>
    </row>
    <row r="276" ht="38.25" customHeight="1">
      <c r="A276" t="inlineStr">
        <is>
          <t>25年幼儿园公开课PPT课件+配套教案</t>
        </is>
      </c>
      <c r="B276" t="inlineStr">
        <is>
          <t>recv7uk6a7z7lg.jpg</t>
        </is>
      </c>
      <c r="C276" s="2" t="str">
        <f>=HYPERLINK("https://xhslink.com/m/8tUeIuVB21A", "https://xhslink.com/m/8tUeIuVB21A")</f>
        <v>https://xhslink.com/m/8tUeIuVB21A</v>
      </c>
      <c r="D276"/>
      <c r="E276">
        <v>3616</v>
      </c>
      <c r="F276">
        <v>5.9</v>
      </c>
      <c r="G276"/>
      <c r="H276">
        <v>450</v>
      </c>
      <c r="I276">
        <v>1000</v>
      </c>
      <c r="J276"/>
      <c r="K276" t="inlineStr">
        <is>
          <t>开学第一课</t>
        </is>
      </c>
      <c r="L276" t="inlineStr">
        <is>
          <t>🔥低粉爆款</t>
        </is>
      </c>
      <c r="M276" t="inlineStr">
        <is>
          <t>365days、的店</t>
        </is>
      </c>
      <c r="N276">
        <v>1030</v>
      </c>
      <c r="O276">
        <v>4.46</v>
      </c>
      <c r="P276">
        <v>9770</v>
      </c>
      <c r="Q276" t="inlineStr">
        <is>
          <t>68a467ff0991b400016dd102</t>
        </is>
      </c>
      <c r="R276" t="inlineStr">
        <is>
          <t>🚫重复</t>
        </is>
      </c>
      <c r="S276" t="inlineStr">
        <is>
          <t>幼教资料</t>
        </is>
      </c>
      <c r="T276" t="inlineStr">
        <is>
          <t>3.51</t>
        </is>
      </c>
      <c r="U276" s="3">
        <v>46112.78107638889</v>
      </c>
      <c r="V276" t="inlineStr">
        <is>
          <t>虚拟产品</t>
        </is>
      </c>
      <c r="W276" s="3">
        <v>46028</v>
      </c>
      <c r="X276" t="inlineStr">
        <is>
          <t>01</t>
        </is>
      </c>
      <c r="Y276" t="inlineStr">
        <is>
          <t>2026-Q1</t>
        </is>
      </c>
    </row>
    <row r="277" ht="38.25" customHeight="1">
      <c r="A277" t="inlineStr">
        <is>
          <t>新二上19《雾在哪里》第一课时任务群ai 赋能公开课</t>
        </is>
      </c>
      <c r="B277" t="inlineStr">
        <is>
          <t>recv7uk6a7fn8Q.jpg</t>
        </is>
      </c>
      <c r="C277" s="2" t="str">
        <f>=HYPERLINK("https://xhslink.com/m/9qnSht8soJS", "https://xhslink.com/m/9qnSht8soJS")</f>
        <v>https://xhslink.com/m/9qnSht8soJS</v>
      </c>
      <c r="D277"/>
      <c r="E277">
        <v>1218</v>
      </c>
      <c r="F277">
        <v>15.9</v>
      </c>
      <c r="G277"/>
      <c r="H277">
        <v>900</v>
      </c>
      <c r="I277">
        <v>1000</v>
      </c>
      <c r="J277"/>
      <c r="K277" t="inlineStr">
        <is>
          <t>开学第一课</t>
        </is>
      </c>
      <c r="L277"/>
      <c r="M277" t="inlineStr">
        <is>
          <t>小陈念念语的店</t>
        </is>
      </c>
      <c r="N277">
        <v>1450</v>
      </c>
      <c r="O277">
        <v>4.44</v>
      </c>
      <c r="P277">
        <v>4385</v>
      </c>
      <c r="Q277" t="inlineStr">
        <is>
          <t>6906b4b07d4dcd0001898dd8</t>
        </is>
      </c>
      <c r="R277"/>
      <c r="S277" t="inlineStr">
        <is>
          <t>老师资料</t>
        </is>
      </c>
      <c r="T277" t="inlineStr">
        <is>
          <t>0.84</t>
        </is>
      </c>
      <c r="U277" s="3">
        <v>46112.78107638889</v>
      </c>
      <c r="V277" t="inlineStr">
        <is>
          <t>虚拟产品</t>
        </is>
      </c>
      <c r="W277" s="3">
        <v>46028</v>
      </c>
      <c r="X277" t="inlineStr">
        <is>
          <t>01</t>
        </is>
      </c>
      <c r="Y277" t="inlineStr">
        <is>
          <t>2026-Q1</t>
        </is>
      </c>
    </row>
    <row r="278" ht="38.25" customHeight="1">
      <c r="A278" t="inlineStr">
        <is>
          <t>2025秋季新版一二三四五六上语文单元专项期末复习课件练习考试卷</t>
        </is>
      </c>
      <c r="B278" t="inlineStr">
        <is>
          <t>__upload_recv7uk6a7L9bF.jpg</t>
        </is>
      </c>
      <c r="C278" s="2" t="str">
        <f>=HYPERLINK("https://xhslink.com/m/8n4qpS1tqWJ", "https://xhslink.com/m/8n4qpS1tqWJ")</f>
        <v>https://xhslink.com/m/8n4qpS1tqWJ</v>
      </c>
      <c r="D278"/>
      <c r="E278">
        <v>22000</v>
      </c>
      <c r="F278">
        <v>0.1</v>
      </c>
      <c r="G278"/>
      <c r="H278">
        <v>750</v>
      </c>
      <c r="I278"/>
      <c r="J278">
        <v>400</v>
      </c>
      <c r="K278" t="inlineStr">
        <is>
          <t>期末复习课件</t>
        </is>
      </c>
      <c r="L278"/>
      <c r="M278" t="inlineStr">
        <is>
          <t>小凤课件的店</t>
        </is>
      </c>
      <c r="N278">
        <v>42000</v>
      </c>
      <c r="O278">
        <v>4.67</v>
      </c>
      <c r="P278">
        <v>108000</v>
      </c>
      <c r="Q278" t="inlineStr">
        <is>
          <t>671f311d99bc520001fad306</t>
        </is>
      </c>
      <c r="R278"/>
      <c r="S278" t="inlineStr">
        <is>
          <t>中小学教辅/教材</t>
        </is>
      </c>
      <c r="T278" t="inlineStr">
        <is>
          <t>0.52</t>
        </is>
      </c>
      <c r="U278" s="3">
        <v>46112.78107638889</v>
      </c>
      <c r="V278" t="inlineStr">
        <is>
          <t>虚拟产品</t>
        </is>
      </c>
      <c r="W278" s="3">
        <v>46028</v>
      </c>
      <c r="X278" t="inlineStr">
        <is>
          <t>01</t>
        </is>
      </c>
      <c r="Y278" t="inlineStr">
        <is>
          <t>2026-Q1</t>
        </is>
      </c>
    </row>
    <row r="279" ht="38.25" customHeight="1">
      <c r="A279" t="inlineStr">
        <is>
          <t>402号：四上综合类资料</t>
        </is>
      </c>
      <c r="B279" t="inlineStr">
        <is>
          <t>recv7uk6a7zYyd.jpg</t>
        </is>
      </c>
      <c r="C279" s="2" t="str">
        <f>=HYPERLINK("https://xhslink.com/m/8BPz1gnn5MW", "https://xhslink.com/m/8BPz1gnn5MW")</f>
        <v>https://xhslink.com/m/8BPz1gnn5MW</v>
      </c>
      <c r="D279"/>
      <c r="E279">
        <v>8258</v>
      </c>
      <c r="F279">
        <v>4</v>
      </c>
      <c r="G279"/>
      <c r="H279">
        <v>800</v>
      </c>
      <c r="I279">
        <v>1000</v>
      </c>
      <c r="J279"/>
      <c r="K279" t="inlineStr">
        <is>
          <t>期末复习课件</t>
        </is>
      </c>
      <c r="L279"/>
      <c r="M279" t="inlineStr">
        <is>
          <t>张主任的情报库的店</t>
        </is>
      </c>
      <c r="N279">
        <v>28000</v>
      </c>
      <c r="O279">
        <v>4.56</v>
      </c>
      <c r="P279">
        <v>217000</v>
      </c>
      <c r="Q279" t="inlineStr">
        <is>
          <t>69514e44dd18440001fdd564</t>
        </is>
      </c>
      <c r="R279" t="inlineStr">
        <is>
          <t>🚫重复</t>
        </is>
      </c>
      <c r="S279" t="inlineStr">
        <is>
          <t>中小学教辅/教材</t>
        </is>
      </c>
      <c r="T279" t="inlineStr">
        <is>
          <t>0.29</t>
        </is>
      </c>
      <c r="U279" s="3">
        <v>46112.78107638889</v>
      </c>
      <c r="V279" t="inlineStr">
        <is>
          <t>虚拟产品</t>
        </is>
      </c>
      <c r="W279" s="3">
        <v>46028</v>
      </c>
      <c r="X279" t="inlineStr">
        <is>
          <t>01</t>
        </is>
      </c>
      <c r="Y279" t="inlineStr">
        <is>
          <t>2026-Q1</t>
        </is>
      </c>
    </row>
    <row r="280" ht="38.25" customHeight="1">
      <c r="A280" t="inlineStr">
        <is>
          <t>2025年中小学秋季主题班会PPT（拍下秒发！详见订单发货内容</t>
        </is>
      </c>
      <c r="B280" t="inlineStr">
        <is>
          <t>recv7uk6a7mdqX.jpg</t>
        </is>
      </c>
      <c r="C280" s="2" t="str">
        <f>=HYPERLINK("https://xhslink.com/m/7DEMPZlfI7D", "https://xhslink.com/m/7DEMPZlfI7D")</f>
        <v>https://xhslink.com/m/7DEMPZlfI7D</v>
      </c>
      <c r="D280"/>
      <c r="E280">
        <v>5529</v>
      </c>
      <c r="F280">
        <v>4.99</v>
      </c>
      <c r="G280"/>
      <c r="H280">
        <v>1000</v>
      </c>
      <c r="I280">
        <v>2000</v>
      </c>
      <c r="J280"/>
      <c r="K280" t="inlineStr">
        <is>
          <t>期末复习课件</t>
        </is>
      </c>
      <c r="L280" t="inlineStr">
        <is>
          <t>🔥低粉爆款</t>
        </is>
      </c>
      <c r="M280" t="inlineStr">
        <is>
          <t>多多老师的店</t>
        </is>
      </c>
      <c r="N280">
        <v>912</v>
      </c>
      <c r="O280">
        <v>4.49</v>
      </c>
      <c r="P280">
        <v>8192</v>
      </c>
      <c r="Q280" t="inlineStr">
        <is>
          <t>68adb82211843c0001bd074b</t>
        </is>
      </c>
      <c r="R280" t="inlineStr">
        <is>
          <t>🚫重复</t>
        </is>
      </c>
      <c r="S280" t="inlineStr">
        <is>
          <t>PPT模板</t>
        </is>
      </c>
      <c r="T280" t="inlineStr">
        <is>
          <t>6.06</t>
        </is>
      </c>
      <c r="U280" s="3">
        <v>46112.78107638889</v>
      </c>
      <c r="V280" t="inlineStr">
        <is>
          <t>虚拟产品</t>
        </is>
      </c>
      <c r="W280" s="3">
        <v>46028</v>
      </c>
      <c r="X280" t="inlineStr">
        <is>
          <t>01</t>
        </is>
      </c>
      <c r="Y280" t="inlineStr">
        <is>
          <t>2026-Q1</t>
        </is>
      </c>
    </row>
    <row r="281" ht="38.25" customHeight="1">
      <c r="A281" t="inlineStr">
        <is>
          <t>2025年中小学秋季主题班会PPT（拍下秒发！详见订单发货内容</t>
        </is>
      </c>
      <c r="B281" t="inlineStr">
        <is>
          <t>recv7uk6a7IdPY.jpg</t>
        </is>
      </c>
      <c r="C281" s="2" t="str">
        <f>=HYPERLINK("https://xhslink.com/m/47zomN1h1mW", "https://xhslink.com/m/47zomN1h1mW")</f>
        <v>https://xhslink.com/m/47zomN1h1mW</v>
      </c>
      <c r="D281"/>
      <c r="E281">
        <v>5529</v>
      </c>
      <c r="F281">
        <v>5.99</v>
      </c>
      <c r="G281"/>
      <c r="H281">
        <v>1000</v>
      </c>
      <c r="I281">
        <v>2000</v>
      </c>
      <c r="J281"/>
      <c r="K281" t="inlineStr">
        <is>
          <t>主题班会</t>
        </is>
      </c>
      <c r="L281" t="inlineStr">
        <is>
          <t>🔥低粉爆款</t>
        </is>
      </c>
      <c r="M281" t="inlineStr">
        <is>
          <t>多多老师的店</t>
        </is>
      </c>
      <c r="N281">
        <v>912</v>
      </c>
      <c r="O281">
        <v>4.49</v>
      </c>
      <c r="P281">
        <v>8192</v>
      </c>
      <c r="Q281" t="inlineStr">
        <is>
          <t>68fa2b1ac4f8910001bcfda5</t>
        </is>
      </c>
      <c r="R281" t="inlineStr">
        <is>
          <t>🚫重复</t>
        </is>
      </c>
      <c r="S281" t="inlineStr">
        <is>
          <t>PPT模板</t>
        </is>
      </c>
      <c r="T281" t="inlineStr">
        <is>
          <t>6.06</t>
        </is>
      </c>
      <c r="U281" s="3">
        <v>46112.78107638889</v>
      </c>
      <c r="V281" t="inlineStr">
        <is>
          <t>虚拟产品</t>
        </is>
      </c>
      <c r="W281" s="3">
        <v>46028</v>
      </c>
      <c r="X281" t="inlineStr">
        <is>
          <t>01</t>
        </is>
      </c>
      <c r="Y281" t="inlineStr">
        <is>
          <t>2026-Q1</t>
        </is>
      </c>
    </row>
    <row r="282" ht="38.25" customHeight="1">
      <c r="A282" t="inlineStr">
        <is>
          <t>【秒发】A03公司学校惩罚游戏ppt 团建聚会年会班会课堂</t>
        </is>
      </c>
      <c r="B282" t="inlineStr">
        <is>
          <t>recv7uk6a73vzg.jpg</t>
        </is>
      </c>
      <c r="C282" s="2" t="str">
        <f>=HYPERLINK("https://xhslink.com/m/20B6f2BPXlr", "https://xhslink.com/m/20B6f2BPXlr")</f>
        <v>https://xhslink.com/m/20B6f2BPXlr</v>
      </c>
      <c r="D282"/>
      <c r="E282">
        <v>2938</v>
      </c>
      <c r="F282">
        <v>3.9</v>
      </c>
      <c r="G282"/>
      <c r="H282">
        <v>350</v>
      </c>
      <c r="I282">
        <v>1000</v>
      </c>
      <c r="J282"/>
      <c r="K282" t="inlineStr">
        <is>
          <t>主题班会</t>
        </is>
      </c>
      <c r="L282"/>
      <c r="M282" t="inlineStr">
        <is>
          <t>阿克游戏库😄的店</t>
        </is>
      </c>
      <c r="N282">
        <v>4829</v>
      </c>
      <c r="O282">
        <v>4.55</v>
      </c>
      <c r="P282">
        <v>20000</v>
      </c>
      <c r="Q282" t="inlineStr">
        <is>
          <t>67d6a9cd52503c0001a2ee24</t>
        </is>
      </c>
      <c r="R282" t="inlineStr">
        <is>
          <t>🚫重复</t>
        </is>
      </c>
      <c r="S282" t="inlineStr">
        <is>
          <t>PPT模板</t>
        </is>
      </c>
      <c r="T282" t="inlineStr">
        <is>
          <t>0.61</t>
        </is>
      </c>
      <c r="U282" s="3">
        <v>46112.78107638889</v>
      </c>
      <c r="V282" t="inlineStr">
        <is>
          <t>虚拟产品</t>
        </is>
      </c>
      <c r="W282" s="3">
        <v>46028</v>
      </c>
      <c r="X282" t="inlineStr">
        <is>
          <t>01</t>
        </is>
      </c>
      <c r="Y282" t="inlineStr">
        <is>
          <t>2026-Q1</t>
        </is>
      </c>
    </row>
    <row r="283" ht="38.25" customHeight="1">
      <c r="A283" t="inlineStr">
        <is>
          <t>【主题班会】规矩：规矩之下，方有自由 37页PPT（百度网盘发货）</t>
        </is>
      </c>
      <c r="B283" t="inlineStr">
        <is>
          <t>recv7uk6a7Jr9x.jpg</t>
        </is>
      </c>
      <c r="C283" s="2" t="str">
        <f>=HYPERLINK("https://xhslink.com/m/3rJQDalMiWb", "https://xhslink.com/m/3rJQDalMiWb")</f>
        <v>https://xhslink.com/m/3rJQDalMiWb</v>
      </c>
      <c r="D283"/>
      <c r="E283">
        <v>2139</v>
      </c>
      <c r="F283">
        <v>3.5</v>
      </c>
      <c r="G283"/>
      <c r="H283">
        <v>550</v>
      </c>
      <c r="I283">
        <v>1000</v>
      </c>
      <c r="J283"/>
      <c r="K283" t="inlineStr">
        <is>
          <t>主题班会</t>
        </is>
      </c>
      <c r="L283"/>
      <c r="M283" t="inlineStr">
        <is>
          <t>小周老师的成长日记的店</t>
        </is>
      </c>
      <c r="N283">
        <v>765</v>
      </c>
      <c r="O283">
        <v>4.59</v>
      </c>
      <c r="P283">
        <v>7754</v>
      </c>
      <c r="Q283" t="inlineStr">
        <is>
          <t>68b83d36f38f970001ad3563</t>
        </is>
      </c>
      <c r="R283" t="inlineStr">
        <is>
          <t>🚫重复</t>
        </is>
      </c>
      <c r="S283" t="inlineStr">
        <is>
          <t>PPT模板</t>
        </is>
      </c>
      <c r="T283" t="inlineStr">
        <is>
          <t>2.80</t>
        </is>
      </c>
      <c r="U283" s="3">
        <v>46112.78107638889</v>
      </c>
      <c r="V283" t="inlineStr">
        <is>
          <t>虚拟产品</t>
        </is>
      </c>
      <c r="W283" s="3">
        <v>46028</v>
      </c>
      <c r="X283" t="inlineStr">
        <is>
          <t>01</t>
        </is>
      </c>
      <c r="Y283" t="inlineStr">
        <is>
          <t>2026-Q1</t>
        </is>
      </c>
    </row>
    <row r="284" ht="38.25" customHeight="1">
      <c r="A284" t="inlineStr">
        <is>
          <t>【限时8.8】中小学主题班会ppt【拍下即发】</t>
        </is>
      </c>
      <c r="B284" t="inlineStr">
        <is>
          <t>recv7uk6a7MjAc.jpg</t>
        </is>
      </c>
      <c r="C284" s="2" t="str">
        <f>=HYPERLINK("https://xhslink.com/m/HQLxmFkGjx", "https://xhslink.com/m/HQLxmFkGjx")</f>
        <v>https://xhslink.com/m/HQLxmFkGjx</v>
      </c>
      <c r="D284"/>
      <c r="E284">
        <v>1729</v>
      </c>
      <c r="F284">
        <v>8.8</v>
      </c>
      <c r="G284"/>
      <c r="H284">
        <v>350</v>
      </c>
      <c r="I284">
        <v>1000</v>
      </c>
      <c r="J284"/>
      <c r="K284" t="inlineStr">
        <is>
          <t>主题班会</t>
        </is>
      </c>
      <c r="L284"/>
      <c r="M284" t="inlineStr">
        <is>
          <t>初春老师的店</t>
        </is>
      </c>
      <c r="N284">
        <v>1536</v>
      </c>
      <c r="O284">
        <v>4.49</v>
      </c>
      <c r="P284">
        <v>12000</v>
      </c>
      <c r="Q284" t="inlineStr">
        <is>
          <t>68d0c168c278030001f41cd0</t>
        </is>
      </c>
      <c r="R284" t="inlineStr">
        <is>
          <t>🚫重复</t>
        </is>
      </c>
      <c r="S284" t="inlineStr">
        <is>
          <t>PPT模板</t>
        </is>
      </c>
      <c r="T284" t="inlineStr">
        <is>
          <t>1.13</t>
        </is>
      </c>
      <c r="U284" s="3">
        <v>46112.78107638889</v>
      </c>
      <c r="V284" t="inlineStr">
        <is>
          <t>虚拟产品</t>
        </is>
      </c>
      <c r="W284" s="3">
        <v>46028</v>
      </c>
      <c r="X284" t="inlineStr">
        <is>
          <t>01</t>
        </is>
      </c>
      <c r="Y284" t="inlineStr">
        <is>
          <t>2026-Q1</t>
        </is>
      </c>
    </row>
    <row r="285" ht="38.25" customHeight="1">
      <c r="A285" t="inlineStr">
        <is>
          <t>中小学主题班会课件</t>
        </is>
      </c>
      <c r="B285" t="inlineStr">
        <is>
          <t>recv7uk6a7lrkA.jpg</t>
        </is>
      </c>
      <c r="C285" s="2" t="str">
        <f>=HYPERLINK("https://xhslink.com/m/1xHNKCLjMAG", "https://xhslink.com/m/1xHNKCLjMAG")</f>
        <v>https://xhslink.com/m/1xHNKCLjMAG</v>
      </c>
      <c r="D285"/>
      <c r="E285">
        <v>1380</v>
      </c>
      <c r="F285">
        <v>6.6</v>
      </c>
      <c r="G285"/>
      <c r="H285">
        <v>550</v>
      </c>
      <c r="I285">
        <v>1000</v>
      </c>
      <c r="J285"/>
      <c r="K285" t="inlineStr">
        <is>
          <t>主题班会</t>
        </is>
      </c>
      <c r="L285"/>
      <c r="M285" t="inlineStr">
        <is>
          <t>小希老师不争先的店</t>
        </is>
      </c>
      <c r="N285">
        <v>554</v>
      </c>
      <c r="O285">
        <v>4.48</v>
      </c>
      <c r="P285">
        <v>3201</v>
      </c>
      <c r="Q285" t="inlineStr">
        <is>
          <t>69003d0be379430001a8ef66</t>
        </is>
      </c>
      <c r="R285" t="inlineStr">
        <is>
          <t>🚫重复</t>
        </is>
      </c>
      <c r="S285" t="inlineStr">
        <is>
          <t>中小学教辅/教材</t>
        </is>
      </c>
      <c r="T285" t="inlineStr">
        <is>
          <t>2.49</t>
        </is>
      </c>
      <c r="U285" s="3">
        <v>46112.78107638889</v>
      </c>
      <c r="V285" t="inlineStr">
        <is>
          <t>虚拟产品</t>
        </is>
      </c>
      <c r="W285" s="3">
        <v>46028</v>
      </c>
      <c r="X285" t="inlineStr">
        <is>
          <t>01</t>
        </is>
      </c>
      <c r="Y285" t="inlineStr">
        <is>
          <t>2026-Q1</t>
        </is>
      </c>
    </row>
    <row r="286" ht="38.25" customHeight="1">
      <c r="A286" t="inlineStr">
        <is>
          <t>愿我们都有被讨厌的勇气ppt  被讨厌的勇气 心理演讲 班会课 ppt</t>
        </is>
      </c>
      <c r="B286" t="inlineStr">
        <is>
          <t>recv7uk6a74idH.jpg</t>
        </is>
      </c>
      <c r="C286" s="2" t="str">
        <f>=HYPERLINK("https://xhslink.com/m/thA5aZP75h", "https://xhslink.com/m/thA5aZP75h")</f>
        <v>https://xhslink.com/m/thA5aZP75h</v>
      </c>
      <c r="D286"/>
      <c r="E286">
        <v>1403</v>
      </c>
      <c r="F286">
        <v>6.9</v>
      </c>
      <c r="G286"/>
      <c r="H286">
        <v>350</v>
      </c>
      <c r="I286">
        <v>1000</v>
      </c>
      <c r="J286"/>
      <c r="K286" t="inlineStr">
        <is>
          <t>主题班会</t>
        </is>
      </c>
      <c r="L286"/>
      <c r="M286" t="inlineStr">
        <is>
          <t>泡泡奶酱的店</t>
        </is>
      </c>
      <c r="N286">
        <v>5942</v>
      </c>
      <c r="O286">
        <v>4.44</v>
      </c>
      <c r="P286">
        <v>8814</v>
      </c>
      <c r="Q286" t="inlineStr">
        <is>
          <t>68ce6c4bc72840000111f538</t>
        </is>
      </c>
      <c r="R286" t="inlineStr">
        <is>
          <t>🚫重复</t>
        </is>
      </c>
      <c r="S286" t="inlineStr">
        <is>
          <t>PPT模板</t>
        </is>
      </c>
      <c r="T286" t="inlineStr">
        <is>
          <t>0.24</t>
        </is>
      </c>
      <c r="U286" s="3">
        <v>46112.78107638889</v>
      </c>
      <c r="V286" t="inlineStr">
        <is>
          <t>虚拟产品</t>
        </is>
      </c>
      <c r="W286" s="3">
        <v>46028</v>
      </c>
      <c r="X286" t="inlineStr">
        <is>
          <t>01</t>
        </is>
      </c>
      <c r="Y286" t="inlineStr">
        <is>
          <t>2026-Q1</t>
        </is>
      </c>
    </row>
    <row r="287" ht="38.25" customHeight="1">
      <c r="A287" t="inlineStr">
        <is>
          <t>课堂惩罚游戏PPT班会早会小游戏共40个ppt，链接可在物流处查看。</t>
        </is>
      </c>
      <c r="B287" t="inlineStr">
        <is>
          <t>recv7uk6a7zW4J.jpg</t>
        </is>
      </c>
      <c r="C287" s="2" t="str">
        <f>=HYPERLINK("https://xhslink.com/m/2rzryJy61vB", "https://xhslink.com/m/2rzryJy61vB")</f>
        <v>https://xhslink.com/m/2rzryJy61vB</v>
      </c>
      <c r="D287"/>
      <c r="E287">
        <v>1065</v>
      </c>
      <c r="F287">
        <v>3.9</v>
      </c>
      <c r="G287"/>
      <c r="H287">
        <v>400</v>
      </c>
      <c r="I287">
        <v>1000</v>
      </c>
      <c r="J287"/>
      <c r="K287" t="inlineStr">
        <is>
          <t>主题班会</t>
        </is>
      </c>
      <c r="L287"/>
      <c r="M287" t="inlineStr">
        <is>
          <t>初中教学资料铺（优质课）的店</t>
        </is>
      </c>
      <c r="N287">
        <v>1703</v>
      </c>
      <c r="O287">
        <v>4.41</v>
      </c>
      <c r="P287">
        <v>6377</v>
      </c>
      <c r="Q287" t="inlineStr">
        <is>
          <t>689c908416b0c800014aaf51</t>
        </is>
      </c>
      <c r="R287"/>
      <c r="S287" t="inlineStr">
        <is>
          <t>PPT模板</t>
        </is>
      </c>
      <c r="T287" t="inlineStr">
        <is>
          <t>0.63</t>
        </is>
      </c>
      <c r="U287" s="3">
        <v>46112.78107638889</v>
      </c>
      <c r="V287" t="inlineStr">
        <is>
          <t>虚拟产品</t>
        </is>
      </c>
      <c r="W287" s="3">
        <v>46028</v>
      </c>
      <c r="X287" t="inlineStr">
        <is>
          <t>01</t>
        </is>
      </c>
      <c r="Y287" t="inlineStr">
        <is>
          <t>2026-Q1</t>
        </is>
      </c>
    </row>
    <row r="288" ht="38.25" customHeight="1">
      <c r="A288" t="inlineStr">
        <is>
          <t>26年卫健委医疗编招聘考试事业编题库app</t>
        </is>
      </c>
      <c r="B288" t="inlineStr">
        <is>
          <t>recv7uk6a7g5ca.jpg</t>
        </is>
      </c>
      <c r="C288" s="2" t="str">
        <f>=HYPERLINK("https://xhslink.com/m/5ykwp6yuwfV", "https://xhslink.com/m/5ykwp6yuwfV")</f>
        <v>https://xhslink.com/m/5ykwp6yuwfV</v>
      </c>
      <c r="D288"/>
      <c r="E288">
        <v>3018</v>
      </c>
      <c r="F288">
        <v>18.9</v>
      </c>
      <c r="G288"/>
      <c r="H288">
        <v>400</v>
      </c>
      <c r="I288">
        <v>1000</v>
      </c>
      <c r="J288"/>
      <c r="K288" t="inlineStr">
        <is>
          <t>医学</t>
        </is>
      </c>
      <c r="L288" t="inlineStr">
        <is>
          <t>🔥低粉爆款</t>
        </is>
      </c>
      <c r="M288" t="inlineStr">
        <is>
          <t>小蕊学姐教育咨询的店</t>
        </is>
      </c>
      <c r="N288">
        <v>447</v>
      </c>
      <c r="O288">
        <v>4.41</v>
      </c>
      <c r="P288">
        <v>3183</v>
      </c>
      <c r="Q288" t="inlineStr">
        <is>
          <t>680270a74371630001a3e530</t>
        </is>
      </c>
      <c r="R288"/>
      <c r="S288" t="inlineStr">
        <is>
          <t>软件应用</t>
        </is>
      </c>
      <c r="T288" t="inlineStr">
        <is>
          <t>6.75</t>
        </is>
      </c>
      <c r="U288" s="3">
        <v>46112.78107638889</v>
      </c>
      <c r="V288" t="inlineStr">
        <is>
          <t>虚拟产品</t>
        </is>
      </c>
      <c r="W288" s="3">
        <v>46028</v>
      </c>
      <c r="X288" t="inlineStr">
        <is>
          <t>01</t>
        </is>
      </c>
      <c r="Y288" t="inlineStr">
        <is>
          <t>2026-Q1</t>
        </is>
      </c>
    </row>
    <row r="289" ht="38.25" customHeight="1">
      <c r="A289" t="inlineStr">
        <is>
          <t>2025最新高中政治必修一课件中国特色社会主义课件逐字稿教学设计</t>
        </is>
      </c>
      <c r="B289" t="inlineStr">
        <is>
          <t>recv7uk6a7xECK.jpg</t>
        </is>
      </c>
      <c r="C289" s="2" t="str">
        <f>=HYPERLINK("https://xhslink.com/m/6vhMTVGMfJz", "https://xhslink.com/m/6vhMTVGMfJz")</f>
        <v>https://xhslink.com/m/6vhMTVGMfJz</v>
      </c>
      <c r="D289"/>
      <c r="E289">
        <v>4325</v>
      </c>
      <c r="F289">
        <v>3</v>
      </c>
      <c r="G289"/>
      <c r="H289">
        <v>200</v>
      </c>
      <c r="I289">
        <v>1000</v>
      </c>
      <c r="J289"/>
      <c r="K289" t="inlineStr">
        <is>
          <t>教学设计</t>
        </is>
      </c>
      <c r="L289"/>
      <c r="M289" t="inlineStr">
        <is>
          <t>一起学政治的店</t>
        </is>
      </c>
      <c r="N289">
        <v>9285</v>
      </c>
      <c r="O289">
        <v>4.39</v>
      </c>
      <c r="P289">
        <v>18000</v>
      </c>
      <c r="Q289" t="inlineStr">
        <is>
          <t>68bae9788f53130001a769b9</t>
        </is>
      </c>
      <c r="R289" t="inlineStr">
        <is>
          <t>🚫重复</t>
        </is>
      </c>
      <c r="S289" t="inlineStr">
        <is>
          <t>高中/高考资料</t>
        </is>
      </c>
      <c r="T289" t="inlineStr">
        <is>
          <t>0.47</t>
        </is>
      </c>
      <c r="U289" s="3">
        <v>46112.78107638889</v>
      </c>
      <c r="V289" t="inlineStr">
        <is>
          <t>虚拟产品</t>
        </is>
      </c>
      <c r="W289" s="3">
        <v>46028</v>
      </c>
      <c r="X289" t="inlineStr">
        <is>
          <t>01</t>
        </is>
      </c>
      <c r="Y289" t="inlineStr">
        <is>
          <t>2026-Q1</t>
        </is>
      </c>
    </row>
    <row r="290" ht="38.25" customHeight="1">
      <c r="A290" t="inlineStr">
        <is>
          <t>Upscayl模糊图像变高清AI智能图片画质增强高清放大工具/mac</t>
        </is>
      </c>
      <c r="B290" t="inlineStr">
        <is>
          <t>recv7BCjuOAGQD.jpg</t>
        </is>
      </c>
      <c r="C290" s="2" t="str">
        <f>=HYPERLINK("https://xhslink.com/m/1VoMiMVfjEn", "https://xhslink.com/m/1VoMiMVfjEn")</f>
        <v>https://xhslink.com/m/1VoMiMVfjEn</v>
      </c>
      <c r="D290"/>
      <c r="E290">
        <v>4033</v>
      </c>
      <c r="F290">
        <v>6.6</v>
      </c>
      <c r="G290"/>
      <c r="H290">
        <v>500</v>
      </c>
      <c r="I290">
        <v>1000</v>
      </c>
      <c r="J290"/>
      <c r="K290" t="inlineStr">
        <is>
          <t>AI工具</t>
        </is>
      </c>
      <c r="L290"/>
      <c r="M290" t="inlineStr">
        <is>
          <t>设计师Mr.王的店</t>
        </is>
      </c>
      <c r="N290">
        <v>11000</v>
      </c>
      <c r="O290">
        <v>4.06</v>
      </c>
      <c r="P290">
        <v>13000</v>
      </c>
      <c r="Q290" t="inlineStr">
        <is>
          <t>6834749d20009e0001dd41aa</t>
        </is>
      </c>
      <c r="R290" t="inlineStr">
        <is>
          <t>🚫重复</t>
        </is>
      </c>
      <c r="S290" t="inlineStr">
        <is>
          <t>AI</t>
        </is>
      </c>
      <c r="T290" t="inlineStr">
        <is>
          <t>0.37</t>
        </is>
      </c>
      <c r="U290" s="3">
        <v>46112.78107638889</v>
      </c>
      <c r="V290" t="inlineStr">
        <is>
          <t>虚拟产品</t>
        </is>
      </c>
      <c r="W290" s="3">
        <v>46029</v>
      </c>
      <c r="X290" t="inlineStr">
        <is>
          <t>01</t>
        </is>
      </c>
      <c r="Y290" t="inlineStr">
        <is>
          <t>2026-Q1</t>
        </is>
      </c>
    </row>
    <row r="291" ht="38.25" customHeight="1">
      <c r="A291" t="inlineStr">
        <is>
          <t>原创店铺logo标志商标注册品牌logo图形卡通字体logo设计班徽制作</t>
        </is>
      </c>
      <c r="B291" t="inlineStr">
        <is>
          <t>recv7BCkb0rbOW.jpg</t>
        </is>
      </c>
      <c r="C291" s="2" t="str">
        <f>=HYPERLINK("https://xhslink.com/m/5Jaic4Pcq59", "https://xhslink.com/m/5Jaic4Pcq59")</f>
        <v>https://xhslink.com/m/5Jaic4Pcq59</v>
      </c>
      <c r="D291"/>
      <c r="E291">
        <v>9297</v>
      </c>
      <c r="F291">
        <v>38</v>
      </c>
      <c r="G291"/>
      <c r="H291">
        <v>300</v>
      </c>
      <c r="I291">
        <v>2000</v>
      </c>
      <c r="J291"/>
      <c r="K291" t="inlineStr">
        <is>
          <t>LOGO设计素材</t>
        </is>
      </c>
      <c r="L291"/>
      <c r="M291" t="inlineStr">
        <is>
          <t>木子logo设计的店</t>
        </is>
      </c>
      <c r="N291">
        <v>3229</v>
      </c>
      <c r="O291">
        <v>4.76</v>
      </c>
      <c r="P291">
        <v>9759</v>
      </c>
      <c r="Q291" t="inlineStr">
        <is>
          <t>67f1f8adab6a3e0001c69322</t>
        </is>
      </c>
      <c r="R291"/>
      <c r="S291" t="inlineStr">
        <is>
          <t>设计素材</t>
        </is>
      </c>
      <c r="T291" t="inlineStr">
        <is>
          <t>2.88</t>
        </is>
      </c>
      <c r="U291" s="3">
        <v>46112.78107638889</v>
      </c>
      <c r="V291" t="inlineStr">
        <is>
          <t>虚拟产品</t>
        </is>
      </c>
      <c r="W291" s="3">
        <v>46029</v>
      </c>
      <c r="X291" t="inlineStr">
        <is>
          <t>01</t>
        </is>
      </c>
      <c r="Y291" t="inlineStr">
        <is>
          <t>2026-Q1</t>
        </is>
      </c>
    </row>
    <row r="292" ht="38.25" customHeight="1">
      <c r="A292" t="inlineStr">
        <is>
          <t>初中语文数学英语生物化史地道法知识点【电子版】</t>
        </is>
      </c>
      <c r="B292" t="inlineStr">
        <is>
          <t>recv7BCkb0frCi.jpg</t>
        </is>
      </c>
      <c r="C292" s="2" t="str">
        <f>=HYPERLINK("https://xhslink.com/m/9KhBKxtaGIC", "https://xhslink.com/m/9KhBKxtaGIC")</f>
        <v>https://xhslink.com/m/9KhBKxtaGIC</v>
      </c>
      <c r="D292"/>
      <c r="E292">
        <v>4054</v>
      </c>
      <c r="F292">
        <v>4.9</v>
      </c>
      <c r="G292"/>
      <c r="H292">
        <v>350</v>
      </c>
      <c r="I292">
        <v>1000</v>
      </c>
      <c r="J292"/>
      <c r="K292" t="inlineStr">
        <is>
          <t>初中物理知识点总结</t>
        </is>
      </c>
      <c r="L292"/>
      <c r="M292" t="inlineStr">
        <is>
          <t>周老师的资料库的店</t>
        </is>
      </c>
      <c r="N292">
        <v>1451</v>
      </c>
      <c r="O292">
        <v>4.71</v>
      </c>
      <c r="P292">
        <v>10000</v>
      </c>
      <c r="Q292" t="inlineStr">
        <is>
          <t>6821b8672f87160015e79e05</t>
        </is>
      </c>
      <c r="R292" t="inlineStr">
        <is>
          <t>🚫重复</t>
        </is>
      </c>
      <c r="S292" t="inlineStr">
        <is>
          <t>中小学教辅/教材</t>
        </is>
      </c>
      <c r="T292" t="inlineStr">
        <is>
          <t>2.79</t>
        </is>
      </c>
      <c r="U292" s="3">
        <v>46112.78107638889</v>
      </c>
      <c r="V292" t="inlineStr">
        <is>
          <t>虚拟产品</t>
        </is>
      </c>
      <c r="W292" s="3">
        <v>46029</v>
      </c>
      <c r="X292" t="inlineStr">
        <is>
          <t>01</t>
        </is>
      </c>
      <c r="Y292" t="inlineStr">
        <is>
          <t>2026-Q1</t>
        </is>
      </c>
    </row>
    <row r="293" ht="38.25" customHeight="1">
      <c r="A293" t="inlineStr">
        <is>
          <t>手写板写约字id头像壁纸原创手写名字文案水印小说封面（在线秒出</t>
        </is>
      </c>
      <c r="B293" t="inlineStr">
        <is>
          <t>recv7BCkb0CSw8.jpg</t>
        </is>
      </c>
      <c r="C293" s="2" t="str">
        <f>=HYPERLINK("https://xhslink.com/m/AZixyvs7Coz", "https://xhslink.com/m/AZixyvs7Coz")</f>
        <v>https://xhslink.com/m/AZixyvs7Coz</v>
      </c>
      <c r="D293"/>
      <c r="E293">
        <v>17000</v>
      </c>
      <c r="F293">
        <v>1</v>
      </c>
      <c r="G293"/>
      <c r="H293">
        <v>350</v>
      </c>
      <c r="I293">
        <v>1000</v>
      </c>
      <c r="J293"/>
      <c r="K293" t="inlineStr">
        <is>
          <t>头像壁纸</t>
        </is>
      </c>
      <c r="L293" t="inlineStr">
        <is>
          <t>🔥低粉爆款</t>
        </is>
      </c>
      <c r="M293" t="inlineStr">
        <is>
          <t>见字如面的店</t>
        </is>
      </c>
      <c r="N293">
        <v>1686</v>
      </c>
      <c r="O293">
        <v>4.58</v>
      </c>
      <c r="P293">
        <v>19000</v>
      </c>
      <c r="Q293" t="inlineStr">
        <is>
          <t>67d124ad8599cb000144ef88</t>
        </is>
      </c>
      <c r="R293"/>
      <c r="S293" t="inlineStr">
        <is>
          <t>头像壁纸</t>
        </is>
      </c>
      <c r="T293" t="inlineStr">
        <is>
          <t>10.08</t>
        </is>
      </c>
      <c r="U293" s="3">
        <v>46112.78107638889</v>
      </c>
      <c r="V293" t="inlineStr">
        <is>
          <t>虚拟产品</t>
        </is>
      </c>
      <c r="W293" s="3">
        <v>46029</v>
      </c>
      <c r="X293" t="inlineStr">
        <is>
          <t>01</t>
        </is>
      </c>
      <c r="Y293" t="inlineStr">
        <is>
          <t>2026-Q1</t>
        </is>
      </c>
    </row>
    <row r="294" ht="38.25" customHeight="1">
      <c r="A294" t="inlineStr">
        <is>
          <t>初中各学科七八九年级上下册语数英政史地物化生知识点总结电子版</t>
        </is>
      </c>
      <c r="B294" t="inlineStr">
        <is>
          <t>recv7BCkb03Jet.jpg</t>
        </is>
      </c>
      <c r="C294" s="2" t="str">
        <f>=HYPERLINK("https://xhslink.com/m/4fWqGQlnnyt", "https://xhslink.com/m/4fWqGQlnnyt")</f>
        <v>https://xhslink.com/m/4fWqGQlnnyt</v>
      </c>
      <c r="D294"/>
      <c r="E294">
        <v>4283</v>
      </c>
      <c r="F294">
        <v>4.9</v>
      </c>
      <c r="G294"/>
      <c r="H294">
        <v>250</v>
      </c>
      <c r="I294">
        <v>1000</v>
      </c>
      <c r="J294"/>
      <c r="K294" t="inlineStr">
        <is>
          <t>初中物理知识点总结</t>
        </is>
      </c>
      <c r="L294"/>
      <c r="M294" t="inlineStr">
        <is>
          <t>田欣老师的店</t>
        </is>
      </c>
      <c r="N294">
        <v>3087</v>
      </c>
      <c r="O294">
        <v>4.6</v>
      </c>
      <c r="P294">
        <v>6727</v>
      </c>
      <c r="Q294" t="inlineStr">
        <is>
          <t>69151d81b51a380001e723b8</t>
        </is>
      </c>
      <c r="R294" t="inlineStr">
        <is>
          <t>🚫重复</t>
        </is>
      </c>
      <c r="S294" t="inlineStr">
        <is>
          <t>中小学教辅/教材</t>
        </is>
      </c>
      <c r="T294" t="inlineStr">
        <is>
          <t>1.39</t>
        </is>
      </c>
      <c r="U294" s="3">
        <v>46112.78107638889</v>
      </c>
      <c r="V294" t="inlineStr">
        <is>
          <t>虚拟产品</t>
        </is>
      </c>
      <c r="W294" s="3">
        <v>46029</v>
      </c>
      <c r="X294" t="inlineStr">
        <is>
          <t>01</t>
        </is>
      </c>
      <c r="Y294" t="inlineStr">
        <is>
          <t>2026-Q1</t>
        </is>
      </c>
    </row>
    <row r="295" ht="38.25" customHeight="1">
      <c r="A295" t="inlineStr">
        <is>
          <t>fo妹原创妹手写水印（几个字拍几份，英文10字母内算1份）</t>
        </is>
      </c>
      <c r="B295" t="inlineStr">
        <is>
          <t>recv7JfW3QqEWw.jpg</t>
        </is>
      </c>
      <c r="C295" s="2" t="str">
        <f>=HYPERLINK("https://xhslink.com/m/4W5ScH9rSMq", "https://xhslink.com/m/4W5ScH9rSMq")</f>
        <v>https://xhslink.com/m/4W5ScH9rSMq</v>
      </c>
      <c r="D295"/>
      <c r="E295">
        <v>47000</v>
      </c>
      <c r="F295">
        <v>1.2</v>
      </c>
      <c r="G295"/>
      <c r="H295">
        <v>1000</v>
      </c>
      <c r="I295"/>
      <c r="J295"/>
      <c r="K295" t="inlineStr">
        <is>
          <t>资料</t>
        </is>
      </c>
      <c r="L295" t="inlineStr">
        <is>
          <t>🔥低粉爆款</t>
        </is>
      </c>
      <c r="M295" t="inlineStr">
        <is>
          <t>小宜春茶的店</t>
        </is>
      </c>
      <c r="N295">
        <v>3571</v>
      </c>
      <c r="O295">
        <v>4.57</v>
      </c>
      <c r="P295">
        <v>78000</v>
      </c>
      <c r="Q295" t="inlineStr">
        <is>
          <t>687cd8e20e13d5000135b120</t>
        </is>
      </c>
      <c r="R295"/>
      <c r="S295" t="inlineStr">
        <is>
          <t>设计素材</t>
        </is>
      </c>
      <c r="T295" t="inlineStr">
        <is>
          <t>13.16</t>
        </is>
      </c>
      <c r="U295" s="3">
        <v>46112.78107638889</v>
      </c>
      <c r="V295" t="inlineStr">
        <is>
          <t>虚拟产品</t>
        </is>
      </c>
      <c r="W295" s="3">
        <v>46030</v>
      </c>
      <c r="X295" t="inlineStr">
        <is>
          <t>01</t>
        </is>
      </c>
      <c r="Y295" t="inlineStr">
        <is>
          <t>2026-Q1</t>
        </is>
      </c>
    </row>
    <row r="296" ht="38.25" customHeight="1">
      <c r="A296" t="inlineStr">
        <is>
          <t>趣味记忆48个国际音标【纸质+在线视频】</t>
        </is>
      </c>
      <c r="B296" t="inlineStr">
        <is>
          <t>recv7JfW3QO9f1.jpg</t>
        </is>
      </c>
      <c r="C296" s="2" t="str">
        <f>=HYPERLINK("https://xhslink.com/m/3Yiqdg1bPM4", "https://xhslink.com/m/3Yiqdg1bPM4")</f>
        <v>https://xhslink.com/m/3Yiqdg1bPM4</v>
      </c>
      <c r="D296"/>
      <c r="E296">
        <v>44000</v>
      </c>
      <c r="F296">
        <v>38.6</v>
      </c>
      <c r="G296"/>
      <c r="H296">
        <v>1000</v>
      </c>
      <c r="I296"/>
      <c r="J296"/>
      <c r="K296" t="inlineStr">
        <is>
          <t>资料</t>
        </is>
      </c>
      <c r="L296"/>
      <c r="M296" t="inlineStr">
        <is>
          <t>海马超记教育的店</t>
        </is>
      </c>
      <c r="N296">
        <v>45000</v>
      </c>
      <c r="O296">
        <v>4.34</v>
      </c>
      <c r="P296">
        <v>47000</v>
      </c>
      <c r="Q296" t="inlineStr">
        <is>
          <t>656800b73edc980001e5bf54</t>
        </is>
      </c>
      <c r="R296"/>
      <c r="S296" t="inlineStr">
        <is>
          <t>英语资料</t>
        </is>
      </c>
      <c r="T296" t="inlineStr">
        <is>
          <t>0.98</t>
        </is>
      </c>
      <c r="U296" s="3">
        <v>46112.78107638889</v>
      </c>
      <c r="V296" t="inlineStr">
        <is>
          <t>虚拟产品</t>
        </is>
      </c>
      <c r="W296" s="3">
        <v>46030</v>
      </c>
      <c r="X296" t="inlineStr">
        <is>
          <t>01</t>
        </is>
      </c>
      <c r="Y296" t="inlineStr">
        <is>
          <t>2026-Q1</t>
        </is>
      </c>
    </row>
    <row r="297" ht="38.25" customHeight="1">
      <c r="A297" t="inlineStr">
        <is>
          <t>【每日一练】笔画笔顺偏旁部首楷书3-8岁儿童小学描红控笔练习册</t>
        </is>
      </c>
      <c r="B297" t="inlineStr">
        <is>
          <t>recv7JfW3QwZrB.jpg</t>
        </is>
      </c>
      <c r="C297" s="2" t="str">
        <f>=HYPERLINK("https://xhslink.com/m/3mzldYONNJM", "https://xhslink.com/m/3mzldYONNJM")</f>
        <v>https://xhslink.com/m/3mzldYONNJM</v>
      </c>
      <c r="D297"/>
      <c r="E297">
        <v>45000</v>
      </c>
      <c r="F297">
        <v>25.8</v>
      </c>
      <c r="G297"/>
      <c r="H297">
        <v>800</v>
      </c>
      <c r="I297"/>
      <c r="J297"/>
      <c r="K297" t="inlineStr">
        <is>
          <t>资料</t>
        </is>
      </c>
      <c r="L297"/>
      <c r="M297" t="inlineStr">
        <is>
          <t>A毛小姐爱学习的店</t>
        </is>
      </c>
      <c r="N297">
        <v>18000</v>
      </c>
      <c r="O297">
        <v>4.79</v>
      </c>
      <c r="P297">
        <v>118000</v>
      </c>
      <c r="Q297" t="inlineStr">
        <is>
          <t>68006febec1374000145f13f</t>
        </is>
      </c>
      <c r="R297" t="inlineStr">
        <is>
          <t>🚫重复</t>
        </is>
      </c>
      <c r="S297" t="inlineStr">
        <is>
          <t>中小学教辅/教材</t>
        </is>
      </c>
      <c r="T297" t="inlineStr">
        <is>
          <t>2.50</t>
        </is>
      </c>
      <c r="U297" s="3">
        <v>46112.78107638889</v>
      </c>
      <c r="V297" t="inlineStr">
        <is>
          <t>虚拟产品</t>
        </is>
      </c>
      <c r="W297" s="3">
        <v>46030</v>
      </c>
      <c r="X297" t="inlineStr">
        <is>
          <t>01</t>
        </is>
      </c>
      <c r="Y297" t="inlineStr">
        <is>
          <t>2026-Q1</t>
        </is>
      </c>
    </row>
    <row r="298" ht="38.25" customHeight="1">
      <c r="A298" t="inlineStr">
        <is>
          <t>301号：三上习作单/课件</t>
        </is>
      </c>
      <c r="B298" t="inlineStr">
        <is>
          <t>recv7JfW3QAx4k.jpg</t>
        </is>
      </c>
      <c r="C298" s="2" t="str">
        <f>=HYPERLINK("https://xhslink.com/m/AkuidH2fRvu", "https://xhslink.com/m/AkuidH2fRvu")</f>
        <v>https://xhslink.com/m/AkuidH2fRvu</v>
      </c>
      <c r="D298"/>
      <c r="E298">
        <v>39000</v>
      </c>
      <c r="F298">
        <v>2</v>
      </c>
      <c r="G298"/>
      <c r="H298">
        <v>4500</v>
      </c>
      <c r="I298"/>
      <c r="J298"/>
      <c r="K298" t="inlineStr">
        <is>
          <t>资料</t>
        </is>
      </c>
      <c r="L298"/>
      <c r="M298" t="inlineStr">
        <is>
          <t>张主任的情报库的店</t>
        </is>
      </c>
      <c r="N298">
        <v>28000</v>
      </c>
      <c r="O298">
        <v>4.56</v>
      </c>
      <c r="P298">
        <v>218000</v>
      </c>
      <c r="Q298" t="inlineStr">
        <is>
          <t>68a72f6d0c85cc00015f615f</t>
        </is>
      </c>
      <c r="R298" t="inlineStr">
        <is>
          <t>🚫重复</t>
        </is>
      </c>
      <c r="S298" t="inlineStr">
        <is>
          <t>中小学教辅/教材</t>
        </is>
      </c>
      <c r="T298" t="inlineStr">
        <is>
          <t>1.39</t>
        </is>
      </c>
      <c r="U298" s="3">
        <v>46112.78107638889</v>
      </c>
      <c r="V298" t="inlineStr">
        <is>
          <t>虚拟产品</t>
        </is>
      </c>
      <c r="W298" s="3">
        <v>46030</v>
      </c>
      <c r="X298" t="inlineStr">
        <is>
          <t>01</t>
        </is>
      </c>
      <c r="Y298" t="inlineStr">
        <is>
          <t>2026-Q1</t>
        </is>
      </c>
    </row>
    <row r="299" ht="38.25" customHeight="1">
      <c r="A299" t="inlineStr">
        <is>
          <t>超格 · 图形推理700题课程（赠纸质题本）</t>
        </is>
      </c>
      <c r="B299" t="inlineStr">
        <is>
          <t>recv7JfW3QSPJH.jpg</t>
        </is>
      </c>
      <c r="C299" s="2" t="str">
        <f>=HYPERLINK("https://xhslink.com/m/9xHQfd3yJZP", "https://xhslink.com/m/9xHQfd3yJZP")</f>
        <v>https://xhslink.com/m/9xHQfd3yJZP</v>
      </c>
      <c r="D299"/>
      <c r="E299">
        <v>34000</v>
      </c>
      <c r="F299">
        <v>13.2</v>
      </c>
      <c r="G299"/>
      <c r="H299">
        <v>10000</v>
      </c>
      <c r="I299"/>
      <c r="J299"/>
      <c r="K299" t="inlineStr">
        <is>
          <t>资料</t>
        </is>
      </c>
      <c r="L299"/>
      <c r="M299" t="inlineStr">
        <is>
          <t>超格旗舰店</t>
        </is>
      </c>
      <c r="N299">
        <v>71000</v>
      </c>
      <c r="O299">
        <v>4.53</v>
      </c>
      <c r="P299">
        <v>138000</v>
      </c>
      <c r="Q299" t="inlineStr">
        <is>
          <t>652cfde5fc8f010001fff69f</t>
        </is>
      </c>
      <c r="R299" t="inlineStr">
        <is>
          <t>🚫重复</t>
        </is>
      </c>
      <c r="S299" t="inlineStr">
        <is>
          <t>考公资料</t>
        </is>
      </c>
      <c r="T299" t="inlineStr">
        <is>
          <t>0.48</t>
        </is>
      </c>
      <c r="U299" s="3">
        <v>46112.78107638889</v>
      </c>
      <c r="V299" t="inlineStr">
        <is>
          <t>虚拟产品</t>
        </is>
      </c>
      <c r="W299" s="3">
        <v>46030</v>
      </c>
      <c r="X299" t="inlineStr">
        <is>
          <t>01</t>
        </is>
      </c>
      <c r="Y299" t="inlineStr">
        <is>
          <t>2026-Q1</t>
        </is>
      </c>
    </row>
    <row r="300" ht="38.25" customHeight="1">
      <c r="A300" t="inlineStr">
        <is>
          <t>艾宾浩斯英语单词本—背单词复习计划练习本学生四六级考研通用</t>
        </is>
      </c>
      <c r="B300" t="inlineStr">
        <is>
          <t>recv7JfW3Q1AnF.jpg</t>
        </is>
      </c>
      <c r="C300" s="2" t="str">
        <f>=HYPERLINK("https://xhslink.com/m/6NPUkR5axRp", "https://xhslink.com/m/6NPUkR5axRp")</f>
        <v>https://xhslink.com/m/6NPUkR5axRp</v>
      </c>
      <c r="D300"/>
      <c r="E300">
        <v>30000</v>
      </c>
      <c r="F300">
        <v>10.9</v>
      </c>
      <c r="G300"/>
      <c r="H300">
        <v>450</v>
      </c>
      <c r="I300"/>
      <c r="J300"/>
      <c r="K300" t="inlineStr">
        <is>
          <t>资料</t>
        </is>
      </c>
      <c r="L300" t="inlineStr">
        <is>
          <t>🔥低粉爆款</t>
        </is>
      </c>
      <c r="M300" t="inlineStr">
        <is>
          <t>饺子真能吃文具的店</t>
        </is>
      </c>
      <c r="N300">
        <v>2991</v>
      </c>
      <c r="O300">
        <v>4.7</v>
      </c>
      <c r="P300">
        <v>79000</v>
      </c>
      <c r="Q300" t="inlineStr">
        <is>
          <t>64da25528920c6000190a344</t>
        </is>
      </c>
      <c r="R300" t="inlineStr">
        <is>
          <t>🚫重复</t>
        </is>
      </c>
      <c r="S300" t="inlineStr">
        <is>
          <t>英语资料</t>
        </is>
      </c>
      <c r="T300" t="inlineStr">
        <is>
          <t>10.03</t>
        </is>
      </c>
      <c r="U300" s="3">
        <v>46112.78107638889</v>
      </c>
      <c r="V300" t="inlineStr">
        <is>
          <t>虚拟产品</t>
        </is>
      </c>
      <c r="W300" s="3">
        <v>46030</v>
      </c>
      <c r="X300" t="inlineStr">
        <is>
          <t>01</t>
        </is>
      </c>
      <c r="Y300" t="inlineStr">
        <is>
          <t>2026-Q1</t>
        </is>
      </c>
    </row>
    <row r="301" ht="38.25" customHeight="1">
      <c r="A301" t="inlineStr">
        <is>
          <t>华图 · 时政热点汇总+时政模拟题 2025国考省考 25年持续更新</t>
        </is>
      </c>
      <c r="B301" t="inlineStr">
        <is>
          <t>recv7JfW3Q4O1i.jpg</t>
        </is>
      </c>
      <c r="C301" s="2" t="str">
        <f>=HYPERLINK("https://xhslink.com/m/1DTNkEQnfUi", "https://xhslink.com/m/1DTNkEQnfUi")</f>
        <v>https://xhslink.com/m/1DTNkEQnfUi</v>
      </c>
      <c r="D301"/>
      <c r="E301">
        <v>27000</v>
      </c>
      <c r="F301">
        <v>0.1</v>
      </c>
      <c r="G301"/>
      <c r="H301">
        <v>1500</v>
      </c>
      <c r="I301"/>
      <c r="J301"/>
      <c r="K301" t="inlineStr">
        <is>
          <t>资料</t>
        </is>
      </c>
      <c r="L301"/>
      <c r="M301" t="inlineStr">
        <is>
          <t>华图网校旗舰店</t>
        </is>
      </c>
      <c r="N301">
        <v>161000</v>
      </c>
      <c r="O301">
        <v>3.87</v>
      </c>
      <c r="P301">
        <v>90000</v>
      </c>
      <c r="Q301" t="inlineStr">
        <is>
          <t>691d77fe7a99590001ea2c04</t>
        </is>
      </c>
      <c r="R301" t="inlineStr">
        <is>
          <t>🚫重复</t>
        </is>
      </c>
      <c r="S301" t="inlineStr">
        <is>
          <t>考公资料</t>
        </is>
      </c>
      <c r="T301" t="inlineStr">
        <is>
          <t>0.17</t>
        </is>
      </c>
      <c r="U301" s="3">
        <v>46112.78107638889</v>
      </c>
      <c r="V301" t="inlineStr">
        <is>
          <t>虚拟产品</t>
        </is>
      </c>
      <c r="W301" s="3">
        <v>46030</v>
      </c>
      <c r="X301" t="inlineStr">
        <is>
          <t>01</t>
        </is>
      </c>
      <c r="Y301" t="inlineStr">
        <is>
          <t>2026-Q1</t>
        </is>
      </c>
    </row>
    <row r="302" ht="38.25" customHeight="1">
      <c r="A302" t="inlineStr">
        <is>
          <t>天星教育 · 【高考解题快招】试题调研26版高中课本基础知识高考押题冲刺</t>
        </is>
      </c>
      <c r="B302" t="inlineStr">
        <is>
          <t>recv7JfW3QBSyP.jpg</t>
        </is>
      </c>
      <c r="C302" s="2" t="str">
        <f>=HYPERLINK("https://xhslink.com/m/7jPdm6FY2Fy", "https://xhslink.com/m/7jPdm6FY2Fy")</f>
        <v>https://xhslink.com/m/7jPdm6FY2Fy</v>
      </c>
      <c r="D302"/>
      <c r="E302">
        <v>24000</v>
      </c>
      <c r="F302">
        <v>13.2</v>
      </c>
      <c r="G302"/>
      <c r="H302">
        <v>650</v>
      </c>
      <c r="I302"/>
      <c r="J302"/>
      <c r="K302" t="inlineStr">
        <is>
          <t>资料</t>
        </is>
      </c>
      <c r="L302"/>
      <c r="M302" t="inlineStr">
        <is>
          <t>天星教育旗舰店</t>
        </is>
      </c>
      <c r="N302">
        <v>228000</v>
      </c>
      <c r="O302">
        <v>4.61</v>
      </c>
      <c r="P302">
        <v>134000</v>
      </c>
      <c r="Q302" t="inlineStr">
        <is>
          <t>693798a4af71c300014b7828</t>
        </is>
      </c>
      <c r="R302" t="inlineStr">
        <is>
          <t>🚫重复</t>
        </is>
      </c>
      <c r="S302" t="inlineStr">
        <is>
          <t>高中/高考资料</t>
        </is>
      </c>
      <c r="T302" t="inlineStr">
        <is>
          <t>0.11</t>
        </is>
      </c>
      <c r="U302" s="3">
        <v>46112.78107638889</v>
      </c>
      <c r="V302" t="inlineStr">
        <is>
          <t>虚拟产品</t>
        </is>
      </c>
      <c r="W302" s="3">
        <v>46030</v>
      </c>
      <c r="X302" t="inlineStr">
        <is>
          <t>01</t>
        </is>
      </c>
      <c r="Y302" t="inlineStr">
        <is>
          <t>2026-Q1</t>
        </is>
      </c>
    </row>
    <row r="303" ht="38.25" customHeight="1">
      <c r="A303" t="inlineStr">
        <is>
          <t>自用板写水印文案，可写长句，几个字拍几单，下单前看须知</t>
        </is>
      </c>
      <c r="B303" t="inlineStr">
        <is>
          <t>recv7JfW3Q9Uwx.jpg</t>
        </is>
      </c>
      <c r="C303" s="2" t="str">
        <f>=HYPERLINK("https://xhslink.com/m/6FHPUDd7jo0", "https://xhslink.com/m/6FHPUDd7jo0")</f>
        <v>https://xhslink.com/m/6FHPUDd7jo0</v>
      </c>
      <c r="D303"/>
      <c r="E303">
        <v>24000</v>
      </c>
      <c r="F303">
        <v>0.3</v>
      </c>
      <c r="G303"/>
      <c r="H303">
        <v>2000</v>
      </c>
      <c r="I303"/>
      <c r="J303"/>
      <c r="K303" t="inlineStr">
        <is>
          <t>资料</t>
        </is>
      </c>
      <c r="L303" t="inlineStr">
        <is>
          <t>🔥低粉爆款</t>
        </is>
      </c>
      <c r="M303" t="inlineStr">
        <is>
          <t>俞木西的店</t>
        </is>
      </c>
      <c r="N303">
        <v>1707</v>
      </c>
      <c r="O303">
        <v>4.5</v>
      </c>
      <c r="P303">
        <v>28000</v>
      </c>
      <c r="Q303" t="inlineStr">
        <is>
          <t>68aaf0ac9a164100013042b9</t>
        </is>
      </c>
      <c r="R303"/>
      <c r="S303" t="inlineStr">
        <is>
          <t>设计素材</t>
        </is>
      </c>
      <c r="T303" t="inlineStr">
        <is>
          <t>14.06</t>
        </is>
      </c>
      <c r="U303" s="3">
        <v>46112.78107638889</v>
      </c>
      <c r="V303" t="inlineStr">
        <is>
          <t>虚拟产品</t>
        </is>
      </c>
      <c r="W303" s="3">
        <v>46030</v>
      </c>
      <c r="X303" t="inlineStr">
        <is>
          <t>01</t>
        </is>
      </c>
      <c r="Y303" t="inlineStr">
        <is>
          <t>2026-Q1</t>
        </is>
      </c>
    </row>
    <row r="304" ht="38.25" customHeight="1">
      <c r="A304" t="inlineStr">
        <is>
          <t>结构化面试话术素材开挂手册电子版知识服务</t>
        </is>
      </c>
      <c r="B304" t="inlineStr">
        <is>
          <t>recv7JfW3QVg5g.jpg</t>
        </is>
      </c>
      <c r="C304" s="2" t="str">
        <f>=HYPERLINK("https://xhslink.com/m/25o69q9CQgN", "https://xhslink.com/m/25o69q9CQgN")</f>
        <v>https://xhslink.com/m/25o69q9CQgN</v>
      </c>
      <c r="D304"/>
      <c r="E304">
        <v>23000</v>
      </c>
      <c r="F304">
        <v>16.9</v>
      </c>
      <c r="G304"/>
      <c r="H304">
        <v>1500</v>
      </c>
      <c r="I304"/>
      <c r="J304"/>
      <c r="K304" t="inlineStr">
        <is>
          <t>资料</t>
        </is>
      </c>
      <c r="L304"/>
      <c r="M304" t="inlineStr">
        <is>
          <t>公考蔡文姬的店</t>
        </is>
      </c>
      <c r="N304">
        <v>14000</v>
      </c>
      <c r="O304">
        <v>4.5</v>
      </c>
      <c r="P304">
        <v>44000</v>
      </c>
      <c r="Q304" t="inlineStr">
        <is>
          <t>67ada8bb7b3de40001671c9f</t>
        </is>
      </c>
      <c r="R304" t="inlineStr">
        <is>
          <t>🚫重复</t>
        </is>
      </c>
      <c r="S304" t="inlineStr">
        <is>
          <t>求职面试/职场</t>
        </is>
      </c>
      <c r="T304" t="inlineStr">
        <is>
          <t>1.64</t>
        </is>
      </c>
      <c r="U304" s="3">
        <v>46112.78107638889</v>
      </c>
      <c r="V304" t="inlineStr">
        <is>
          <t>虚拟产品</t>
        </is>
      </c>
      <c r="W304" s="3">
        <v>46030</v>
      </c>
      <c r="X304" t="inlineStr">
        <is>
          <t>01</t>
        </is>
      </c>
      <c r="Y304" t="inlineStr">
        <is>
          <t>2026-Q1</t>
        </is>
      </c>
    </row>
    <row r="305" ht="38.25" customHeight="1">
      <c r="A305" t="inlineStr">
        <is>
          <t>大齐老师-人生卡点训练营</t>
        </is>
      </c>
      <c r="B305" t="inlineStr">
        <is>
          <t>recv7JfW3QfVGm.jpg</t>
        </is>
      </c>
      <c r="C305" s="2" t="str">
        <f>=HYPERLINK("https://xhslink.com/m/5JHrhVLuEw8", "https://xhslink.com/m/5JHrhVLuEw8")</f>
        <v>https://xhslink.com/m/5JHrhVLuEw8</v>
      </c>
      <c r="D305"/>
      <c r="E305">
        <v>19000</v>
      </c>
      <c r="F305">
        <v>19.9</v>
      </c>
      <c r="G305"/>
      <c r="H305">
        <v>100</v>
      </c>
      <c r="I305"/>
      <c r="J305"/>
      <c r="K305" t="inlineStr">
        <is>
          <t>资料</t>
        </is>
      </c>
      <c r="L305"/>
      <c r="M305" t="inlineStr">
        <is>
          <t>卓界商学的店</t>
        </is>
      </c>
      <c r="N305">
        <v>6477</v>
      </c>
      <c r="O305">
        <v>4.49</v>
      </c>
      <c r="P305">
        <v>75000</v>
      </c>
      <c r="Q305" t="inlineStr">
        <is>
          <t>66c310f83a77210001768f4e</t>
        </is>
      </c>
      <c r="R305"/>
      <c r="S305" t="inlineStr">
        <is>
          <t>生活成长</t>
        </is>
      </c>
      <c r="T305" t="inlineStr">
        <is>
          <t>2.93</t>
        </is>
      </c>
      <c r="U305" s="3">
        <v>46112.78107638889</v>
      </c>
      <c r="V305" t="inlineStr">
        <is>
          <t>虚拟产品</t>
        </is>
      </c>
      <c r="W305" s="3">
        <v>46030</v>
      </c>
      <c r="X305" t="inlineStr">
        <is>
          <t>01</t>
        </is>
      </c>
      <c r="Y305" t="inlineStr">
        <is>
          <t>2026-Q1</t>
        </is>
      </c>
    </row>
    <row r="306" ht="38.25" customHeight="1">
      <c r="A306" t="inlineStr">
        <is>
          <t>华图 · 申论规范词1000条 9大板块申论规范词</t>
        </is>
      </c>
      <c r="B306" t="inlineStr">
        <is>
          <t>recv7JfW3QFDTZ.jpg</t>
        </is>
      </c>
      <c r="C306" s="2" t="str">
        <f>=HYPERLINK("https://xhslink.com/m/25Mz9OlpvHt", "https://xhslink.com/m/25Mz9OlpvHt")</f>
        <v>https://xhslink.com/m/25Mz9OlpvHt</v>
      </c>
      <c r="D306"/>
      <c r="E306">
        <v>19000</v>
      </c>
      <c r="F306">
        <v>0.1</v>
      </c>
      <c r="G306"/>
      <c r="H306">
        <v>1500</v>
      </c>
      <c r="I306"/>
      <c r="J306"/>
      <c r="K306" t="inlineStr">
        <is>
          <t>资料</t>
        </is>
      </c>
      <c r="L306"/>
      <c r="M306" t="inlineStr">
        <is>
          <t>华图网校旗舰店</t>
        </is>
      </c>
      <c r="N306">
        <v>161000</v>
      </c>
      <c r="O306">
        <v>3.87</v>
      </c>
      <c r="P306">
        <v>90000</v>
      </c>
      <c r="Q306" t="inlineStr">
        <is>
          <t>6674e2f1646d15000134698d</t>
        </is>
      </c>
      <c r="R306" t="inlineStr">
        <is>
          <t>🚫重复</t>
        </is>
      </c>
      <c r="S306" t="inlineStr">
        <is>
          <t>考公资料</t>
        </is>
      </c>
      <c r="T306" t="inlineStr">
        <is>
          <t>0.12</t>
        </is>
      </c>
      <c r="U306" s="3">
        <v>46112.78107638889</v>
      </c>
      <c r="V306" t="inlineStr">
        <is>
          <t>虚拟产品</t>
        </is>
      </c>
      <c r="W306" s="3">
        <v>46030</v>
      </c>
      <c r="X306" t="inlineStr">
        <is>
          <t>01</t>
        </is>
      </c>
      <c r="Y306" t="inlineStr">
        <is>
          <t>2026-Q1</t>
        </is>
      </c>
    </row>
    <row r="307" ht="38.25" customHeight="1">
      <c r="A307" t="inlineStr">
        <is>
          <t>卫生系统招聘卫健委事业编题库app</t>
        </is>
      </c>
      <c r="B307" t="inlineStr">
        <is>
          <t>recv7JfW3QoJPc.jpg</t>
        </is>
      </c>
      <c r="C307" s="2" t="str">
        <f>=HYPERLINK("https://xhslink.com/m/16cXMSzbjQV", "https://xhslink.com/m/16cXMSzbjQV")</f>
        <v>https://xhslink.com/m/16cXMSzbjQV</v>
      </c>
      <c r="D307"/>
      <c r="E307">
        <v>18000</v>
      </c>
      <c r="F307">
        <v>18.9</v>
      </c>
      <c r="G307"/>
      <c r="H307">
        <v>800</v>
      </c>
      <c r="I307"/>
      <c r="J307"/>
      <c r="K307" t="inlineStr">
        <is>
          <t>资料</t>
        </is>
      </c>
      <c r="L307" t="inlineStr">
        <is>
          <t>🔥低粉爆款</t>
        </is>
      </c>
      <c r="M307" t="inlineStr">
        <is>
          <t>小倩学姐教育咨询的店</t>
        </is>
      </c>
      <c r="N307">
        <v>3703</v>
      </c>
      <c r="O307">
        <v>4.16</v>
      </c>
      <c r="P307">
        <v>21000</v>
      </c>
      <c r="Q307" t="inlineStr">
        <is>
          <t>672d9ad710adb50001c90361</t>
        </is>
      </c>
      <c r="R307" t="inlineStr">
        <is>
          <t>🚫重复</t>
        </is>
      </c>
      <c r="S307" t="inlineStr">
        <is>
          <t>软件应用</t>
        </is>
      </c>
      <c r="T307" t="inlineStr">
        <is>
          <t>4.86</t>
        </is>
      </c>
      <c r="U307" s="3">
        <v>46112.78107638889</v>
      </c>
      <c r="V307" t="inlineStr">
        <is>
          <t>虚拟产品</t>
        </is>
      </c>
      <c r="W307" s="3">
        <v>46030</v>
      </c>
      <c r="X307" t="inlineStr">
        <is>
          <t>01</t>
        </is>
      </c>
      <c r="Y307" t="inlineStr">
        <is>
          <t>2026-Q1</t>
        </is>
      </c>
    </row>
    <row r="308" ht="38.25" customHeight="1">
      <c r="A308" t="inlineStr">
        <is>
          <t>高中高三高考总复习知识解题技巧归纳总结教程资料提分课程重点</t>
        </is>
      </c>
      <c r="B308" t="inlineStr">
        <is>
          <t>recv7JfW3QyFg4.jpg</t>
        </is>
      </c>
      <c r="C308" s="2" t="str">
        <f>=HYPERLINK("https://xhslink.com/m/6xOGxjmD9if", "https://xhslink.com/m/6xOGxjmD9if")</f>
        <v>https://xhslink.com/m/6xOGxjmD9if</v>
      </c>
      <c r="D308"/>
      <c r="E308">
        <v>17000</v>
      </c>
      <c r="F308">
        <v>9.8</v>
      </c>
      <c r="G308"/>
      <c r="H308">
        <v>400</v>
      </c>
      <c r="I308"/>
      <c r="J308"/>
      <c r="K308" t="inlineStr">
        <is>
          <t>资料</t>
        </is>
      </c>
      <c r="L308"/>
      <c r="M308" t="inlineStr">
        <is>
          <t>发发的高中资料库的店</t>
        </is>
      </c>
      <c r="N308">
        <v>16000</v>
      </c>
      <c r="O308">
        <v>4.44</v>
      </c>
      <c r="P308">
        <v>50000</v>
      </c>
      <c r="Q308" t="inlineStr">
        <is>
          <t>6607d2b65c3c5a000156f295</t>
        </is>
      </c>
      <c r="R308" t="inlineStr">
        <is>
          <t>🚫重复</t>
        </is>
      </c>
      <c r="S308" t="inlineStr">
        <is>
          <t>高中/高考资料</t>
        </is>
      </c>
      <c r="T308" t="inlineStr">
        <is>
          <t>1.06</t>
        </is>
      </c>
      <c r="U308" s="3">
        <v>46112.78107638889</v>
      </c>
      <c r="V308" t="inlineStr">
        <is>
          <t>虚拟产品</t>
        </is>
      </c>
      <c r="W308" s="3">
        <v>46030</v>
      </c>
      <c r="X308" t="inlineStr">
        <is>
          <t>01</t>
        </is>
      </c>
      <c r="Y308" t="inlineStr">
        <is>
          <t>2026-Q1</t>
        </is>
      </c>
    </row>
    <row r="309" ht="38.25" customHeight="1">
      <c r="A309" t="inlineStr">
        <is>
          <t>外研社 · 瞬间记单词 英语词汇熟词拓展+词根+联想记忆法</t>
        </is>
      </c>
      <c r="B309" t="inlineStr">
        <is>
          <t>recv7JfW3QEQWQ.jpg</t>
        </is>
      </c>
      <c r="C309" s="2" t="str">
        <f>=HYPERLINK("https://xhslink.com/m/7KJMEsegoEu", "https://xhslink.com/m/7KJMEsegoEu")</f>
        <v>https://xhslink.com/m/7KJMEsegoEu</v>
      </c>
      <c r="D309"/>
      <c r="E309">
        <v>17000</v>
      </c>
      <c r="F309">
        <v>34.9</v>
      </c>
      <c r="G309"/>
      <c r="H309">
        <v>100</v>
      </c>
      <c r="I309"/>
      <c r="J309"/>
      <c r="K309" t="inlineStr">
        <is>
          <t>资料</t>
        </is>
      </c>
      <c r="L309"/>
      <c r="M309" t="inlineStr">
        <is>
          <t>外研社旗舰店</t>
        </is>
      </c>
      <c r="N309">
        <v>97000</v>
      </c>
      <c r="O309">
        <v>4.7</v>
      </c>
      <c r="P309">
        <v>217000</v>
      </c>
      <c r="Q309" t="inlineStr">
        <is>
          <t>6523674b244e7b0001a036c9</t>
        </is>
      </c>
      <c r="R309" t="inlineStr">
        <is>
          <t>🚫重复</t>
        </is>
      </c>
      <c r="S309" t="inlineStr">
        <is>
          <t>英语资料</t>
        </is>
      </c>
      <c r="T309" t="inlineStr">
        <is>
          <t>0.18</t>
        </is>
      </c>
      <c r="U309" s="3">
        <v>46112.78107638889</v>
      </c>
      <c r="V309" t="inlineStr">
        <is>
          <t>虚拟产品</t>
        </is>
      </c>
      <c r="W309" s="3">
        <v>46030</v>
      </c>
      <c r="X309" t="inlineStr">
        <is>
          <t>01</t>
        </is>
      </c>
      <c r="Y309" t="inlineStr">
        <is>
          <t>2026-Q1</t>
        </is>
      </c>
    </row>
    <row r="310" ht="38.25" customHeight="1">
      <c r="A310" t="inlineStr">
        <is>
          <t>60多款课前游戏PPT课件（拍下自动发网盘）</t>
        </is>
      </c>
      <c r="B310" t="inlineStr">
        <is>
          <t>recv7JfW3QQ39Y.jpg</t>
        </is>
      </c>
      <c r="C310" s="2" t="str">
        <f>=HYPERLINK("https://xhslink.com/m/5NMvnztSSlo", "https://xhslink.com/m/5NMvnztSSlo")</f>
        <v>https://xhslink.com/m/5NMvnztSSlo</v>
      </c>
      <c r="D310"/>
      <c r="E310">
        <v>16000</v>
      </c>
      <c r="F310">
        <v>6.99</v>
      </c>
      <c r="G310"/>
      <c r="H310">
        <v>2000</v>
      </c>
      <c r="I310"/>
      <c r="J310"/>
      <c r="K310" t="inlineStr">
        <is>
          <t>资料</t>
        </is>
      </c>
      <c r="L310"/>
      <c r="M310" t="inlineStr">
        <is>
          <t>小雅老师.的店</t>
        </is>
      </c>
      <c r="N310">
        <v>49000</v>
      </c>
      <c r="O310">
        <v>4.74</v>
      </c>
      <c r="P310">
        <v>75000</v>
      </c>
      <c r="Q310" t="inlineStr">
        <is>
          <t>682386d76d54370001bfefac</t>
        </is>
      </c>
      <c r="R310" t="inlineStr">
        <is>
          <t>🚫重复</t>
        </is>
      </c>
      <c r="S310" t="inlineStr">
        <is>
          <t>PPT模板</t>
        </is>
      </c>
      <c r="T310" t="inlineStr">
        <is>
          <t>0.33</t>
        </is>
      </c>
      <c r="U310" s="3">
        <v>46112.78107638889</v>
      </c>
      <c r="V310" t="inlineStr">
        <is>
          <t>虚拟产品</t>
        </is>
      </c>
      <c r="W310" s="3">
        <v>46030</v>
      </c>
      <c r="X310" t="inlineStr">
        <is>
          <t>01</t>
        </is>
      </c>
      <c r="Y310" t="inlineStr">
        <is>
          <t>2026-Q1</t>
        </is>
      </c>
    </row>
    <row r="311" ht="38.25" customHeight="1">
      <c r="A311" t="inlineStr">
        <is>
          <t>303号：三上园地/小练笔</t>
        </is>
      </c>
      <c r="B311" t="inlineStr">
        <is>
          <t>recv7JfW3Qhm9a.jpg</t>
        </is>
      </c>
      <c r="C311" s="2" t="str">
        <f>=HYPERLINK("https://xhslink.com/m/86yf2I66s4V", "https://xhslink.com/m/86yf2I66s4V")</f>
        <v>https://xhslink.com/m/86yf2I66s4V</v>
      </c>
      <c r="D311"/>
      <c r="E311">
        <v>14000</v>
      </c>
      <c r="F311">
        <v>1</v>
      </c>
      <c r="G311"/>
      <c r="H311">
        <v>2000</v>
      </c>
      <c r="I311"/>
      <c r="J311"/>
      <c r="K311" t="inlineStr">
        <is>
          <t>资料</t>
        </is>
      </c>
      <c r="L311"/>
      <c r="M311" t="inlineStr">
        <is>
          <t>张主任的情报库的店</t>
        </is>
      </c>
      <c r="N311">
        <v>28000</v>
      </c>
      <c r="O311">
        <v>4.56</v>
      </c>
      <c r="P311">
        <v>218000</v>
      </c>
      <c r="Q311" t="inlineStr">
        <is>
          <t>69231ca714b5260001052360</t>
        </is>
      </c>
      <c r="R311" t="inlineStr">
        <is>
          <t>🚫重复</t>
        </is>
      </c>
      <c r="S311" t="inlineStr">
        <is>
          <t>中小学教辅/教材</t>
        </is>
      </c>
      <c r="T311" t="inlineStr">
        <is>
          <t>0.50</t>
        </is>
      </c>
      <c r="U311" s="3">
        <v>46112.78107638889</v>
      </c>
      <c r="V311" t="inlineStr">
        <is>
          <t>虚拟产品</t>
        </is>
      </c>
      <c r="W311" s="3">
        <v>46030</v>
      </c>
      <c r="X311" t="inlineStr">
        <is>
          <t>01</t>
        </is>
      </c>
      <c r="Y311" t="inlineStr">
        <is>
          <t>2026-Q1</t>
        </is>
      </c>
    </row>
    <row r="312" ht="38.25" customHeight="1">
      <c r="A312" t="inlineStr">
        <is>
          <t>华图 · 高频成语+实词辨析汇总 高频成语800词 实词辨析1500词</t>
        </is>
      </c>
      <c r="B312" t="inlineStr">
        <is>
          <t>recv7JfW3QbKcq.jpg</t>
        </is>
      </c>
      <c r="C312" s="2" t="str">
        <f>=HYPERLINK("https://xhslink.com/m/2OiB8jTBbUM", "https://xhslink.com/m/2OiB8jTBbUM")</f>
        <v>https://xhslink.com/m/2OiB8jTBbUM</v>
      </c>
      <c r="D312"/>
      <c r="E312">
        <v>14000</v>
      </c>
      <c r="F312">
        <v>0.1</v>
      </c>
      <c r="G312"/>
      <c r="H312">
        <v>400</v>
      </c>
      <c r="I312"/>
      <c r="J312"/>
      <c r="K312" t="inlineStr">
        <is>
          <t>资料</t>
        </is>
      </c>
      <c r="L312"/>
      <c r="M312" t="inlineStr">
        <is>
          <t>华图网校旗舰店</t>
        </is>
      </c>
      <c r="N312">
        <v>161000</v>
      </c>
      <c r="O312">
        <v>3.87</v>
      </c>
      <c r="P312">
        <v>90000</v>
      </c>
      <c r="Q312" t="inlineStr">
        <is>
          <t>667131c68263bf0001c403b7</t>
        </is>
      </c>
      <c r="R312" t="inlineStr">
        <is>
          <t>🚫重复</t>
        </is>
      </c>
      <c r="S312" t="inlineStr">
        <is>
          <t>考公资料</t>
        </is>
      </c>
      <c r="T312" t="inlineStr">
        <is>
          <t>0.09</t>
        </is>
      </c>
      <c r="U312" s="3">
        <v>46112.78107638889</v>
      </c>
      <c r="V312" t="inlineStr">
        <is>
          <t>虚拟产品</t>
        </is>
      </c>
      <c r="W312" s="3">
        <v>46030</v>
      </c>
      <c r="X312" t="inlineStr">
        <is>
          <t>01</t>
        </is>
      </c>
      <c r="Y312" t="inlineStr">
        <is>
          <t>2026-Q1</t>
        </is>
      </c>
    </row>
    <row r="313" ht="38.25" customHeight="1">
      <c r="A313" t="inlineStr">
        <is>
          <t>25行测五大模块核心考点笔记本 虚拟定制</t>
        </is>
      </c>
      <c r="B313" t="inlineStr">
        <is>
          <t>recv7JfW3QwBMx.jpg</t>
        </is>
      </c>
      <c r="C313" s="2" t="str">
        <f>=HYPERLINK("https://xhslink.com/m/48Ey57zRswf", "https://xhslink.com/m/48Ey57zRswf")</f>
        <v>https://xhslink.com/m/48Ey57zRswf</v>
      </c>
      <c r="D313"/>
      <c r="E313">
        <v>14000</v>
      </c>
      <c r="F313">
        <v>3.9</v>
      </c>
      <c r="G313"/>
      <c r="H313">
        <v>250</v>
      </c>
      <c r="I313"/>
      <c r="J313"/>
      <c r="K313" t="inlineStr">
        <is>
          <t>资料</t>
        </is>
      </c>
      <c r="L313" t="inlineStr">
        <is>
          <t>🔥低粉爆款</t>
        </is>
      </c>
      <c r="M313" t="inlineStr">
        <is>
          <t>考公你就多学吧的店</t>
        </is>
      </c>
      <c r="N313">
        <v>4044</v>
      </c>
      <c r="O313">
        <v>4.17</v>
      </c>
      <c r="P313">
        <v>15000</v>
      </c>
      <c r="Q313" t="inlineStr">
        <is>
          <t>66e560386853b000014fab3f</t>
        </is>
      </c>
      <c r="R313"/>
      <c r="S313" t="inlineStr">
        <is>
          <t>考公资料</t>
        </is>
      </c>
      <c r="T313" t="inlineStr">
        <is>
          <t>3.46</t>
        </is>
      </c>
      <c r="U313" s="3">
        <v>46112.78107638889</v>
      </c>
      <c r="V313" t="inlineStr">
        <is>
          <t>虚拟产品</t>
        </is>
      </c>
      <c r="W313" s="3">
        <v>46030</v>
      </c>
      <c r="X313" t="inlineStr">
        <is>
          <t>01</t>
        </is>
      </c>
      <c r="Y313" t="inlineStr">
        <is>
          <t>2026-Q1</t>
        </is>
      </c>
    </row>
    <row r="314" ht="38.25" customHeight="1">
      <c r="A314" t="inlineStr">
        <is>
          <t>全国院校考研数据复试分数线拟录取名单（持续更新）</t>
        </is>
      </c>
      <c r="B314" t="inlineStr">
        <is>
          <t>recv7JfW3QEUPF.jpg</t>
        </is>
      </c>
      <c r="C314" s="2" t="str">
        <f>=HYPERLINK("https://xhslink.com/m/3n4Xp20n3Sf", "https://xhslink.com/m/3n4Xp20n3Sf")</f>
        <v>https://xhslink.com/m/3n4Xp20n3Sf</v>
      </c>
      <c r="D314"/>
      <c r="E314">
        <v>14000</v>
      </c>
      <c r="F314">
        <v>0.1</v>
      </c>
      <c r="G314"/>
      <c r="H314">
        <v>250</v>
      </c>
      <c r="I314"/>
      <c r="J314"/>
      <c r="K314" t="inlineStr">
        <is>
          <t>资料</t>
        </is>
      </c>
      <c r="L314"/>
      <c r="M314" t="inlineStr">
        <is>
          <t>弘学考研大数据咨询的店</t>
        </is>
      </c>
      <c r="N314">
        <v>7345</v>
      </c>
      <c r="O314">
        <v>4.28</v>
      </c>
      <c r="P314">
        <v>14000</v>
      </c>
      <c r="Q314" t="inlineStr">
        <is>
          <t>65e68ce9506b400001bfa8c8</t>
        </is>
      </c>
      <c r="R314"/>
      <c r="S314" t="inlineStr">
        <is>
          <t>考研资料</t>
        </is>
      </c>
      <c r="T314" t="inlineStr">
        <is>
          <t>1.91</t>
        </is>
      </c>
      <c r="U314" s="3">
        <v>46112.78107638889</v>
      </c>
      <c r="V314" t="inlineStr">
        <is>
          <t>虚拟产品</t>
        </is>
      </c>
      <c r="W314" s="3">
        <v>46030</v>
      </c>
      <c r="X314" t="inlineStr">
        <is>
          <t>01</t>
        </is>
      </c>
      <c r="Y314" t="inlineStr">
        <is>
          <t>2026-Q1</t>
        </is>
      </c>
    </row>
    <row r="315" ht="38.25" customHeight="1">
      <c r="A315" t="inlineStr">
        <is>
          <t>2026一数·必刷100讲·高考数学核心方法</t>
        </is>
      </c>
      <c r="B315" t="inlineStr">
        <is>
          <t>recv7JfW3Q0rA8.jpg</t>
        </is>
      </c>
      <c r="C315" s="2" t="str">
        <f>=HYPERLINK("https://xhslink.com/m/AN2ObcJuMoz", "https://xhslink.com/m/AN2ObcJuMoz")</f>
        <v>https://xhslink.com/m/AN2ObcJuMoz</v>
      </c>
      <c r="D315"/>
      <c r="E315">
        <v>14000</v>
      </c>
      <c r="F315">
        <v>45.8</v>
      </c>
      <c r="G315"/>
      <c r="H315">
        <v>150</v>
      </c>
      <c r="I315"/>
      <c r="J315"/>
      <c r="K315" t="inlineStr">
        <is>
          <t>资料</t>
        </is>
      </c>
      <c r="L315"/>
      <c r="M315" t="inlineStr">
        <is>
          <t>一数教辅的店</t>
        </is>
      </c>
      <c r="N315">
        <v>49000</v>
      </c>
      <c r="O315">
        <v>4.71</v>
      </c>
      <c r="P315">
        <v>40000</v>
      </c>
      <c r="Q315" t="inlineStr">
        <is>
          <t>687647f3071cdc0001f69f56</t>
        </is>
      </c>
      <c r="R315" t="inlineStr">
        <is>
          <t>🚫重复</t>
        </is>
      </c>
      <c r="S315" t="inlineStr">
        <is>
          <t>高中/高考资料</t>
        </is>
      </c>
      <c r="T315" t="inlineStr">
        <is>
          <t>0.29</t>
        </is>
      </c>
      <c r="U315" s="3">
        <v>46112.78107638889</v>
      </c>
      <c r="V315" t="inlineStr">
        <is>
          <t>虚拟产品</t>
        </is>
      </c>
      <c r="W315" s="3">
        <v>46030</v>
      </c>
      <c r="X315" t="inlineStr">
        <is>
          <t>01</t>
        </is>
      </c>
      <c r="Y315" t="inlineStr">
        <is>
          <t>2026-Q1</t>
        </is>
      </c>
    </row>
    <row r="316" ht="38.25" customHeight="1">
      <c r="A316" t="inlineStr">
        <is>
          <t>点读版团印小学英-语·语～法知识汇总·支持小达人小蝌蚪等笔</t>
        </is>
      </c>
      <c r="B316" t="inlineStr">
        <is>
          <t>recv7JfW3Q0qw7.jpg</t>
        </is>
      </c>
      <c r="C316" s="2" t="str">
        <f>=HYPERLINK("https://xhslink.com/m/27GM7gNfZKz", "https://xhslink.com/m/27GM7gNfZKz")</f>
        <v>https://xhslink.com/m/27GM7gNfZKz</v>
      </c>
      <c r="D316"/>
      <c r="E316">
        <v>14000</v>
      </c>
      <c r="F316">
        <v>29.9</v>
      </c>
      <c r="G316"/>
      <c r="H316">
        <v>98</v>
      </c>
      <c r="I316"/>
      <c r="J316"/>
      <c r="K316" t="inlineStr">
        <is>
          <t>资料</t>
        </is>
      </c>
      <c r="L316" t="inlineStr">
        <is>
          <t>🔥低粉爆款</t>
        </is>
      </c>
      <c r="M316" t="inlineStr">
        <is>
          <t>智教乐学的店</t>
        </is>
      </c>
      <c r="N316">
        <v>3342</v>
      </c>
      <c r="O316">
        <v>4.51</v>
      </c>
      <c r="P316">
        <v>31000</v>
      </c>
      <c r="Q316" t="inlineStr">
        <is>
          <t>656e9353640a400001aed82a</t>
        </is>
      </c>
      <c r="R316"/>
      <c r="S316" t="inlineStr">
        <is>
          <t>中小学教辅/教材</t>
        </is>
      </c>
      <c r="T316" t="inlineStr">
        <is>
          <t>4.19</t>
        </is>
      </c>
      <c r="U316" s="3">
        <v>46112.78107638889</v>
      </c>
      <c r="V316" t="inlineStr">
        <is>
          <t>虚拟产品</t>
        </is>
      </c>
      <c r="W316" s="3">
        <v>46030</v>
      </c>
      <c r="X316" t="inlineStr">
        <is>
          <t>01</t>
        </is>
      </c>
      <c r="Y316" t="inlineStr">
        <is>
          <t>2026-Q1</t>
        </is>
      </c>
    </row>
    <row r="317" ht="38.25" customHeight="1">
      <c r="A317" t="inlineStr">
        <is>
          <t>半小书 · 2026高中黄夫人物理/佟大大数学&amp;送免费视频录播课+单独答案解析</t>
        </is>
      </c>
      <c r="B317" t="inlineStr">
        <is>
          <t>recv7JfW3QSwTy.jpg</t>
        </is>
      </c>
      <c r="C317" s="2" t="str">
        <f>=HYPERLINK("https://xhslink.com/m/6B07S4F8AHx", "https://xhslink.com/m/6B07S4F8AHx")</f>
        <v>https://xhslink.com/m/6B07S4F8AHx</v>
      </c>
      <c r="D317"/>
      <c r="E317">
        <v>14000</v>
      </c>
      <c r="F317">
        <v>128</v>
      </c>
      <c r="G317"/>
      <c r="H317">
        <v>400</v>
      </c>
      <c r="I317"/>
      <c r="J317"/>
      <c r="K317" t="inlineStr">
        <is>
          <t>资料</t>
        </is>
      </c>
      <c r="L317"/>
      <c r="M317" t="inlineStr">
        <is>
          <t>半小书旗舰店</t>
        </is>
      </c>
      <c r="N317">
        <v>24000</v>
      </c>
      <c r="O317">
        <v>4.67</v>
      </c>
      <c r="P317">
        <v>42000</v>
      </c>
      <c r="Q317" t="inlineStr">
        <is>
          <t>64e56f2e3d00fd0001f5f85a</t>
        </is>
      </c>
      <c r="R317" t="inlineStr">
        <is>
          <t>🚫重复</t>
        </is>
      </c>
      <c r="S317" t="inlineStr">
        <is>
          <t>高中/高考资料</t>
        </is>
      </c>
      <c r="T317" t="inlineStr">
        <is>
          <t>0.58</t>
        </is>
      </c>
      <c r="U317" s="3">
        <v>46112.78107638889</v>
      </c>
      <c r="V317" t="inlineStr">
        <is>
          <t>虚拟产品</t>
        </is>
      </c>
      <c r="W317" s="3">
        <v>46030</v>
      </c>
      <c r="X317" t="inlineStr">
        <is>
          <t>01</t>
        </is>
      </c>
      <c r="Y317" t="inlineStr">
        <is>
          <t>2026-Q1</t>
        </is>
      </c>
    </row>
    <row r="318" ht="38.25" customHeight="1">
      <c r="A318" t="inlineStr">
        <is>
          <t>一人公司0-100w搞钱案例100个，搞钱/IP/自由职业/小红书/副业</t>
        </is>
      </c>
      <c r="B318" t="inlineStr">
        <is>
          <t>recv7JfW3QSHyS.jpg</t>
        </is>
      </c>
      <c r="C318" s="2" t="str">
        <f>=HYPERLINK("https://xhslink.com/m/Afz7jYLKTDJ", "https://xhslink.com/m/Afz7jYLKTDJ")</f>
        <v>https://xhslink.com/m/Afz7jYLKTDJ</v>
      </c>
      <c r="D318"/>
      <c r="E318">
        <v>13000</v>
      </c>
      <c r="F318">
        <v>0.2</v>
      </c>
      <c r="G318"/>
      <c r="H318">
        <v>1000</v>
      </c>
      <c r="I318"/>
      <c r="J318"/>
      <c r="K318" t="inlineStr">
        <is>
          <t>资料</t>
        </is>
      </c>
      <c r="L318" t="inlineStr">
        <is>
          <t>🔥低粉爆款</t>
        </is>
      </c>
      <c r="M318" t="inlineStr">
        <is>
          <t>money money来的店</t>
        </is>
      </c>
      <c r="N318">
        <v>3455</v>
      </c>
      <c r="O318">
        <v>4.07</v>
      </c>
      <c r="P318">
        <v>13000</v>
      </c>
      <c r="Q318" t="inlineStr">
        <is>
          <t>689329f30e13d50001854a0d</t>
        </is>
      </c>
      <c r="R318"/>
      <c r="S318" t="inlineStr">
        <is>
          <t>生活成长</t>
        </is>
      </c>
      <c r="T318" t="inlineStr">
        <is>
          <t>3.76</t>
        </is>
      </c>
      <c r="U318" s="3">
        <v>46112.78107638889</v>
      </c>
      <c r="V318" t="inlineStr">
        <is>
          <t>虚拟产品</t>
        </is>
      </c>
      <c r="W318" s="3">
        <v>46030</v>
      </c>
      <c r="X318" t="inlineStr">
        <is>
          <t>01</t>
        </is>
      </c>
      <c r="Y318" t="inlineStr">
        <is>
          <t>2026-Q1</t>
        </is>
      </c>
    </row>
    <row r="319" ht="38.25" customHeight="1">
      <c r="A319" t="inlineStr">
        <is>
          <t>语芽 · 25年小学生寒暑假日常学习自律打卡神器学习计划本</t>
        </is>
      </c>
      <c r="B319" t="inlineStr">
        <is>
          <t>recv7JfW3QmnAg.jpg</t>
        </is>
      </c>
      <c r="C319" s="2" t="str">
        <f>=HYPERLINK("https://xhslink.com/m/5k68X2bz6YD", "https://xhslink.com/m/5k68X2bz6YD")</f>
        <v>https://xhslink.com/m/5k68X2bz6YD</v>
      </c>
      <c r="D319"/>
      <c r="E319">
        <v>13000</v>
      </c>
      <c r="F319">
        <v>19.9</v>
      </c>
      <c r="G319"/>
      <c r="H319">
        <v>1000</v>
      </c>
      <c r="I319"/>
      <c r="J319"/>
      <c r="K319" t="inlineStr">
        <is>
          <t>资料</t>
        </is>
      </c>
      <c r="L319" t="inlineStr">
        <is>
          <t>🔥低粉爆款</t>
        </is>
      </c>
      <c r="M319" t="inlineStr">
        <is>
          <t>语芽玩具旗舰店</t>
        </is>
      </c>
      <c r="N319">
        <v>4235</v>
      </c>
      <c r="O319">
        <v>4.58</v>
      </c>
      <c r="P319">
        <v>28000</v>
      </c>
      <c r="Q319" t="inlineStr">
        <is>
          <t>67ecf14b1e01cb0001ee3474</t>
        </is>
      </c>
      <c r="R319" t="inlineStr">
        <is>
          <t>🚫重复</t>
        </is>
      </c>
      <c r="S319" t="inlineStr">
        <is>
          <t>中小学教辅/教材</t>
        </is>
      </c>
      <c r="T319" t="inlineStr">
        <is>
          <t>3.07</t>
        </is>
      </c>
      <c r="U319" s="3">
        <v>46112.78107638889</v>
      </c>
      <c r="V319" t="inlineStr">
        <is>
          <t>虚拟产品</t>
        </is>
      </c>
      <c r="W319" s="3">
        <v>46030</v>
      </c>
      <c r="X319" t="inlineStr">
        <is>
          <t>01</t>
        </is>
      </c>
      <c r="Y319" t="inlineStr">
        <is>
          <t>2026-Q1</t>
        </is>
      </c>
    </row>
    <row r="320" ht="38.25" customHeight="1">
      <c r="A320" t="inlineStr">
        <is>
          <t>新人教版教资用高中各科语数英物理化学生物历史政治地理教案学案</t>
        </is>
      </c>
      <c r="B320" t="inlineStr">
        <is>
          <t>recv7JfW3QsxSN.jpg</t>
        </is>
      </c>
      <c r="C320" s="2" t="str">
        <f>=HYPERLINK("https://xhslink.com/m/9ATeiAGfu8H", "https://xhslink.com/m/9ATeiAGfu8H")</f>
        <v>https://xhslink.com/m/9ATeiAGfu8H</v>
      </c>
      <c r="D320"/>
      <c r="E320">
        <v>12000</v>
      </c>
      <c r="F320">
        <v>6.8</v>
      </c>
      <c r="G320"/>
      <c r="H320">
        <v>300</v>
      </c>
      <c r="I320"/>
      <c r="J320"/>
      <c r="K320" t="inlineStr">
        <is>
          <t>资料</t>
        </is>
      </c>
      <c r="L320"/>
      <c r="M320" t="inlineStr">
        <is>
          <t>佛系的曾老师的店</t>
        </is>
      </c>
      <c r="N320">
        <v>6292</v>
      </c>
      <c r="O320">
        <v>4.08</v>
      </c>
      <c r="P320">
        <v>27000</v>
      </c>
      <c r="Q320" t="inlineStr">
        <is>
          <t>6688cc5f17c17100013b2679</t>
        </is>
      </c>
      <c r="R320" t="inlineStr">
        <is>
          <t>🚫重复</t>
        </is>
      </c>
      <c r="S320" t="inlineStr">
        <is>
          <t>教资资料</t>
        </is>
      </c>
      <c r="T320" t="inlineStr">
        <is>
          <t>1.91</t>
        </is>
      </c>
      <c r="U320" s="3">
        <v>46112.78107638889</v>
      </c>
      <c r="V320" t="inlineStr">
        <is>
          <t>虚拟产品</t>
        </is>
      </c>
      <c r="W320" s="3">
        <v>46030</v>
      </c>
      <c r="X320" t="inlineStr">
        <is>
          <t>01</t>
        </is>
      </c>
      <c r="Y320" t="inlineStr">
        <is>
          <t>2026-Q1</t>
        </is>
      </c>
    </row>
    <row r="321" ht="38.25" customHeight="1">
      <c r="A321" t="inlineStr">
        <is>
          <t>初中语文作文合集</t>
        </is>
      </c>
      <c r="B321" t="inlineStr">
        <is>
          <t>recv7JfW3QidR4.jpg</t>
        </is>
      </c>
      <c r="C321" s="2" t="str">
        <f>=HYPERLINK("https://xhslink.com/m/9JaFpP3XDvY", "https://xhslink.com/m/9JaFpP3XDvY")</f>
        <v>https://xhslink.com/m/9JaFpP3XDvY</v>
      </c>
      <c r="D321"/>
      <c r="E321">
        <v>12000</v>
      </c>
      <c r="F321">
        <v>9.9</v>
      </c>
      <c r="G321"/>
      <c r="H321">
        <v>250</v>
      </c>
      <c r="I321"/>
      <c r="J321"/>
      <c r="K321" t="inlineStr">
        <is>
          <t>资料</t>
        </is>
      </c>
      <c r="L321"/>
      <c r="M321" t="inlineStr">
        <is>
          <t>教语文的常老师的店</t>
        </is>
      </c>
      <c r="N321">
        <v>14000</v>
      </c>
      <c r="O321">
        <v>4.52</v>
      </c>
      <c r="P321">
        <v>31000</v>
      </c>
      <c r="Q321" t="inlineStr">
        <is>
          <t>664f754f33941b0001c55df6</t>
        </is>
      </c>
      <c r="R321" t="inlineStr">
        <is>
          <t>🚫重复</t>
        </is>
      </c>
      <c r="S321" t="inlineStr">
        <is>
          <t>中小学教辅/教材</t>
        </is>
      </c>
      <c r="T321" t="inlineStr">
        <is>
          <t>0.86</t>
        </is>
      </c>
      <c r="U321" s="3">
        <v>46112.78107638889</v>
      </c>
      <c r="V321" t="inlineStr">
        <is>
          <t>虚拟产品</t>
        </is>
      </c>
      <c r="W321" s="3">
        <v>46030</v>
      </c>
      <c r="X321" t="inlineStr">
        <is>
          <t>01</t>
        </is>
      </c>
      <c r="Y321" t="inlineStr">
        <is>
          <t>2026-Q1</t>
        </is>
      </c>
    </row>
    <row r="322" ht="38.25" customHeight="1">
      <c r="A322" t="inlineStr">
        <is>
          <t>最新写作/全网零重/笔记内容策划书完整版案例一百篇</t>
        </is>
      </c>
      <c r="B322" t="inlineStr">
        <is>
          <t>recv7JfW3QyCFd.jpg</t>
        </is>
      </c>
      <c r="C322" s="2" t="str">
        <f>=HYPERLINK("https://xhslink.com/m/7dbsx28Dw72", "https://xhslink.com/m/7dbsx28Dw72")</f>
        <v>https://xhslink.com/m/7dbsx28Dw72</v>
      </c>
      <c r="D322"/>
      <c r="E322">
        <v>12000</v>
      </c>
      <c r="F322">
        <v>3.99</v>
      </c>
      <c r="G322"/>
      <c r="H322">
        <v>300</v>
      </c>
      <c r="I322"/>
      <c r="J322"/>
      <c r="K322" t="inlineStr">
        <is>
          <t>资料</t>
        </is>
      </c>
      <c r="L322"/>
      <c r="M322" t="inlineStr">
        <is>
          <t>芷若的店</t>
        </is>
      </c>
      <c r="N322">
        <v>5503</v>
      </c>
      <c r="O322">
        <v>4.11</v>
      </c>
      <c r="P322">
        <v>12000</v>
      </c>
      <c r="Q322" t="inlineStr">
        <is>
          <t>6610b226cca4850001b5c0b2</t>
        </is>
      </c>
      <c r="R322"/>
      <c r="S322" t="inlineStr">
        <is>
          <t>无匹配类别</t>
        </is>
      </c>
      <c r="T322" t="inlineStr">
        <is>
          <t>2.18</t>
        </is>
      </c>
      <c r="U322" s="3">
        <v>46112.78107638889</v>
      </c>
      <c r="V322" t="inlineStr">
        <is>
          <t>虚拟产品</t>
        </is>
      </c>
      <c r="W322" s="3">
        <v>46030</v>
      </c>
      <c r="X322" t="inlineStr">
        <is>
          <t>01</t>
        </is>
      </c>
      <c r="Y322" t="inlineStr">
        <is>
          <t>2026-Q1</t>
        </is>
      </c>
    </row>
    <row r="323" ht="38.25" customHeight="1">
      <c r="A323" t="inlineStr">
        <is>
          <t>主页曲谱任选一首｜电子档</t>
        </is>
      </c>
      <c r="B323" t="inlineStr">
        <is>
          <t>recv7JfW3QO25S.jpg</t>
        </is>
      </c>
      <c r="C323" s="2" t="str">
        <f>=HYPERLINK("https://xhslink.com/m/9arFXjvpNA6", "https://xhslink.com/m/9arFXjvpNA6")</f>
        <v>https://xhslink.com/m/9arFXjvpNA6</v>
      </c>
      <c r="D323"/>
      <c r="E323">
        <v>11000</v>
      </c>
      <c r="F323">
        <v>8.8</v>
      </c>
      <c r="G323"/>
      <c r="H323">
        <v>550</v>
      </c>
      <c r="I323"/>
      <c r="J323"/>
      <c r="K323" t="inlineStr">
        <is>
          <t>资料</t>
        </is>
      </c>
      <c r="L323"/>
      <c r="M323" t="inlineStr">
        <is>
          <t>哈哈哈学钢琴的店</t>
        </is>
      </c>
      <c r="N323">
        <v>45000</v>
      </c>
      <c r="O323">
        <v>4.57</v>
      </c>
      <c r="P323">
        <v>14000</v>
      </c>
      <c r="Q323" t="inlineStr">
        <is>
          <t>660d85bba9f6ca00010745dc</t>
        </is>
      </c>
      <c r="R323"/>
      <c r="S323" t="inlineStr">
        <is>
          <t>生活成长</t>
        </is>
      </c>
      <c r="T323" t="inlineStr">
        <is>
          <t>0.24</t>
        </is>
      </c>
      <c r="U323" s="3">
        <v>46112.78107638889</v>
      </c>
      <c r="V323" t="inlineStr">
        <is>
          <t>虚拟产品</t>
        </is>
      </c>
      <c r="W323" s="3">
        <v>46030</v>
      </c>
      <c r="X323" t="inlineStr">
        <is>
          <t>01</t>
        </is>
      </c>
      <c r="Y323" t="inlineStr">
        <is>
          <t>2026-Q1</t>
        </is>
      </c>
    </row>
    <row r="324" ht="38.25" customHeight="1">
      <c r="A324" t="inlineStr">
        <is>
          <t>25秋季新版人教版1-6年级练字帖竖版练字贴定制成品定制成品/现货</t>
        </is>
      </c>
      <c r="B324" t="inlineStr">
        <is>
          <t>recv7JfW3QjQJU.jpg</t>
        </is>
      </c>
      <c r="C324" s="2" t="str">
        <f>=HYPERLINK("https://xhslink.com/m/ArMIQqu1KIK", "https://xhslink.com/m/ArMIQqu1KIK")</f>
        <v>https://xhslink.com/m/ArMIQqu1KIK</v>
      </c>
      <c r="D324"/>
      <c r="E324">
        <v>11000</v>
      </c>
      <c r="F324">
        <v>9.9</v>
      </c>
      <c r="G324"/>
      <c r="H324">
        <v>300</v>
      </c>
      <c r="I324"/>
      <c r="J324"/>
      <c r="K324" t="inlineStr">
        <is>
          <t>资料</t>
        </is>
      </c>
      <c r="L324" t="inlineStr">
        <is>
          <t>🔥低粉爆款</t>
        </is>
      </c>
      <c r="M324" t="inlineStr">
        <is>
          <t>雨水煮鸡蛋的店</t>
        </is>
      </c>
      <c r="N324">
        <v>2737</v>
      </c>
      <c r="O324">
        <v>4.79</v>
      </c>
      <c r="P324">
        <v>29000</v>
      </c>
      <c r="Q324" t="inlineStr">
        <is>
          <t>6775653577d41e000138b09b</t>
        </is>
      </c>
      <c r="R324"/>
      <c r="S324" t="inlineStr">
        <is>
          <t>中小学教辅/教材</t>
        </is>
      </c>
      <c r="T324" t="inlineStr">
        <is>
          <t>4.02</t>
        </is>
      </c>
      <c r="U324" s="3">
        <v>46112.78107638889</v>
      </c>
      <c r="V324" t="inlineStr">
        <is>
          <t>虚拟产品</t>
        </is>
      </c>
      <c r="W324" s="3">
        <v>46030</v>
      </c>
      <c r="X324" t="inlineStr">
        <is>
          <t>01</t>
        </is>
      </c>
      <c r="Y324" t="inlineStr">
        <is>
          <t>2026-Q1</t>
        </is>
      </c>
    </row>
    <row r="325" ht="38.25" customHeight="1">
      <c r="A325" t="inlineStr">
        <is>
          <t>中信书店 · 抄写英语的奇迹 100篇激励人心的英文文章练就双语肌肉与强者心态</t>
        </is>
      </c>
      <c r="B325" t="inlineStr">
        <is>
          <t>recv7JfW3QHrdj.jpg</t>
        </is>
      </c>
      <c r="C325" s="2" t="str">
        <f>=HYPERLINK("https://xhslink.com/m/ARPu6D6RzRn", "https://xhslink.com/m/ARPu6D6RzRn")</f>
        <v>https://xhslink.com/m/ARPu6D6RzRn</v>
      </c>
      <c r="D325"/>
      <c r="E325">
        <v>11000</v>
      </c>
      <c r="F325">
        <v>39.9</v>
      </c>
      <c r="G325"/>
      <c r="H325">
        <v>650</v>
      </c>
      <c r="I325"/>
      <c r="J325"/>
      <c r="K325" t="inlineStr">
        <is>
          <t>资料</t>
        </is>
      </c>
      <c r="L325"/>
      <c r="M325" t="inlineStr">
        <is>
          <t>中信书店的店</t>
        </is>
      </c>
      <c r="N325">
        <v>261000</v>
      </c>
      <c r="O325">
        <v>4.57</v>
      </c>
      <c r="P325">
        <v>391000</v>
      </c>
      <c r="Q325" t="inlineStr">
        <is>
          <t>6810a60a3366f100016f906b</t>
        </is>
      </c>
      <c r="R325"/>
      <c r="S325" t="inlineStr">
        <is>
          <t>英语资料</t>
        </is>
      </c>
      <c r="T325" t="inlineStr">
        <is>
          <t>0.04</t>
        </is>
      </c>
      <c r="U325" s="3">
        <v>46112.78107638889</v>
      </c>
      <c r="V325" t="inlineStr">
        <is>
          <t>虚拟产品</t>
        </is>
      </c>
      <c r="W325" s="3">
        <v>46030</v>
      </c>
      <c r="X325" t="inlineStr">
        <is>
          <t>01</t>
        </is>
      </c>
      <c r="Y325" t="inlineStr">
        <is>
          <t>2026-Q1</t>
        </is>
      </c>
    </row>
    <row r="326" ht="38.25" customHeight="1">
      <c r="A326" t="inlineStr">
        <is>
          <t>备考26年初级中级社会工作者网课视频题库王小兰社工课程精讲课程</t>
        </is>
      </c>
      <c r="B326" t="inlineStr">
        <is>
          <t>recv7JfW3QrAQv.jpg</t>
        </is>
      </c>
      <c r="C326" s="2" t="str">
        <f>=HYPERLINK("https://xhslink.com/m/2PXj0egiGrY", "https://xhslink.com/m/2PXj0egiGrY")</f>
        <v>https://xhslink.com/m/2PXj0egiGrY</v>
      </c>
      <c r="D326"/>
      <c r="E326">
        <v>11000</v>
      </c>
      <c r="F326">
        <v>23.8</v>
      </c>
      <c r="G326"/>
      <c r="H326">
        <v>150</v>
      </c>
      <c r="I326"/>
      <c r="J326"/>
      <c r="K326" t="inlineStr">
        <is>
          <t>资料</t>
        </is>
      </c>
      <c r="L326"/>
      <c r="M326" t="inlineStr">
        <is>
          <t>乐X峰题库I星途的店</t>
        </is>
      </c>
      <c r="N326">
        <v>12000</v>
      </c>
      <c r="O326">
        <v>4.52</v>
      </c>
      <c r="P326">
        <v>76000</v>
      </c>
      <c r="Q326" t="inlineStr">
        <is>
          <t>6641d5da9f9a970001db85ff</t>
        </is>
      </c>
      <c r="R326" t="inlineStr">
        <is>
          <t>🚫重复</t>
        </is>
      </c>
      <c r="S326" t="inlineStr">
        <is>
          <t>生活成长</t>
        </is>
      </c>
      <c r="T326" t="inlineStr">
        <is>
          <t>0.92</t>
        </is>
      </c>
      <c r="U326" s="3">
        <v>46112.78107638889</v>
      </c>
      <c r="V326" t="inlineStr">
        <is>
          <t>虚拟产品</t>
        </is>
      </c>
      <c r="W326" s="3">
        <v>46030</v>
      </c>
      <c r="X326" t="inlineStr">
        <is>
          <t>01</t>
        </is>
      </c>
      <c r="Y326" t="inlineStr">
        <is>
          <t>2026-Q1</t>
        </is>
      </c>
    </row>
    <row r="327" ht="38.25" customHeight="1">
      <c r="A327" t="inlineStr">
        <is>
          <t>014英语启蒙口语120页，PDF电子版（附音频）</t>
        </is>
      </c>
      <c r="B327" t="inlineStr">
        <is>
          <t>recv7JfW3Qv1uN.jpg</t>
        </is>
      </c>
      <c r="C327" s="2" t="str">
        <f>=HYPERLINK("https://xhslink.com/m/2Lb1Jpje7n6", "https://xhslink.com/m/2Lb1Jpje7n6")</f>
        <v>https://xhslink.com/m/2Lb1Jpje7n6</v>
      </c>
      <c r="D327"/>
      <c r="E327">
        <v>11000</v>
      </c>
      <c r="F327">
        <v>5.8</v>
      </c>
      <c r="G327"/>
      <c r="H327">
        <v>350</v>
      </c>
      <c r="I327"/>
      <c r="J327"/>
      <c r="K327" t="inlineStr">
        <is>
          <t>资料</t>
        </is>
      </c>
      <c r="L327"/>
      <c r="M327" t="inlineStr">
        <is>
          <t>🍀Ruby老师吖✨的店</t>
        </is>
      </c>
      <c r="N327">
        <v>15000</v>
      </c>
      <c r="O327">
        <v>4.78</v>
      </c>
      <c r="P327">
        <v>48000</v>
      </c>
      <c r="Q327" t="inlineStr">
        <is>
          <t>6777aedf568edd0001bd9447</t>
        </is>
      </c>
      <c r="R327" t="inlineStr">
        <is>
          <t>🚫重复</t>
        </is>
      </c>
      <c r="S327" t="inlineStr">
        <is>
          <t>英语资料</t>
        </is>
      </c>
      <c r="T327" t="inlineStr">
        <is>
          <t>0.73</t>
        </is>
      </c>
      <c r="U327" s="3">
        <v>46112.78107638889</v>
      </c>
      <c r="V327" t="inlineStr">
        <is>
          <t>虚拟产品</t>
        </is>
      </c>
      <c r="W327" s="3">
        <v>46030</v>
      </c>
      <c r="X327" t="inlineStr">
        <is>
          <t>01</t>
        </is>
      </c>
      <c r="Y327" t="inlineStr">
        <is>
          <t>2026-Q1</t>
        </is>
      </c>
    </row>
    <row r="328" ht="38.25" customHeight="1">
      <c r="A328" t="inlineStr">
        <is>
          <t>066虚拟定制：幼儿童专注力训练逻辑思维练习60页pdf素材，非实物</t>
        </is>
      </c>
      <c r="B328" t="inlineStr">
        <is>
          <t>recv7JfW3QiB4a.jpg</t>
        </is>
      </c>
      <c r="C328" s="2" t="str">
        <f>=HYPERLINK("https://xhslink.com/m/2alHzG5AQwt", "https://xhslink.com/m/2alHzG5AQwt")</f>
        <v>https://xhslink.com/m/2alHzG5AQwt</v>
      </c>
      <c r="D328"/>
      <c r="E328">
        <v>10000</v>
      </c>
      <c r="F328">
        <v>4.9</v>
      </c>
      <c r="G328"/>
      <c r="H328">
        <v>400</v>
      </c>
      <c r="I328"/>
      <c r="J328"/>
      <c r="K328" t="inlineStr">
        <is>
          <t>资料</t>
        </is>
      </c>
      <c r="L328"/>
      <c r="M328" t="inlineStr">
        <is>
          <t>来宝早教资源的店</t>
        </is>
      </c>
      <c r="N328">
        <v>24000</v>
      </c>
      <c r="O328">
        <v>4.5</v>
      </c>
      <c r="P328">
        <v>67000</v>
      </c>
      <c r="Q328" t="inlineStr">
        <is>
          <t>66c06a66ad9959000102769e</t>
        </is>
      </c>
      <c r="R328" t="inlineStr">
        <is>
          <t>🚫重复</t>
        </is>
      </c>
      <c r="S328" t="inlineStr">
        <is>
          <t>中小学教辅/教材</t>
        </is>
      </c>
      <c r="T328" t="inlineStr">
        <is>
          <t>0.42</t>
        </is>
      </c>
      <c r="U328" s="3">
        <v>46112.78107638889</v>
      </c>
      <c r="V328" t="inlineStr">
        <is>
          <t>虚拟产品</t>
        </is>
      </c>
      <c r="W328" s="3">
        <v>46030</v>
      </c>
      <c r="X328" t="inlineStr">
        <is>
          <t>01</t>
        </is>
      </c>
      <c r="Y328" t="inlineStr">
        <is>
          <t>2026-Q1</t>
        </is>
      </c>
    </row>
    <row r="329" ht="38.25" customHeight="1">
      <c r="A329" t="inlineStr">
        <is>
          <t>来川 · 【音标版】伊索 童话 小王子 安格斯英文原著双语阅读注释配音频</t>
        </is>
      </c>
      <c r="B329" t="inlineStr">
        <is>
          <t>recv7JfW3QrkQb.jpg</t>
        </is>
      </c>
      <c r="C329" s="2" t="str">
        <f>=HYPERLINK("https://xhslink.com/m/gIkE1jzQ8A", "https://xhslink.com/m/gIkE1jzQ8A")</f>
        <v>https://xhslink.com/m/gIkE1jzQ8A</v>
      </c>
      <c r="D329"/>
      <c r="E329">
        <v>10000</v>
      </c>
      <c r="F329">
        <v>249</v>
      </c>
      <c r="G329"/>
      <c r="H329">
        <v>2000</v>
      </c>
      <c r="I329"/>
      <c r="J329"/>
      <c r="K329" t="inlineStr">
        <is>
          <t>资料</t>
        </is>
      </c>
      <c r="L329"/>
      <c r="M329" t="inlineStr">
        <is>
          <t>来川学习方法的店</t>
        </is>
      </c>
      <c r="N329">
        <v>90000</v>
      </c>
      <c r="O329">
        <v>4.83</v>
      </c>
      <c r="P329">
        <v>48000</v>
      </c>
      <c r="Q329" t="inlineStr">
        <is>
          <t>686f5a4e64e96a0001a476b9</t>
        </is>
      </c>
      <c r="R329" t="inlineStr">
        <is>
          <t>🚫重复</t>
        </is>
      </c>
      <c r="S329" t="inlineStr">
        <is>
          <t>英语资料</t>
        </is>
      </c>
      <c r="T329" t="inlineStr">
        <is>
          <t>0.11</t>
        </is>
      </c>
      <c r="U329" s="3">
        <v>46112.78107638889</v>
      </c>
      <c r="V329" t="inlineStr">
        <is>
          <t>虚拟产品</t>
        </is>
      </c>
      <c r="W329" s="3">
        <v>46030</v>
      </c>
      <c r="X329" t="inlineStr">
        <is>
          <t>01</t>
        </is>
      </c>
      <c r="Y329" t="inlineStr">
        <is>
          <t>2026-Q1</t>
        </is>
      </c>
    </row>
    <row r="330" ht="38.25" customHeight="1">
      <c r="A330" t="inlineStr">
        <is>
          <t>新！普通话资料包电子版完整版</t>
        </is>
      </c>
      <c r="B330" t="inlineStr">
        <is>
          <t>recv7JfW3Q9Bd8.jpg</t>
        </is>
      </c>
      <c r="C330" s="2" t="str">
        <f>=HYPERLINK("https://xhslink.com/m/2ZWxnD3Z9nU", "https://xhslink.com/m/2ZWxnD3Z9nU")</f>
        <v>https://xhslink.com/m/2ZWxnD3Z9nU</v>
      </c>
      <c r="D330"/>
      <c r="E330">
        <v>10000</v>
      </c>
      <c r="F330">
        <v>4.9</v>
      </c>
      <c r="G330"/>
      <c r="H330">
        <v>250</v>
      </c>
      <c r="I330"/>
      <c r="J330"/>
      <c r="K330" t="inlineStr">
        <is>
          <t>资料</t>
        </is>
      </c>
      <c r="L330" t="inlineStr">
        <is>
          <t>🔥低粉爆款</t>
        </is>
      </c>
      <c r="M330" t="inlineStr">
        <is>
          <t>清希慕的店</t>
        </is>
      </c>
      <c r="N330">
        <v>1741</v>
      </c>
      <c r="O330">
        <v>4.44</v>
      </c>
      <c r="P330">
        <v>11000</v>
      </c>
      <c r="Q330" t="inlineStr">
        <is>
          <t>672dbef4ec68d7000132b4a0</t>
        </is>
      </c>
      <c r="R330"/>
      <c r="S330" t="inlineStr">
        <is>
          <t>生活成长</t>
        </is>
      </c>
      <c r="T330" t="inlineStr">
        <is>
          <t>5.74</t>
        </is>
      </c>
      <c r="U330" s="3">
        <v>46112.78107638889</v>
      </c>
      <c r="V330" t="inlineStr">
        <is>
          <t>虚拟产品</t>
        </is>
      </c>
      <c r="W330" s="3">
        <v>46030</v>
      </c>
      <c r="X330" t="inlineStr">
        <is>
          <t>01</t>
        </is>
      </c>
      <c r="Y330" t="inlineStr">
        <is>
          <t>2026-Q1</t>
        </is>
      </c>
    </row>
    <row r="331" ht="38.25" customHeight="1">
      <c r="A331" t="inlineStr">
        <is>
          <t>虚拟货源定制产品笔记同款</t>
        </is>
      </c>
      <c r="B331" t="inlineStr">
        <is>
          <t>recv7JfW3QgxXT.jpg</t>
        </is>
      </c>
      <c r="C331" s="2" t="str">
        <f>=HYPERLINK("https://xhslink.com/m/7tIa0VcTrpH", "https://xhslink.com/m/7tIa0VcTrpH")</f>
        <v>https://xhslink.com/m/7tIa0VcTrpH</v>
      </c>
      <c r="D331"/>
      <c r="E331">
        <v>10000</v>
      </c>
      <c r="F331">
        <v>1</v>
      </c>
      <c r="G331"/>
      <c r="H331">
        <v>250</v>
      </c>
      <c r="I331"/>
      <c r="J331"/>
      <c r="K331" t="inlineStr">
        <is>
          <t>资料</t>
        </is>
      </c>
      <c r="L331"/>
      <c r="M331" t="inlineStr">
        <is>
          <t>创意笔记的店</t>
        </is>
      </c>
      <c r="N331">
        <v>6101</v>
      </c>
      <c r="O331">
        <v>4.34</v>
      </c>
      <c r="P331">
        <v>14000</v>
      </c>
      <c r="Q331" t="inlineStr">
        <is>
          <t>684e7b7fe32134000132f24a</t>
        </is>
      </c>
      <c r="R331"/>
      <c r="S331" t="inlineStr">
        <is>
          <t>生活成长</t>
        </is>
      </c>
      <c r="T331" t="inlineStr">
        <is>
          <t>1.64</t>
        </is>
      </c>
      <c r="U331" s="3">
        <v>46112.78107638889</v>
      </c>
      <c r="V331" t="inlineStr">
        <is>
          <t>虚拟产品</t>
        </is>
      </c>
      <c r="W331" s="3">
        <v>46030</v>
      </c>
      <c r="X331" t="inlineStr">
        <is>
          <t>01</t>
        </is>
      </c>
      <c r="Y331" t="inlineStr">
        <is>
          <t>2026-Q1</t>
        </is>
      </c>
    </row>
    <row r="332" ht="38.25" customHeight="1">
      <c r="A332" t="inlineStr">
        <is>
          <t>【高中数学】十大专题提分技巧精品电子资料word</t>
        </is>
      </c>
      <c r="B332" t="inlineStr">
        <is>
          <t>recv7JfW3QCi34.jpg</t>
        </is>
      </c>
      <c r="C332" s="2" t="str">
        <f>=HYPERLINK("https://xhslink.com/m/zh36FFAY82", "https://xhslink.com/m/zh36FFAY82")</f>
        <v>https://xhslink.com/m/zh36FFAY82</v>
      </c>
      <c r="D332"/>
      <c r="E332">
        <v>10000</v>
      </c>
      <c r="F332">
        <v>4.9</v>
      </c>
      <c r="G332"/>
      <c r="H332">
        <v>250</v>
      </c>
      <c r="I332"/>
      <c r="J332"/>
      <c r="K332" t="inlineStr">
        <is>
          <t>资料</t>
        </is>
      </c>
      <c r="L332"/>
      <c r="M332" t="inlineStr">
        <is>
          <t>发发的高中资料库的店</t>
        </is>
      </c>
      <c r="N332">
        <v>16000</v>
      </c>
      <c r="O332">
        <v>4.44</v>
      </c>
      <c r="P332">
        <v>50000</v>
      </c>
      <c r="Q332" t="inlineStr">
        <is>
          <t>6602fb604318440001994693</t>
        </is>
      </c>
      <c r="R332" t="inlineStr">
        <is>
          <t>🚫重复</t>
        </is>
      </c>
      <c r="S332" t="inlineStr">
        <is>
          <t>高中/高考资料</t>
        </is>
      </c>
      <c r="T332" t="inlineStr">
        <is>
          <t>0.62</t>
        </is>
      </c>
      <c r="U332" s="3">
        <v>46112.78107638889</v>
      </c>
      <c r="V332" t="inlineStr">
        <is>
          <t>虚拟产品</t>
        </is>
      </c>
      <c r="W332" s="3">
        <v>46030</v>
      </c>
      <c r="X332" t="inlineStr">
        <is>
          <t>01</t>
        </is>
      </c>
      <c r="Y332" t="inlineStr">
        <is>
          <t>2026-Q1</t>
        </is>
      </c>
    </row>
    <row r="333" ht="38.25" customHeight="1">
      <c r="A333" t="inlineStr">
        <is>
          <t>25年人教版【六上数学】题型专项训练（电子版）</t>
        </is>
      </c>
      <c r="B333" t="inlineStr">
        <is>
          <t>recv7JfW3QDDsB.jpg</t>
        </is>
      </c>
      <c r="C333" s="2" t="str">
        <f>=HYPERLINK("https://xhslink.com/m/1005y4nj1ID", "https://xhslink.com/m/1005y4nj1ID")</f>
        <v>https://xhslink.com/m/1005y4nj1ID</v>
      </c>
      <c r="D333"/>
      <c r="E333">
        <v>10000</v>
      </c>
      <c r="F333">
        <v>6.9</v>
      </c>
      <c r="G333"/>
      <c r="H333">
        <v>1500</v>
      </c>
      <c r="I333"/>
      <c r="J333"/>
      <c r="K333" t="inlineStr">
        <is>
          <t>资料</t>
        </is>
      </c>
      <c r="L333"/>
      <c r="M333" t="inlineStr">
        <is>
          <t>瑞老师的小学日记的店</t>
        </is>
      </c>
      <c r="N333">
        <v>9273</v>
      </c>
      <c r="O333">
        <v>4.7</v>
      </c>
      <c r="P333">
        <v>29000</v>
      </c>
      <c r="Q333" t="inlineStr">
        <is>
          <t>687c5cb679bc470001f811b0</t>
        </is>
      </c>
      <c r="R333" t="inlineStr">
        <is>
          <t>🚫重复</t>
        </is>
      </c>
      <c r="S333" t="inlineStr">
        <is>
          <t>中小学教辅/教材</t>
        </is>
      </c>
      <c r="T333" t="inlineStr">
        <is>
          <t>1.08</t>
        </is>
      </c>
      <c r="U333" s="3">
        <v>46112.78107638889</v>
      </c>
      <c r="V333" t="inlineStr">
        <is>
          <t>虚拟产品</t>
        </is>
      </c>
      <c r="W333" s="3">
        <v>46030</v>
      </c>
      <c r="X333" t="inlineStr">
        <is>
          <t>01</t>
        </is>
      </c>
      <c r="Y333" t="inlineStr">
        <is>
          <t>2026-Q1</t>
        </is>
      </c>
    </row>
    <row r="334" ht="38.25" customHeight="1">
      <c r="A334" t="inlineStr">
        <is>
          <t>501号：五上习作单/课件</t>
        </is>
      </c>
      <c r="B334" t="inlineStr">
        <is>
          <t>recv7JfW3QB18L.jpg</t>
        </is>
      </c>
      <c r="C334" s="2" t="str">
        <f>=HYPERLINK("https://xhslink.com/m/8fUhzLIp2Mz", "https://xhslink.com/m/8fUhzLIp2Mz")</f>
        <v>https://xhslink.com/m/8fUhzLIp2Mz</v>
      </c>
      <c r="D334"/>
      <c r="E334">
        <v>10000</v>
      </c>
      <c r="F334">
        <v>4</v>
      </c>
      <c r="G334"/>
      <c r="H334">
        <v>1500</v>
      </c>
      <c r="I334"/>
      <c r="J334"/>
      <c r="K334" t="inlineStr">
        <is>
          <t>资料</t>
        </is>
      </c>
      <c r="L334"/>
      <c r="M334" t="inlineStr">
        <is>
          <t>张主任的情报库的店</t>
        </is>
      </c>
      <c r="N334">
        <v>28000</v>
      </c>
      <c r="O334">
        <v>4.56</v>
      </c>
      <c r="P334">
        <v>218000</v>
      </c>
      <c r="Q334" t="inlineStr">
        <is>
          <t>68aae89c0c85cc00017972f5</t>
        </is>
      </c>
      <c r="R334" t="inlineStr">
        <is>
          <t>🚫重复</t>
        </is>
      </c>
      <c r="S334" t="inlineStr">
        <is>
          <t>中小学教辅/教材</t>
        </is>
      </c>
      <c r="T334" t="inlineStr">
        <is>
          <t>0.36</t>
        </is>
      </c>
      <c r="U334" s="3">
        <v>46112.78107638889</v>
      </c>
      <c r="V334" t="inlineStr">
        <is>
          <t>虚拟产品</t>
        </is>
      </c>
      <c r="W334" s="3">
        <v>46030</v>
      </c>
      <c r="X334" t="inlineStr">
        <is>
          <t>01</t>
        </is>
      </c>
      <c r="Y334" t="inlineStr">
        <is>
          <t>2026-Q1</t>
        </is>
      </c>
    </row>
    <row r="335" ht="38.25" customHeight="1">
      <c r="A335" t="inlineStr">
        <is>
          <t>好作文是改出来的 清华附小班级主题作文评</t>
        </is>
      </c>
      <c r="B335" t="inlineStr">
        <is>
          <t>recv7JfW3Q0tNe.jpg</t>
        </is>
      </c>
      <c r="C335" s="2" t="str">
        <f>=HYPERLINK("https://xhslink.com/m/5nZY4lZT68s", "https://xhslink.com/m/5nZY4lZT68s")</f>
        <v>https://xhslink.com/m/5nZY4lZT68s</v>
      </c>
      <c r="D335"/>
      <c r="E335">
        <v>9924</v>
      </c>
      <c r="F335">
        <v>29.9</v>
      </c>
      <c r="G335"/>
      <c r="H335">
        <v>100</v>
      </c>
      <c r="I335"/>
      <c r="J335"/>
      <c r="K335" t="inlineStr">
        <is>
          <t>资料</t>
        </is>
      </c>
      <c r="L335"/>
      <c r="M335" t="inlineStr">
        <is>
          <t>清华大学出版社的店</t>
        </is>
      </c>
      <c r="N335">
        <v>444000</v>
      </c>
      <c r="O335">
        <v>4.53</v>
      </c>
      <c r="P335">
        <v>290000</v>
      </c>
      <c r="Q335" t="inlineStr">
        <is>
          <t>653f40c5dcfb49000105fdcf</t>
        </is>
      </c>
      <c r="R335" t="inlineStr">
        <is>
          <t>🚫重复</t>
        </is>
      </c>
      <c r="S335" t="inlineStr">
        <is>
          <t>中小学教辅/教材</t>
        </is>
      </c>
      <c r="T335" t="inlineStr">
        <is>
          <t>0.02</t>
        </is>
      </c>
      <c r="U335" s="3">
        <v>46112.78107638889</v>
      </c>
      <c r="V335" t="inlineStr">
        <is>
          <t>虚拟产品</t>
        </is>
      </c>
      <c r="W335" s="3">
        <v>46030</v>
      </c>
      <c r="X335" t="inlineStr">
        <is>
          <t>01</t>
        </is>
      </c>
      <c r="Y335" t="inlineStr">
        <is>
          <t>2026-Q1</t>
        </is>
      </c>
    </row>
    <row r="336" ht="38.25" customHeight="1">
      <c r="A336" t="inlineStr">
        <is>
          <t>教师结构化专用资料（三份）【自动发货】</t>
        </is>
      </c>
      <c r="B336" t="inlineStr">
        <is>
          <t>recv7JfW3QozD6.jpg</t>
        </is>
      </c>
      <c r="C336" s="2" t="str">
        <f>=HYPERLINK("https://xhslink.com/m/9HDmdB9q3Xx", "https://xhslink.com/m/9HDmdB9q3Xx")</f>
        <v>https://xhslink.com/m/9HDmdB9q3Xx</v>
      </c>
      <c r="D336"/>
      <c r="E336">
        <v>9866</v>
      </c>
      <c r="F336">
        <v>25.9</v>
      </c>
      <c r="G336"/>
      <c r="H336">
        <v>300</v>
      </c>
      <c r="I336"/>
      <c r="J336"/>
      <c r="K336" t="inlineStr">
        <is>
          <t>资料</t>
        </is>
      </c>
      <c r="L336"/>
      <c r="M336" t="inlineStr">
        <is>
          <t>上岸小case啦（资料版）的店</t>
        </is>
      </c>
      <c r="N336">
        <v>9412</v>
      </c>
      <c r="O336">
        <v>4.07</v>
      </c>
      <c r="P336">
        <v>9923</v>
      </c>
      <c r="Q336" t="inlineStr">
        <is>
          <t>66fce7a5eb6ef200012b5b2e</t>
        </is>
      </c>
      <c r="R336" t="inlineStr">
        <is>
          <t>🚫重复</t>
        </is>
      </c>
      <c r="S336" t="inlineStr">
        <is>
          <t>老师资料</t>
        </is>
      </c>
      <c r="T336" t="inlineStr">
        <is>
          <t>1.05</t>
        </is>
      </c>
      <c r="U336" s="3">
        <v>46112.78107638889</v>
      </c>
      <c r="V336" t="inlineStr">
        <is>
          <t>虚拟产品</t>
        </is>
      </c>
      <c r="W336" s="3">
        <v>46030</v>
      </c>
      <c r="X336" t="inlineStr">
        <is>
          <t>01</t>
        </is>
      </c>
      <c r="Y336" t="inlineStr">
        <is>
          <t>2026-Q1</t>
        </is>
      </c>
    </row>
    <row r="337" ht="38.25" customHeight="1">
      <c r="A337" t="inlineStr">
        <is>
          <t>领取电子版资料点这里哦</t>
        </is>
      </c>
      <c r="B337" t="inlineStr">
        <is>
          <t>recv7JfW3QhkvH.jpg</t>
        </is>
      </c>
      <c r="C337" s="2" t="str">
        <f>=HYPERLINK("https://xhslink.com/m/5FnjIalIkz5", "https://xhslink.com/m/5FnjIalIkz5")</f>
        <v>https://xhslink.com/m/5FnjIalIkz5</v>
      </c>
      <c r="D337"/>
      <c r="E337">
        <v>9621</v>
      </c>
      <c r="F337">
        <v>0.1</v>
      </c>
      <c r="G337"/>
      <c r="H337">
        <v>850</v>
      </c>
      <c r="I337"/>
      <c r="J337"/>
      <c r="K337" t="inlineStr">
        <is>
          <t>资料</t>
        </is>
      </c>
      <c r="L337"/>
      <c r="M337" t="inlineStr">
        <is>
          <t>上海百德教育的店</t>
        </is>
      </c>
      <c r="N337">
        <v>3824</v>
      </c>
      <c r="O337">
        <v>4.04</v>
      </c>
      <c r="P337">
        <v>36000</v>
      </c>
      <c r="Q337" t="inlineStr">
        <is>
          <t>67fe36a04167bc00012ad4f0</t>
        </is>
      </c>
      <c r="R337" t="inlineStr">
        <is>
          <t>🚫重复</t>
        </is>
      </c>
      <c r="S337" t="inlineStr">
        <is>
          <t>中小学教辅/教材</t>
        </is>
      </c>
      <c r="T337" t="inlineStr">
        <is>
          <t>2.52</t>
        </is>
      </c>
      <c r="U337" s="3">
        <v>46112.78107638889</v>
      </c>
      <c r="V337" t="inlineStr">
        <is>
          <t>虚拟产品</t>
        </is>
      </c>
      <c r="W337" s="3">
        <v>46030</v>
      </c>
      <c r="X337" t="inlineStr">
        <is>
          <t>01</t>
        </is>
      </c>
      <c r="Y337" t="inlineStr">
        <is>
          <t>2026-Q1</t>
        </is>
      </c>
    </row>
    <row r="338" ht="38.25" customHeight="1">
      <c r="A338" t="inlineStr">
        <is>
          <t>部编版小学道德与法治ppt课件教案教学反思试卷题一二三四六年级</t>
        </is>
      </c>
      <c r="B338" t="inlineStr">
        <is>
          <t>recv7JfW3QwAQx.jpg</t>
        </is>
      </c>
      <c r="C338" s="2" t="str">
        <f>=HYPERLINK("https://xhslink.com/m/110XXJOUs2z", "https://xhslink.com/m/110XXJOUs2z")</f>
        <v>https://xhslink.com/m/110XXJOUs2z</v>
      </c>
      <c r="D338"/>
      <c r="E338">
        <v>9383</v>
      </c>
      <c r="F338">
        <v>6.8</v>
      </c>
      <c r="G338"/>
      <c r="H338">
        <v>200</v>
      </c>
      <c r="I338"/>
      <c r="J338"/>
      <c r="K338" t="inlineStr">
        <is>
          <t>资料</t>
        </is>
      </c>
      <c r="L338"/>
      <c r="M338" t="inlineStr">
        <is>
          <t>艺童老师（秒回秒发）的店</t>
        </is>
      </c>
      <c r="N338">
        <v>10000</v>
      </c>
      <c r="O338">
        <v>4.47</v>
      </c>
      <c r="P338">
        <v>32000</v>
      </c>
      <c r="Q338" t="inlineStr">
        <is>
          <t>66a8a4a81c4a4b000154bdf8</t>
        </is>
      </c>
      <c r="R338" t="inlineStr">
        <is>
          <t>🚫重复</t>
        </is>
      </c>
      <c r="S338" t="inlineStr">
        <is>
          <t>中小学教辅/教材</t>
        </is>
      </c>
      <c r="T338" t="inlineStr">
        <is>
          <t>0.94</t>
        </is>
      </c>
      <c r="U338" s="3">
        <v>46112.78107638889</v>
      </c>
      <c r="V338" t="inlineStr">
        <is>
          <t>虚拟产品</t>
        </is>
      </c>
      <c r="W338" s="3">
        <v>46030</v>
      </c>
      <c r="X338" t="inlineStr">
        <is>
          <t>01</t>
        </is>
      </c>
      <c r="Y338" t="inlineStr">
        <is>
          <t>2026-Q1</t>
        </is>
      </c>
    </row>
    <row r="339" ht="38.25" customHeight="1">
      <c r="A339" t="inlineStr">
        <is>
          <t>高中9科知识点电子档（语文数学英语物理化学生物地理历史政治）</t>
        </is>
      </c>
      <c r="B339" t="inlineStr">
        <is>
          <t>recv7JfW3QTBAz.jpg</t>
        </is>
      </c>
      <c r="C339" s="2" t="str">
        <f>=HYPERLINK("https://xhslink.com/m/5YfJ2ZtOM1m", "https://xhslink.com/m/5YfJ2ZtOM1m")</f>
        <v>https://xhslink.com/m/5YfJ2ZtOM1m</v>
      </c>
      <c r="D339"/>
      <c r="E339">
        <v>9536</v>
      </c>
      <c r="F339">
        <v>4.9</v>
      </c>
      <c r="G339"/>
      <c r="H339">
        <v>1500</v>
      </c>
      <c r="I339"/>
      <c r="J339"/>
      <c r="K339" t="inlineStr">
        <is>
          <t>资料</t>
        </is>
      </c>
      <c r="L339"/>
      <c r="M339" t="inlineStr">
        <is>
          <t>赵老师的资料库的店</t>
        </is>
      </c>
      <c r="N339">
        <v>14000</v>
      </c>
      <c r="O339">
        <v>4.43</v>
      </c>
      <c r="P339">
        <v>45000</v>
      </c>
      <c r="Q339" t="inlineStr">
        <is>
          <t>677f9534fb6ac0000181b3d2</t>
        </is>
      </c>
      <c r="R339" t="inlineStr">
        <is>
          <t>🚫重复</t>
        </is>
      </c>
      <c r="S339" t="inlineStr">
        <is>
          <t>高中/高考资料</t>
        </is>
      </c>
      <c r="T339" t="inlineStr">
        <is>
          <t>0.68</t>
        </is>
      </c>
      <c r="U339" s="3">
        <v>46112.78107638889</v>
      </c>
      <c r="V339" t="inlineStr">
        <is>
          <t>虚拟产品</t>
        </is>
      </c>
      <c r="W339" s="3">
        <v>46030</v>
      </c>
      <c r="X339" t="inlineStr">
        <is>
          <t>01</t>
        </is>
      </c>
      <c r="Y339" t="inlineStr">
        <is>
          <t>2026-Q1</t>
        </is>
      </c>
    </row>
    <row r="340" ht="38.25" customHeight="1">
      <c r="A340" t="inlineStr">
        <is>
          <t>英语四级六级1990-2025.6真题库</t>
        </is>
      </c>
      <c r="B340" t="inlineStr">
        <is>
          <t>recv7JfW3QiT7L.jpg</t>
        </is>
      </c>
      <c r="C340" s="2" t="str">
        <f>=HYPERLINK("https://xhslink.com/m/1s3BrirzVQJ", "https://xhslink.com/m/1s3BrirzVQJ")</f>
        <v>https://xhslink.com/m/1s3BrirzVQJ</v>
      </c>
      <c r="D340"/>
      <c r="E340">
        <v>9363</v>
      </c>
      <c r="F340">
        <v>6.88</v>
      </c>
      <c r="G340"/>
      <c r="H340">
        <v>150</v>
      </c>
      <c r="I340"/>
      <c r="J340"/>
      <c r="K340" t="inlineStr">
        <is>
          <t>资料</t>
        </is>
      </c>
      <c r="L340" t="inlineStr">
        <is>
          <t>🔥低粉爆款</t>
        </is>
      </c>
      <c r="M340" t="inlineStr">
        <is>
          <t>落雪资料的店</t>
        </is>
      </c>
      <c r="N340">
        <v>2416</v>
      </c>
      <c r="O340">
        <v>4.18</v>
      </c>
      <c r="P340">
        <v>33000</v>
      </c>
      <c r="Q340" t="inlineStr">
        <is>
          <t>67ab6c17b032e300012b037c</t>
        </is>
      </c>
      <c r="R340" t="inlineStr">
        <is>
          <t>🚫重复</t>
        </is>
      </c>
      <c r="S340" t="inlineStr">
        <is>
          <t>英语资料</t>
        </is>
      </c>
      <c r="T340" t="inlineStr">
        <is>
          <t>3.88</t>
        </is>
      </c>
      <c r="U340" s="3">
        <v>46112.78107638889</v>
      </c>
      <c r="V340" t="inlineStr">
        <is>
          <t>虚拟产品</t>
        </is>
      </c>
      <c r="W340" s="3">
        <v>46030</v>
      </c>
      <c r="X340" t="inlineStr">
        <is>
          <t>01</t>
        </is>
      </c>
      <c r="Y340" t="inlineStr">
        <is>
          <t>2026-Q1</t>
        </is>
      </c>
    </row>
    <row r="341" ht="38.25" customHeight="1">
      <c r="A341" t="inlineStr">
        <is>
          <t>拍前看图3-4收货方式！！100组形近词，考研四六级等适用！</t>
        </is>
      </c>
      <c r="B341" t="inlineStr">
        <is>
          <t>recv7JfW3QiiwV.jpg</t>
        </is>
      </c>
      <c r="C341" s="2" t="str">
        <f>=HYPERLINK("https://xhslink.com/m/o6yVjj1YzS", "https://xhslink.com/m/o6yVjj1YzS")</f>
        <v>https://xhslink.com/m/o6yVjj1YzS</v>
      </c>
      <c r="D341"/>
      <c r="E341">
        <v>9317</v>
      </c>
      <c r="F341">
        <v>3.9</v>
      </c>
      <c r="G341"/>
      <c r="H341">
        <v>200</v>
      </c>
      <c r="I341"/>
      <c r="J341"/>
      <c r="K341" t="inlineStr">
        <is>
          <t>资料</t>
        </is>
      </c>
      <c r="L341"/>
      <c r="M341" t="inlineStr">
        <is>
          <t>鱼鱼要上岸的店</t>
        </is>
      </c>
      <c r="N341">
        <v>7516</v>
      </c>
      <c r="O341">
        <v>4.09</v>
      </c>
      <c r="P341">
        <v>18000</v>
      </c>
      <c r="Q341" t="inlineStr">
        <is>
          <t>66a909c10747970001006423</t>
        </is>
      </c>
      <c r="R341"/>
      <c r="S341" t="inlineStr">
        <is>
          <t>英语资料</t>
        </is>
      </c>
      <c r="T341" t="inlineStr">
        <is>
          <t>1.24</t>
        </is>
      </c>
      <c r="U341" s="3">
        <v>46112.78107638889</v>
      </c>
      <c r="V341" t="inlineStr">
        <is>
          <t>虚拟产品</t>
        </is>
      </c>
      <c r="W341" s="3">
        <v>46030</v>
      </c>
      <c r="X341" t="inlineStr">
        <is>
          <t>01</t>
        </is>
      </c>
      <c r="Y341" t="inlineStr">
        <is>
          <t>2026-Q1</t>
        </is>
      </c>
    </row>
    <row r="342" ht="38.25" customHeight="1">
      <c r="A342" t="inlineStr">
        <is>
          <t>恒畅 · 化茧成蝶】2026年初中 高中生励志日历 初高中语文英语知识点考点</t>
        </is>
      </c>
      <c r="B342" t="inlineStr">
        <is>
          <t>recv7JfW3Qz46X.jpg</t>
        </is>
      </c>
      <c r="C342" s="2" t="str">
        <f>=HYPERLINK("https://xhslink.com/m/5Han0ZyhRhs", "https://xhslink.com/m/5Han0ZyhRhs")</f>
        <v>https://xhslink.com/m/5Han0ZyhRhs</v>
      </c>
      <c r="D342"/>
      <c r="E342">
        <v>9025</v>
      </c>
      <c r="F342">
        <v>59.8</v>
      </c>
      <c r="G342"/>
      <c r="H342">
        <v>5000</v>
      </c>
      <c r="I342"/>
      <c r="J342"/>
      <c r="K342" t="inlineStr">
        <is>
          <t>资料</t>
        </is>
      </c>
      <c r="L342"/>
      <c r="M342" t="inlineStr">
        <is>
          <t>恒畅旗舰店</t>
        </is>
      </c>
      <c r="N342">
        <v>40000</v>
      </c>
      <c r="O342">
        <v>4.32</v>
      </c>
      <c r="P342">
        <v>150000</v>
      </c>
      <c r="Q342" t="inlineStr">
        <is>
          <t>69128c64a6bcaf00019c988e</t>
        </is>
      </c>
      <c r="R342"/>
      <c r="S342" t="inlineStr">
        <is>
          <t>中小学教辅/教材</t>
        </is>
      </c>
      <c r="T342" t="inlineStr">
        <is>
          <t>0.23</t>
        </is>
      </c>
      <c r="U342" s="3">
        <v>46112.78107638889</v>
      </c>
      <c r="V342" t="inlineStr">
        <is>
          <t>虚拟产品</t>
        </is>
      </c>
      <c r="W342" s="3">
        <v>46030</v>
      </c>
      <c r="X342" t="inlineStr">
        <is>
          <t>01</t>
        </is>
      </c>
      <c r="Y342" t="inlineStr">
        <is>
          <t>2026-Q1</t>
        </is>
      </c>
    </row>
    <row r="343" ht="38.25" customHeight="1">
      <c r="A343" t="inlineStr">
        <is>
          <t>【老师推荐】小学必备磁性分数盘 加减运算数学分数 同步教材</t>
        </is>
      </c>
      <c r="B343" t="inlineStr">
        <is>
          <t>recv7JfW3Qyc9q.jpg</t>
        </is>
      </c>
      <c r="C343" s="2" t="str">
        <f>=HYPERLINK("https://xhslink.com/m/2lUUc81Foh0", "https://xhslink.com/m/2lUUc81Foh0")</f>
        <v>https://xhslink.com/m/2lUUc81Foh0</v>
      </c>
      <c r="D343"/>
      <c r="E343">
        <v>8676</v>
      </c>
      <c r="F343">
        <v>39.9</v>
      </c>
      <c r="G343"/>
      <c r="H343">
        <v>100</v>
      </c>
      <c r="I343"/>
      <c r="J343"/>
      <c r="K343" t="inlineStr">
        <is>
          <t>资料</t>
        </is>
      </c>
      <c r="L343"/>
      <c r="M343" t="inlineStr">
        <is>
          <t>章鱼小丸丸的店</t>
        </is>
      </c>
      <c r="N343">
        <v>10000</v>
      </c>
      <c r="O343">
        <v>4.55</v>
      </c>
      <c r="P343">
        <v>87000</v>
      </c>
      <c r="Q343" t="inlineStr">
        <is>
          <t>65e958f960ce080001d2bb13</t>
        </is>
      </c>
      <c r="R343"/>
      <c r="S343" t="inlineStr">
        <is>
          <t>中小学教辅/教材</t>
        </is>
      </c>
      <c r="T343" t="inlineStr">
        <is>
          <t>0.87</t>
        </is>
      </c>
      <c r="U343" s="3">
        <v>46112.78107638889</v>
      </c>
      <c r="V343" t="inlineStr">
        <is>
          <t>虚拟产品</t>
        </is>
      </c>
      <c r="W343" s="3">
        <v>46030</v>
      </c>
      <c r="X343" t="inlineStr">
        <is>
          <t>01</t>
        </is>
      </c>
      <c r="Y343" t="inlineStr">
        <is>
          <t>2026-Q1</t>
        </is>
      </c>
    </row>
    <row r="344" ht="38.25" customHeight="1">
      <c r="A344" t="inlineStr">
        <is>
          <t>【电子版】作文素材合集</t>
        </is>
      </c>
      <c r="B344" t="inlineStr">
        <is>
          <t>recv7JfW3QGc81.jpg</t>
        </is>
      </c>
      <c r="C344" s="2" t="str">
        <f>=HYPERLINK("https://xhslink.com/m/5UrgptEJFc9", "https://xhslink.com/m/5UrgptEJFc9")</f>
        <v>https://xhslink.com/m/5UrgptEJFc9</v>
      </c>
      <c r="D344"/>
      <c r="E344">
        <v>8640</v>
      </c>
      <c r="F344">
        <v>4.33</v>
      </c>
      <c r="G344"/>
      <c r="H344">
        <v>150</v>
      </c>
      <c r="I344"/>
      <c r="J344"/>
      <c r="K344" t="inlineStr">
        <is>
          <t>资料</t>
        </is>
      </c>
      <c r="L344"/>
      <c r="M344" t="inlineStr">
        <is>
          <t>拒绝甜食的店</t>
        </is>
      </c>
      <c r="N344">
        <v>6996</v>
      </c>
      <c r="O344">
        <v>4.48</v>
      </c>
      <c r="P344">
        <v>12000</v>
      </c>
      <c r="Q344" t="inlineStr">
        <is>
          <t>6634c00232e5530001925dd0</t>
        </is>
      </c>
      <c r="R344" t="inlineStr">
        <is>
          <t>🚫重复</t>
        </is>
      </c>
      <c r="S344" t="inlineStr">
        <is>
          <t>无匹配类别</t>
        </is>
      </c>
      <c r="T344" t="inlineStr">
        <is>
          <t>1.23</t>
        </is>
      </c>
      <c r="U344" s="3">
        <v>46112.78107638889</v>
      </c>
      <c r="V344" t="inlineStr">
        <is>
          <t>虚拟产品</t>
        </is>
      </c>
      <c r="W344" s="3">
        <v>46030</v>
      </c>
      <c r="X344" t="inlineStr">
        <is>
          <t>01</t>
        </is>
      </c>
      <c r="Y344" t="inlineStr">
        <is>
          <t>2026-Q1</t>
        </is>
      </c>
    </row>
    <row r="345" ht="38.25" customHeight="1">
      <c r="A345" t="inlineStr">
        <is>
          <t>2024-2025学年语文期末复习专项练习053【电子版】</t>
        </is>
      </c>
      <c r="B345" t="inlineStr">
        <is>
          <t>recv7JfW3QDlLl.jpg</t>
        </is>
      </c>
      <c r="C345" s="2" t="str">
        <f>=HYPERLINK("https://xhslink.com/m/8FPLjE7tRuA", "https://xhslink.com/m/8FPLjE7tRuA")</f>
        <v>https://xhslink.com/m/8FPLjE7tRuA</v>
      </c>
      <c r="D345"/>
      <c r="E345">
        <v>8537</v>
      </c>
      <c r="F345">
        <v>3.5</v>
      </c>
      <c r="G345"/>
      <c r="H345">
        <v>850</v>
      </c>
      <c r="I345"/>
      <c r="J345"/>
      <c r="K345" t="inlineStr">
        <is>
          <t>资料</t>
        </is>
      </c>
      <c r="L345"/>
      <c r="M345" t="inlineStr">
        <is>
          <t>小羊同学！的店</t>
        </is>
      </c>
      <c r="N345">
        <v>278000</v>
      </c>
      <c r="O345">
        <v>4.51</v>
      </c>
      <c r="P345">
        <v>208000</v>
      </c>
      <c r="Q345" t="inlineStr">
        <is>
          <t>691c70d5603b4e0001bd6827</t>
        </is>
      </c>
      <c r="R345" t="inlineStr">
        <is>
          <t>🚫重复</t>
        </is>
      </c>
      <c r="S345" t="inlineStr">
        <is>
          <t>中小学教辅/教材</t>
        </is>
      </c>
      <c r="T345" t="inlineStr">
        <is>
          <t>0.03</t>
        </is>
      </c>
      <c r="U345" s="3">
        <v>46112.78107638889</v>
      </c>
      <c r="V345" t="inlineStr">
        <is>
          <t>虚拟产品</t>
        </is>
      </c>
      <c r="W345" s="3">
        <v>46030</v>
      </c>
      <c r="X345" t="inlineStr">
        <is>
          <t>01</t>
        </is>
      </c>
      <c r="Y345" t="inlineStr">
        <is>
          <t>2026-Q1</t>
        </is>
      </c>
    </row>
    <row r="346" ht="38.25" customHeight="1">
      <c r="A346" t="inlineStr">
        <is>
          <t>语法课件PPT40个＋全套电子版练习资料小学小升初衔接全套wps版</t>
        </is>
      </c>
      <c r="B346" t="inlineStr">
        <is>
          <t>recv7JfW3Q0k2b.jpg</t>
        </is>
      </c>
      <c r="C346" s="2" t="str">
        <f>=HYPERLINK("https://xhslink.com/m/87dsDmH6paB", "https://xhslink.com/m/87dsDmH6paB")</f>
        <v>https://xhslink.com/m/87dsDmH6paB</v>
      </c>
      <c r="D346"/>
      <c r="E346">
        <v>8623</v>
      </c>
      <c r="F346">
        <v>3.99</v>
      </c>
      <c r="G346"/>
      <c r="H346">
        <v>800</v>
      </c>
      <c r="I346"/>
      <c r="J346"/>
      <c r="K346" t="inlineStr">
        <is>
          <t>资料</t>
        </is>
      </c>
      <c r="L346"/>
      <c r="M346" t="inlineStr">
        <is>
          <t>英语大招老师的店</t>
        </is>
      </c>
      <c r="N346">
        <v>13000</v>
      </c>
      <c r="O346">
        <v>4.16</v>
      </c>
      <c r="P346">
        <v>29000</v>
      </c>
      <c r="Q346" t="inlineStr">
        <is>
          <t>6756fd6e7f06b00001b5774d</t>
        </is>
      </c>
      <c r="R346" t="inlineStr">
        <is>
          <t>🚫重复</t>
        </is>
      </c>
      <c r="S346" t="inlineStr">
        <is>
          <t>中小学教辅/教材</t>
        </is>
      </c>
      <c r="T346" t="inlineStr">
        <is>
          <t>0.66</t>
        </is>
      </c>
      <c r="U346" s="3">
        <v>46112.78107638889</v>
      </c>
      <c r="V346" t="inlineStr">
        <is>
          <t>虚拟产品</t>
        </is>
      </c>
      <c r="W346" s="3">
        <v>46030</v>
      </c>
      <c r="X346" t="inlineStr">
        <is>
          <t>01</t>
        </is>
      </c>
      <c r="Y346" t="inlineStr">
        <is>
          <t>2026-Q1</t>
        </is>
      </c>
    </row>
    <row r="347" ht="38.25" customHeight="1">
      <c r="A347" t="inlineStr">
        <is>
          <t>四六级历年真题电子版 1989-2025.6 真题+解析+听力+单词+作文</t>
        </is>
      </c>
      <c r="B347" t="inlineStr">
        <is>
          <t>recv7JfW3Qtlff.jpg</t>
        </is>
      </c>
      <c r="C347" s="2" t="str">
        <f>=HYPERLINK("https://xhslink.com/m/ZkfXJD9Nh", "https://xhslink.com/m/ZkfXJD9Nh")</f>
        <v>https://xhslink.com/m/ZkfXJD9Nh</v>
      </c>
      <c r="D347"/>
      <c r="E347">
        <v>8467</v>
      </c>
      <c r="F347">
        <v>1.99</v>
      </c>
      <c r="G347"/>
      <c r="H347">
        <v>4500</v>
      </c>
      <c r="I347"/>
      <c r="J347"/>
      <c r="K347" t="inlineStr">
        <is>
          <t>资料</t>
        </is>
      </c>
      <c r="L347" t="inlineStr">
        <is>
          <t>🔥低粉爆款</t>
        </is>
      </c>
      <c r="M347" t="inlineStr">
        <is>
          <t>圆饼资料库的店</t>
        </is>
      </c>
      <c r="N347">
        <v>1859</v>
      </c>
      <c r="O347">
        <v>4.4</v>
      </c>
      <c r="P347">
        <v>9568</v>
      </c>
      <c r="Q347" t="inlineStr">
        <is>
          <t>68c95e4334db2a00015c8c3b</t>
        </is>
      </c>
      <c r="R347" t="inlineStr">
        <is>
          <t>🚫重复</t>
        </is>
      </c>
      <c r="S347" t="inlineStr">
        <is>
          <t>英语资料</t>
        </is>
      </c>
      <c r="T347" t="inlineStr">
        <is>
          <t>4.55</t>
        </is>
      </c>
      <c r="U347" s="3">
        <v>46112.78107638889</v>
      </c>
      <c r="V347" t="inlineStr">
        <is>
          <t>虚拟产品</t>
        </is>
      </c>
      <c r="W347" s="3">
        <v>46030</v>
      </c>
      <c r="X347" t="inlineStr">
        <is>
          <t>01</t>
        </is>
      </c>
      <c r="Y347" t="inlineStr">
        <is>
          <t>2026-Q1</t>
        </is>
      </c>
    </row>
    <row r="348" ht="38.25" customHeight="1">
      <c r="A348" t="inlineStr">
        <is>
          <t>未泱中文阅读营（一个月体验）</t>
        </is>
      </c>
      <c r="B348" t="inlineStr">
        <is>
          <t>recv7JfW3Qebgk.jpg</t>
        </is>
      </c>
      <c r="C348" s="2" t="str">
        <f>=HYPERLINK("https://xhslink.com/m/5hfOPN5Uj6T", "https://xhslink.com/m/5hfOPN5Uj6T")</f>
        <v>https://xhslink.com/m/5hfOPN5Uj6T</v>
      </c>
      <c r="D348"/>
      <c r="E348">
        <v>8406</v>
      </c>
      <c r="F348">
        <v>300</v>
      </c>
      <c r="G348"/>
      <c r="H348">
        <v>450</v>
      </c>
      <c r="I348"/>
      <c r="J348"/>
      <c r="K348" t="inlineStr">
        <is>
          <t>资料</t>
        </is>
      </c>
      <c r="L348"/>
      <c r="M348" t="inlineStr">
        <is>
          <t>未泱阅读的店</t>
        </is>
      </c>
      <c r="N348">
        <v>67000</v>
      </c>
      <c r="O348">
        <v>4.51</v>
      </c>
      <c r="P348">
        <v>86000</v>
      </c>
      <c r="Q348" t="inlineStr">
        <is>
          <t>6626fce801363300018cb514</t>
        </is>
      </c>
      <c r="R348" t="inlineStr">
        <is>
          <t>🚫重复</t>
        </is>
      </c>
      <c r="S348" t="inlineStr">
        <is>
          <t>无匹配类别</t>
        </is>
      </c>
      <c r="T348" t="inlineStr">
        <is>
          <t>0.13</t>
        </is>
      </c>
      <c r="U348" s="3">
        <v>46112.78107638889</v>
      </c>
      <c r="V348" t="inlineStr">
        <is>
          <t>虚拟产品</t>
        </is>
      </c>
      <c r="W348" s="3">
        <v>46030</v>
      </c>
      <c r="X348" t="inlineStr">
        <is>
          <t>01</t>
        </is>
      </c>
      <c r="Y348" t="inlineStr">
        <is>
          <t>2026-Q1</t>
        </is>
      </c>
    </row>
    <row r="349" ht="38.25" customHeight="1">
      <c r="A349" t="inlineStr">
        <is>
          <t>电子版线稿（任选一张）</t>
        </is>
      </c>
      <c r="B349" t="inlineStr">
        <is>
          <t>recv7JfW3Qr1a6.jpg</t>
        </is>
      </c>
      <c r="C349" s="2" t="str">
        <f>=HYPERLINK("https://xhslink.com/m/90ZAeLlJ6fz", "https://xhslink.com/m/90ZAeLlJ6fz")</f>
        <v>https://xhslink.com/m/90ZAeLlJ6fz</v>
      </c>
      <c r="D349"/>
      <c r="E349">
        <v>8307</v>
      </c>
      <c r="F349">
        <v>9.9</v>
      </c>
      <c r="G349"/>
      <c r="H349">
        <v>250</v>
      </c>
      <c r="I349"/>
      <c r="J349"/>
      <c r="K349" t="inlineStr">
        <is>
          <t>资料</t>
        </is>
      </c>
      <c r="L349"/>
      <c r="M349" t="inlineStr">
        <is>
          <t>大星爱绘画的店</t>
        </is>
      </c>
      <c r="N349">
        <v>107000</v>
      </c>
      <c r="O349">
        <v>4.19</v>
      </c>
      <c r="P349">
        <v>8328</v>
      </c>
      <c r="Q349" t="inlineStr">
        <is>
          <t>64362d9e32f9c800010099a3</t>
        </is>
      </c>
      <c r="R349"/>
      <c r="S349" t="inlineStr">
        <is>
          <t>设计素材</t>
        </is>
      </c>
      <c r="T349" t="inlineStr">
        <is>
          <t>0.08</t>
        </is>
      </c>
      <c r="U349" s="3">
        <v>46112.78107638889</v>
      </c>
      <c r="V349" t="inlineStr">
        <is>
          <t>虚拟产品</t>
        </is>
      </c>
      <c r="W349" s="3">
        <v>46030</v>
      </c>
      <c r="X349" t="inlineStr">
        <is>
          <t>01</t>
        </is>
      </c>
      <c r="Y349" t="inlineStr">
        <is>
          <t>2026-Q1</t>
        </is>
      </c>
    </row>
    <row r="350" ht="38.25" customHeight="1">
      <c r="A350" t="inlineStr">
        <is>
          <t>2026年国考面试急救包--4本纸质图书+4套电子学习资料+华图周边</t>
        </is>
      </c>
      <c r="B350" t="inlineStr">
        <is>
          <t>recv7JfW3QnCfP.jpg</t>
        </is>
      </c>
      <c r="C350" s="2" t="str">
        <f>=HYPERLINK("https://xhslink.com/m/8Hsw5LLoFa6", "https://xhslink.com/m/8Hsw5LLoFa6")</f>
        <v>https://xhslink.com/m/8Hsw5LLoFa6</v>
      </c>
      <c r="D350"/>
      <c r="E350">
        <v>8429</v>
      </c>
      <c r="F350">
        <v>1</v>
      </c>
      <c r="G350"/>
      <c r="H350">
        <v>650</v>
      </c>
      <c r="I350"/>
      <c r="J350"/>
      <c r="K350" t="inlineStr">
        <is>
          <t>资料</t>
        </is>
      </c>
      <c r="L350"/>
      <c r="M350" t="inlineStr">
        <is>
          <t>陕西华图的店</t>
        </is>
      </c>
      <c r="N350">
        <v>10000</v>
      </c>
      <c r="O350">
        <v>4.32</v>
      </c>
      <c r="P350">
        <v>9337</v>
      </c>
      <c r="Q350" t="inlineStr">
        <is>
          <t>692d003f01312b000199dce3</t>
        </is>
      </c>
      <c r="R350"/>
      <c r="S350" t="inlineStr">
        <is>
          <t>考公资料</t>
        </is>
      </c>
      <c r="T350" t="inlineStr">
        <is>
          <t>0.84</t>
        </is>
      </c>
      <c r="U350" s="3">
        <v>46112.78107638889</v>
      </c>
      <c r="V350" t="inlineStr">
        <is>
          <t>虚拟产品</t>
        </is>
      </c>
      <c r="W350" s="3">
        <v>46030</v>
      </c>
      <c r="X350" t="inlineStr">
        <is>
          <t>01</t>
        </is>
      </c>
      <c r="Y350" t="inlineStr">
        <is>
          <t>2026-Q1</t>
        </is>
      </c>
    </row>
    <row r="351" ht="38.25" customHeight="1">
      <c r="A351" t="inlineStr">
        <is>
          <t>26考研英语-1100高频核心词+10-25年历年阅读真题生词（电子版）</t>
        </is>
      </c>
      <c r="B351" t="inlineStr">
        <is>
          <t>recv7JfW3QQu6h.jpg</t>
        </is>
      </c>
      <c r="C351" s="2" t="str">
        <f>=HYPERLINK("https://xhslink.com/m/84oIpXyOQB5", "https://xhslink.com/m/84oIpXyOQB5")</f>
        <v>https://xhslink.com/m/84oIpXyOQB5</v>
      </c>
      <c r="D351"/>
      <c r="E351">
        <v>8016</v>
      </c>
      <c r="F351">
        <v>0.1</v>
      </c>
      <c r="G351"/>
      <c r="H351">
        <v>3000</v>
      </c>
      <c r="I351"/>
      <c r="J351"/>
      <c r="K351" t="inlineStr">
        <is>
          <t>资料</t>
        </is>
      </c>
      <c r="L351"/>
      <c r="M351" t="inlineStr">
        <is>
          <t>贰拾柒文化的店</t>
        </is>
      </c>
      <c r="N351">
        <v>7609</v>
      </c>
      <c r="O351">
        <v>3.74</v>
      </c>
      <c r="P351">
        <v>12000</v>
      </c>
      <c r="Q351" t="inlineStr">
        <is>
          <t>6891df508fe347000129720b</t>
        </is>
      </c>
      <c r="R351"/>
      <c r="S351" t="inlineStr">
        <is>
          <t>考研资料</t>
        </is>
      </c>
      <c r="T351" t="inlineStr">
        <is>
          <t>1.05</t>
        </is>
      </c>
      <c r="U351" s="3">
        <v>46112.78107638889</v>
      </c>
      <c r="V351" t="inlineStr">
        <is>
          <t>虚拟产品</t>
        </is>
      </c>
      <c r="W351" s="3">
        <v>46030</v>
      </c>
      <c r="X351" t="inlineStr">
        <is>
          <t>01</t>
        </is>
      </c>
      <c r="Y351" t="inlineStr">
        <is>
          <t>2026-Q1</t>
        </is>
      </c>
    </row>
    <row r="352" ht="38.25" customHeight="1">
      <c r="A352" t="inlineStr">
        <is>
          <t>G03-论文开题答辩PPT模板（1套 共27页）</t>
        </is>
      </c>
      <c r="B352" t="inlineStr">
        <is>
          <t>recv7JfW3QUi3c.jpg</t>
        </is>
      </c>
      <c r="C352" s="2" t="str">
        <f>=HYPERLINK("https://xhslink.com/m/ASXZubIRleO", "https://xhslink.com/m/ASXZubIRleO")</f>
        <v>https://xhslink.com/m/ASXZubIRleO</v>
      </c>
      <c r="D352"/>
      <c r="E352">
        <v>8090</v>
      </c>
      <c r="F352">
        <v>6.6</v>
      </c>
      <c r="G352"/>
      <c r="H352">
        <v>550</v>
      </c>
      <c r="I352"/>
      <c r="J352"/>
      <c r="K352" t="inlineStr">
        <is>
          <t>资料</t>
        </is>
      </c>
      <c r="L352" t="inlineStr">
        <is>
          <t>🔥低粉爆款</t>
        </is>
      </c>
      <c r="M352" t="inlineStr">
        <is>
          <t>芒果木菠萝的店</t>
        </is>
      </c>
      <c r="N352">
        <v>2079</v>
      </c>
      <c r="O352">
        <v>4.21</v>
      </c>
      <c r="P352">
        <v>17000</v>
      </c>
      <c r="Q352" t="inlineStr">
        <is>
          <t>66b1bfbb28e4060001743d8d</t>
        </is>
      </c>
      <c r="R352"/>
      <c r="S352" t="inlineStr">
        <is>
          <t>PPT模板</t>
        </is>
      </c>
      <c r="T352" t="inlineStr">
        <is>
          <t>3.89</t>
        </is>
      </c>
      <c r="U352" s="3">
        <v>46112.78107638889</v>
      </c>
      <c r="V352" t="inlineStr">
        <is>
          <t>虚拟产品</t>
        </is>
      </c>
      <c r="W352" s="3">
        <v>46030</v>
      </c>
      <c r="X352" t="inlineStr">
        <is>
          <t>01</t>
        </is>
      </c>
      <c r="Y352" t="inlineStr">
        <is>
          <t>2026-Q1</t>
        </is>
      </c>
    </row>
    <row r="353" ht="38.25" customHeight="1">
      <c r="A353" t="inlineStr">
        <is>
          <t>事业编D类备考包（含网课）</t>
        </is>
      </c>
      <c r="B353" t="inlineStr">
        <is>
          <t>recv7JfW3QnRWR.jpg</t>
        </is>
      </c>
      <c r="C353" s="2" t="str">
        <f>=HYPERLINK("https://xhslink.com/m/3KtRTQGb7SB", "https://xhslink.com/m/3KtRTQGb7SB")</f>
        <v>https://xhslink.com/m/3KtRTQGb7SB</v>
      </c>
      <c r="D353"/>
      <c r="E353">
        <v>7838</v>
      </c>
      <c r="F353">
        <v>14.9</v>
      </c>
      <c r="G353"/>
      <c r="H353">
        <v>300</v>
      </c>
      <c r="I353"/>
      <c r="J353"/>
      <c r="K353" t="inlineStr">
        <is>
          <t>资料</t>
        </is>
      </c>
      <c r="L353"/>
      <c r="M353" t="inlineStr">
        <is>
          <t>鲁鲁西！的店</t>
        </is>
      </c>
      <c r="N353">
        <v>13000</v>
      </c>
      <c r="O353">
        <v>4.23</v>
      </c>
      <c r="P353">
        <v>9117</v>
      </c>
      <c r="Q353" t="inlineStr">
        <is>
          <t>67bb19c149f1f10001514792</t>
        </is>
      </c>
      <c r="R353" t="inlineStr">
        <is>
          <t>🚫重复</t>
        </is>
      </c>
      <c r="S353" t="inlineStr">
        <is>
          <t>无匹配类别</t>
        </is>
      </c>
      <c r="T353" t="inlineStr">
        <is>
          <t>0.60</t>
        </is>
      </c>
      <c r="U353" s="3">
        <v>46112.78107638889</v>
      </c>
      <c r="V353" t="inlineStr">
        <is>
          <t>虚拟产品</t>
        </is>
      </c>
      <c r="W353" s="3">
        <v>46030</v>
      </c>
      <c r="X353" t="inlineStr">
        <is>
          <t>01</t>
        </is>
      </c>
      <c r="Y353" t="inlineStr">
        <is>
          <t>2026-Q1</t>
        </is>
      </c>
    </row>
    <row r="354" ht="38.25" customHeight="1">
      <c r="A354" t="inlineStr">
        <is>
          <t>大学生简约个人简历模板 word版本 电子版可打印可编辑应届生毕业</t>
        </is>
      </c>
      <c r="B354" t="inlineStr">
        <is>
          <t>recv7JfW3QpJlv.jpg</t>
        </is>
      </c>
      <c r="C354" s="2" t="str">
        <f>=HYPERLINK("https://xhslink.com/m/5FouLhbggb2", "https://xhslink.com/m/5FouLhbggb2")</f>
        <v>https://xhslink.com/m/5FouLhbggb2</v>
      </c>
      <c r="D354"/>
      <c r="E354">
        <v>7560</v>
      </c>
      <c r="F354">
        <v>0.99</v>
      </c>
      <c r="G354"/>
      <c r="H354">
        <v>100</v>
      </c>
      <c r="I354"/>
      <c r="J354"/>
      <c r="K354" t="inlineStr">
        <is>
          <t>资料</t>
        </is>
      </c>
      <c r="L354"/>
      <c r="M354" t="inlineStr">
        <is>
          <t>我说嘴巴嘟嘟的店</t>
        </is>
      </c>
      <c r="N354">
        <v>3928</v>
      </c>
      <c r="O354">
        <v>4.31</v>
      </c>
      <c r="P354">
        <v>90000</v>
      </c>
      <c r="Q354" t="inlineStr">
        <is>
          <t>6773af6dbc6cbc00018d7f04</t>
        </is>
      </c>
      <c r="R354" t="inlineStr">
        <is>
          <t>🚫重复</t>
        </is>
      </c>
      <c r="S354" t="inlineStr">
        <is>
          <t>求职面试/职场</t>
        </is>
      </c>
      <c r="T354" t="inlineStr">
        <is>
          <t>1.92</t>
        </is>
      </c>
      <c r="U354" s="3">
        <v>46112.78107638889</v>
      </c>
      <c r="V354" t="inlineStr">
        <is>
          <t>虚拟产品</t>
        </is>
      </c>
      <c r="W354" s="3">
        <v>46030</v>
      </c>
      <c r="X354" t="inlineStr">
        <is>
          <t>01</t>
        </is>
      </c>
      <c r="Y354" t="inlineStr">
        <is>
          <t>2026-Q1</t>
        </is>
      </c>
    </row>
    <row r="355" ht="38.25" customHeight="1">
      <c r="A355" t="inlineStr">
        <is>
          <t>六级作文万能模板+真题套用示范+翻译高频表达（25年12月版）</t>
        </is>
      </c>
      <c r="B355" t="inlineStr">
        <is>
          <t>recv7JfW3QLbAh.jpg</t>
        </is>
      </c>
      <c r="C355" s="2" t="str">
        <f>=HYPERLINK("https://xhslink.com/m/6F4L3AYFVZV", "https://xhslink.com/m/6F4L3AYFVZV")</f>
        <v>https://xhslink.com/m/6F4L3AYFVZV</v>
      </c>
      <c r="D355"/>
      <c r="E355">
        <v>7541</v>
      </c>
      <c r="F355">
        <v>19.9</v>
      </c>
      <c r="G355"/>
      <c r="H355">
        <v>1000</v>
      </c>
      <c r="I355"/>
      <c r="J355"/>
      <c r="K355" t="inlineStr">
        <is>
          <t>资料</t>
        </is>
      </c>
      <c r="L355"/>
      <c r="M355" t="inlineStr">
        <is>
          <t>Zachary的英语视界的店</t>
        </is>
      </c>
      <c r="N355">
        <v>44000</v>
      </c>
      <c r="O355">
        <v>4.18</v>
      </c>
      <c r="P355">
        <v>15000</v>
      </c>
      <c r="Q355" t="inlineStr">
        <is>
          <t>66168984d76156000162905c</t>
        </is>
      </c>
      <c r="R355"/>
      <c r="S355" t="inlineStr">
        <is>
          <t>英语资料</t>
        </is>
      </c>
      <c r="T355" t="inlineStr">
        <is>
          <t>0.17</t>
        </is>
      </c>
      <c r="U355" s="3">
        <v>46112.78107638889</v>
      </c>
      <c r="V355" t="inlineStr">
        <is>
          <t>虚拟产品</t>
        </is>
      </c>
      <c r="W355" s="3">
        <v>46030</v>
      </c>
      <c r="X355" t="inlineStr">
        <is>
          <t>01</t>
        </is>
      </c>
      <c r="Y355" t="inlineStr">
        <is>
          <t>2026-Q1</t>
        </is>
      </c>
    </row>
    <row r="356" ht="38.25" customHeight="1">
      <c r="A356" t="inlineStr">
        <is>
          <t>26备考教资网课幼小初高中科目一科目二三笔试视频题库课程刷题</t>
        </is>
      </c>
      <c r="B356" t="inlineStr">
        <is>
          <t>recv7JfW3Qt5Ah.jpg</t>
        </is>
      </c>
      <c r="C356" s="2" t="str">
        <f>=HYPERLINK("https://xhslink.com/m/DKyEs6ah4c", "https://xhslink.com/m/DKyEs6ah4c")</f>
        <v>https://xhslink.com/m/DKyEs6ah4c</v>
      </c>
      <c r="D356"/>
      <c r="E356">
        <v>7375</v>
      </c>
      <c r="F356">
        <v>8.8</v>
      </c>
      <c r="G356"/>
      <c r="H356">
        <v>100</v>
      </c>
      <c r="I356"/>
      <c r="J356"/>
      <c r="K356" t="inlineStr">
        <is>
          <t>资料</t>
        </is>
      </c>
      <c r="L356"/>
      <c r="M356" t="inlineStr">
        <is>
          <t>乐X峰题库I星途的店</t>
        </is>
      </c>
      <c r="N356">
        <v>12000</v>
      </c>
      <c r="O356">
        <v>4.52</v>
      </c>
      <c r="P356">
        <v>76000</v>
      </c>
      <c r="Q356" t="inlineStr">
        <is>
          <t>667fa9b1884f4e00016ef0ee</t>
        </is>
      </c>
      <c r="R356" t="inlineStr">
        <is>
          <t>🚫重复</t>
        </is>
      </c>
      <c r="S356" t="inlineStr">
        <is>
          <t>教资资料</t>
        </is>
      </c>
      <c r="T356" t="inlineStr">
        <is>
          <t>0.61</t>
        </is>
      </c>
      <c r="U356" s="3">
        <v>46112.78107638889</v>
      </c>
      <c r="V356" t="inlineStr">
        <is>
          <t>虚拟产品</t>
        </is>
      </c>
      <c r="W356" s="3">
        <v>46030</v>
      </c>
      <c r="X356" t="inlineStr">
        <is>
          <t>01</t>
        </is>
      </c>
      <c r="Y356" t="inlineStr">
        <is>
          <t>2026-Q1</t>
        </is>
      </c>
    </row>
    <row r="357" ht="38.25" customHeight="1">
      <c r="A357" t="inlineStr">
        <is>
          <t>全屋住宅精细化设计应用合集</t>
        </is>
      </c>
      <c r="B357" t="inlineStr">
        <is>
          <t>recv7JfW3Q6XyQ.jpg</t>
        </is>
      </c>
      <c r="C357" s="2" t="str">
        <f>=HYPERLINK("https://xhslink.com/m/FhJrwXrVZP", "https://xhslink.com/m/FhJrwXrVZP")</f>
        <v>https://xhslink.com/m/FhJrwXrVZP</v>
      </c>
      <c r="D357"/>
      <c r="E357">
        <v>7346</v>
      </c>
      <c r="F357">
        <v>19.9</v>
      </c>
      <c r="G357"/>
      <c r="H357">
        <v>91</v>
      </c>
      <c r="I357"/>
      <c r="J357"/>
      <c r="K357" t="inlineStr">
        <is>
          <t>资料</t>
        </is>
      </c>
      <c r="L357"/>
      <c r="M357" t="inlineStr">
        <is>
          <t>筑宅设计吧的店</t>
        </is>
      </c>
      <c r="N357">
        <v>68000</v>
      </c>
      <c r="O357">
        <v>4.52</v>
      </c>
      <c r="P357">
        <v>14000</v>
      </c>
      <c r="Q357" t="inlineStr">
        <is>
          <t>66fc05d094a44c0001123e6f</t>
        </is>
      </c>
      <c r="R357"/>
      <c r="S357" t="inlineStr">
        <is>
          <t>无匹配类别</t>
        </is>
      </c>
      <c r="T357" t="inlineStr">
        <is>
          <t>0.11</t>
        </is>
      </c>
      <c r="U357" s="3">
        <v>46112.78107638889</v>
      </c>
      <c r="V357" t="inlineStr">
        <is>
          <t>虚拟产品</t>
        </is>
      </c>
      <c r="W357" s="3">
        <v>46030</v>
      </c>
      <c r="X357" t="inlineStr">
        <is>
          <t>01</t>
        </is>
      </c>
      <c r="Y357" t="inlineStr">
        <is>
          <t>2026-Q1</t>
        </is>
      </c>
    </row>
    <row r="358" ht="38.25" customHeight="1">
      <c r="A358" t="inlineStr">
        <is>
          <t>2026马年元旦联欢会（71页PPT+主持稿+12大游戏）、元旦游戏PPT</t>
        </is>
      </c>
      <c r="B358" t="inlineStr">
        <is>
          <t>recv7JfW3QsCRR.jpg</t>
        </is>
      </c>
      <c r="C358" s="2" t="str">
        <f>=HYPERLINK("https://xhslink.com/m/2jXST4PJ2wq", "https://xhslink.com/m/2jXST4PJ2wq")</f>
        <v>https://xhslink.com/m/2jXST4PJ2wq</v>
      </c>
      <c r="D358"/>
      <c r="E358">
        <v>7338</v>
      </c>
      <c r="F358">
        <v>9.99</v>
      </c>
      <c r="G358"/>
      <c r="H358">
        <v>97</v>
      </c>
      <c r="I358"/>
      <c r="J358"/>
      <c r="K358" t="inlineStr">
        <is>
          <t>资料</t>
        </is>
      </c>
      <c r="L358"/>
      <c r="M358" t="inlineStr">
        <is>
          <t>小雅老师.的店</t>
        </is>
      </c>
      <c r="N358">
        <v>49000</v>
      </c>
      <c r="O358">
        <v>4.74</v>
      </c>
      <c r="P358">
        <v>75000</v>
      </c>
      <c r="Q358" t="inlineStr">
        <is>
          <t>69464ea7110a7f000142de21</t>
        </is>
      </c>
      <c r="R358" t="inlineStr">
        <is>
          <t>🚫重复</t>
        </is>
      </c>
      <c r="S358" t="inlineStr">
        <is>
          <t>PPT模板</t>
        </is>
      </c>
      <c r="T358" t="inlineStr">
        <is>
          <t>0.15</t>
        </is>
      </c>
      <c r="U358" s="3">
        <v>46112.78107638889</v>
      </c>
      <c r="V358" t="inlineStr">
        <is>
          <t>虚拟产品</t>
        </is>
      </c>
      <c r="W358" s="3">
        <v>46030</v>
      </c>
      <c r="X358" t="inlineStr">
        <is>
          <t>01</t>
        </is>
      </c>
      <c r="Y358" t="inlineStr">
        <is>
          <t>2026-Q1</t>
        </is>
      </c>
    </row>
    <row r="359" ht="38.25" customHeight="1">
      <c r="A359" t="inlineStr">
        <is>
          <t>【现货】 26考研英语一/二高分写作考前预测20篇王江涛 考前冲刺</t>
        </is>
      </c>
      <c r="B359" t="inlineStr">
        <is>
          <t>recv7JfW3QCgze.jpg</t>
        </is>
      </c>
      <c r="C359" s="2" t="str">
        <f>=HYPERLINK("https://xhslink.com/m/3VJfnw7HUfp", "https://xhslink.com/m/3VJfnw7HUfp")</f>
        <v>https://xhslink.com/m/3VJfnw7HUfp</v>
      </c>
      <c r="D359"/>
      <c r="E359">
        <v>7283</v>
      </c>
      <c r="F359">
        <v>26</v>
      </c>
      <c r="G359"/>
      <c r="H359">
        <v>250</v>
      </c>
      <c r="I359"/>
      <c r="J359"/>
      <c r="K359" t="inlineStr">
        <is>
          <t>资料</t>
        </is>
      </c>
      <c r="L359"/>
      <c r="M359" t="inlineStr">
        <is>
          <t>新东方大愚图书的店</t>
        </is>
      </c>
      <c r="N359">
        <v>22000</v>
      </c>
      <c r="O359">
        <v>4.16</v>
      </c>
      <c r="P359">
        <v>12000</v>
      </c>
      <c r="Q359" t="inlineStr">
        <is>
          <t>654ca1d19279f50001cd66eb</t>
        </is>
      </c>
      <c r="R359" t="inlineStr">
        <is>
          <t>🚫重复</t>
        </is>
      </c>
      <c r="S359" t="inlineStr">
        <is>
          <t>考研资料</t>
        </is>
      </c>
      <c r="T359" t="inlineStr">
        <is>
          <t>0.33</t>
        </is>
      </c>
      <c r="U359" s="3">
        <v>46112.78107638889</v>
      </c>
      <c r="V359" t="inlineStr">
        <is>
          <t>虚拟产品</t>
        </is>
      </c>
      <c r="W359" s="3">
        <v>46030</v>
      </c>
      <c r="X359" t="inlineStr">
        <is>
          <t>01</t>
        </is>
      </c>
      <c r="Y359" t="inlineStr">
        <is>
          <t>2026-Q1</t>
        </is>
      </c>
    </row>
    <row r="360" ht="38.25" customHeight="1">
      <c r="A360" t="inlineStr">
        <is>
          <t>2025年高考语文数学英语物理化学历史地理政治真题分类汇编电子版</t>
        </is>
      </c>
      <c r="B360" t="inlineStr">
        <is>
          <t>recv7JfW3QrrUb.jpg</t>
        </is>
      </c>
      <c r="C360" s="2" t="str">
        <f>=HYPERLINK("https://xhslink.com/m/8PSi4MPYomj", "https://xhslink.com/m/8PSi4MPYomj")</f>
        <v>https://xhslink.com/m/8PSi4MPYomj</v>
      </c>
      <c r="D360"/>
      <c r="E360">
        <v>7101</v>
      </c>
      <c r="F360">
        <v>8.8</v>
      </c>
      <c r="G360"/>
      <c r="H360">
        <v>150</v>
      </c>
      <c r="I360"/>
      <c r="J360"/>
      <c r="K360" t="inlineStr">
        <is>
          <t>资料</t>
        </is>
      </c>
      <c r="L360"/>
      <c r="M360" t="inlineStr">
        <is>
          <t>发发的高中资料库的店</t>
        </is>
      </c>
      <c r="N360">
        <v>16000</v>
      </c>
      <c r="O360">
        <v>4.44</v>
      </c>
      <c r="P360">
        <v>50000</v>
      </c>
      <c r="Q360" t="inlineStr">
        <is>
          <t>678f061e96b36c0001e7842e</t>
        </is>
      </c>
      <c r="R360" t="inlineStr">
        <is>
          <t>🚫重复</t>
        </is>
      </c>
      <c r="S360" t="inlineStr">
        <is>
          <t>高中/高考资料</t>
        </is>
      </c>
      <c r="T360" t="inlineStr">
        <is>
          <t>0.44</t>
        </is>
      </c>
      <c r="U360" s="3">
        <v>46112.78107638889</v>
      </c>
      <c r="V360" t="inlineStr">
        <is>
          <t>虚拟产品</t>
        </is>
      </c>
      <c r="W360" s="3">
        <v>46030</v>
      </c>
      <c r="X360" t="inlineStr">
        <is>
          <t>01</t>
        </is>
      </c>
      <c r="Y360" t="inlineStr">
        <is>
          <t>2026-Q1</t>
        </is>
      </c>
    </row>
    <row r="361" ht="38.25" customHeight="1">
      <c r="A361" t="inlineStr">
        <is>
          <t>【文档】HR多个工作场景干货电子资料--买完复制订单发货信息下载</t>
        </is>
      </c>
      <c r="B361" t="inlineStr">
        <is>
          <t>recv7JfW3QrZeX.jpg</t>
        </is>
      </c>
      <c r="C361" s="2" t="str">
        <f>=HYPERLINK("https://xhslink.com/m/3WbU4BnzqOX", "https://xhslink.com/m/3WbU4BnzqOX")</f>
        <v>https://xhslink.com/m/3WbU4BnzqOX</v>
      </c>
      <c r="D361"/>
      <c r="E361">
        <v>6957</v>
      </c>
      <c r="F361">
        <v>1</v>
      </c>
      <c r="G361"/>
      <c r="H361">
        <v>300</v>
      </c>
      <c r="I361"/>
      <c r="J361"/>
      <c r="K361" t="inlineStr">
        <is>
          <t>资料</t>
        </is>
      </c>
      <c r="L361"/>
      <c r="M361" t="inlineStr">
        <is>
          <t>佐尔不群的店</t>
        </is>
      </c>
      <c r="N361">
        <v>18000</v>
      </c>
      <c r="O361">
        <v>4.4</v>
      </c>
      <c r="P361">
        <v>21000</v>
      </c>
      <c r="Q361" t="inlineStr">
        <is>
          <t>6721e51d7e480700015d5b38</t>
        </is>
      </c>
      <c r="R361"/>
      <c r="S361" t="inlineStr">
        <is>
          <t>求职面试/职场</t>
        </is>
      </c>
      <c r="T361" t="inlineStr">
        <is>
          <t>0.39</t>
        </is>
      </c>
      <c r="U361" s="3">
        <v>46112.78107638889</v>
      </c>
      <c r="V361" t="inlineStr">
        <is>
          <t>虚拟产品</t>
        </is>
      </c>
      <c r="W361" s="3">
        <v>46030</v>
      </c>
      <c r="X361" t="inlineStr">
        <is>
          <t>01</t>
        </is>
      </c>
      <c r="Y361" t="inlineStr">
        <is>
          <t>2026-Q1</t>
        </is>
      </c>
    </row>
    <row r="362" ht="38.25" customHeight="1">
      <c r="A362" t="inlineStr">
        <is>
          <t>302号：三上综合类资料</t>
        </is>
      </c>
      <c r="B362" t="inlineStr">
        <is>
          <t>recv7JfW3QJkqd.jpg</t>
        </is>
      </c>
      <c r="C362" s="2" t="str">
        <f>=HYPERLINK("https://xhslink.com/m/96i88bokJnY", "https://xhslink.com/m/96i88bokJnY")</f>
        <v>https://xhslink.com/m/96i88bokJnY</v>
      </c>
      <c r="D362"/>
      <c r="E362">
        <v>6872</v>
      </c>
      <c r="F362">
        <v>4</v>
      </c>
      <c r="G362"/>
      <c r="H362">
        <v>500</v>
      </c>
      <c r="I362"/>
      <c r="J362"/>
      <c r="K362" t="inlineStr">
        <is>
          <t>资料</t>
        </is>
      </c>
      <c r="L362"/>
      <c r="M362" t="inlineStr">
        <is>
          <t>张主任的情报库的店</t>
        </is>
      </c>
      <c r="N362">
        <v>28000</v>
      </c>
      <c r="O362">
        <v>4.56</v>
      </c>
      <c r="P362">
        <v>218000</v>
      </c>
      <c r="Q362" t="inlineStr">
        <is>
          <t>6910c8b7ab65400001655171</t>
        </is>
      </c>
      <c r="R362" t="inlineStr">
        <is>
          <t>🚫重复</t>
        </is>
      </c>
      <c r="S362" t="inlineStr">
        <is>
          <t>无匹配类别</t>
        </is>
      </c>
      <c r="T362" t="inlineStr">
        <is>
          <t>0.25</t>
        </is>
      </c>
      <c r="U362" s="3">
        <v>46112.78107638889</v>
      </c>
      <c r="V362" t="inlineStr">
        <is>
          <t>虚拟产品</t>
        </is>
      </c>
      <c r="W362" s="3">
        <v>46030</v>
      </c>
      <c r="X362" t="inlineStr">
        <is>
          <t>01</t>
        </is>
      </c>
      <c r="Y362" t="inlineStr">
        <is>
          <t>2026-Q1</t>
        </is>
      </c>
    </row>
    <row r="363" ht="38.25" customHeight="1">
      <c r="A363" t="inlineStr">
        <is>
          <t>PPT了吗小店｜PPT资料任选一个（拍下备注编号）</t>
        </is>
      </c>
      <c r="B363" t="inlineStr">
        <is>
          <t>recv7JfW3QjqH3.jpg</t>
        </is>
      </c>
      <c r="C363" s="2" t="str">
        <f>=HYPERLINK("https://xhslink.com/m/64omj4qfQiq", "https://xhslink.com/m/64omj4qfQiq")</f>
        <v>https://xhslink.com/m/64omj4qfQiq</v>
      </c>
      <c r="D363"/>
      <c r="E363">
        <v>6754</v>
      </c>
      <c r="F363">
        <v>6.8</v>
      </c>
      <c r="G363"/>
      <c r="H363">
        <v>100</v>
      </c>
      <c r="I363"/>
      <c r="J363"/>
      <c r="K363" t="inlineStr">
        <is>
          <t>资料</t>
        </is>
      </c>
      <c r="L363"/>
      <c r="M363" t="inlineStr">
        <is>
          <t>PPT了吗的店</t>
        </is>
      </c>
      <c r="N363">
        <v>4642</v>
      </c>
      <c r="O363">
        <v>4.18</v>
      </c>
      <c r="P363">
        <v>13000</v>
      </c>
      <c r="Q363" t="inlineStr">
        <is>
          <t>6566a7c43214c00001b05969</t>
        </is>
      </c>
      <c r="R363"/>
      <c r="S363" t="inlineStr">
        <is>
          <t>PPT模板</t>
        </is>
      </c>
      <c r="T363" t="inlineStr">
        <is>
          <t>1.45</t>
        </is>
      </c>
      <c r="U363" s="3">
        <v>46112.78107638889</v>
      </c>
      <c r="V363" t="inlineStr">
        <is>
          <t>虚拟产品</t>
        </is>
      </c>
      <c r="W363" s="3">
        <v>46030</v>
      </c>
      <c r="X363" t="inlineStr">
        <is>
          <t>01</t>
        </is>
      </c>
      <c r="Y363" t="inlineStr">
        <is>
          <t>2026-Q1</t>
        </is>
      </c>
    </row>
    <row r="364" ht="38.25" customHeight="1">
      <c r="A364" t="inlineStr">
        <is>
          <t>板书 云朵字 艺术字 电子版 定制</t>
        </is>
      </c>
      <c r="B364" t="inlineStr">
        <is>
          <t>recv7JfW3Q47Zx.jpg</t>
        </is>
      </c>
      <c r="C364" s="2" t="str">
        <f>=HYPERLINK("https://xhslink.com/m/3z8nawigAfi", "https://xhslink.com/m/3z8nawigAfi")</f>
        <v>https://xhslink.com/m/3z8nawigAfi</v>
      </c>
      <c r="D364"/>
      <c r="E364">
        <v>6738</v>
      </c>
      <c r="F364">
        <v>5.99</v>
      </c>
      <c r="G364"/>
      <c r="H364">
        <v>400</v>
      </c>
      <c r="I364"/>
      <c r="J364"/>
      <c r="K364" t="inlineStr">
        <is>
          <t>资料</t>
        </is>
      </c>
      <c r="L364"/>
      <c r="M364" t="inlineStr">
        <is>
          <t>要早点睡啊的店</t>
        </is>
      </c>
      <c r="N364">
        <v>2547</v>
      </c>
      <c r="O364">
        <v>4.43</v>
      </c>
      <c r="P364">
        <v>8049</v>
      </c>
      <c r="Q364" t="inlineStr">
        <is>
          <t>661fd4c4cf1ba30001c4bb85</t>
        </is>
      </c>
      <c r="R364"/>
      <c r="S364" t="inlineStr">
        <is>
          <t>设计素材</t>
        </is>
      </c>
      <c r="T364" t="inlineStr">
        <is>
          <t>2.65</t>
        </is>
      </c>
      <c r="U364" s="3">
        <v>46112.78107638889</v>
      </c>
      <c r="V364" t="inlineStr">
        <is>
          <t>虚拟产品</t>
        </is>
      </c>
      <c r="W364" s="3">
        <v>46030</v>
      </c>
      <c r="X364" t="inlineStr">
        <is>
          <t>01</t>
        </is>
      </c>
      <c r="Y364" t="inlineStr">
        <is>
          <t>2026-Q1</t>
        </is>
      </c>
    </row>
    <row r="365" ht="38.25" customHeight="1">
      <c r="A365" t="inlineStr">
        <is>
          <t>幼儿园小中大班班本课程ppt园本课程方案</t>
        </is>
      </c>
      <c r="B365" t="inlineStr">
        <is>
          <t>recv7JfW3QrcA5.jpg</t>
        </is>
      </c>
      <c r="C365" s="2" t="str">
        <f>=HYPERLINK("https://xhslink.com/m/7S7JSoKwzCD", "https://xhslink.com/m/7S7JSoKwzCD")</f>
        <v>https://xhslink.com/m/7S7JSoKwzCD</v>
      </c>
      <c r="D365"/>
      <c r="E365">
        <v>6939</v>
      </c>
      <c r="F365">
        <v>13.9</v>
      </c>
      <c r="G365"/>
      <c r="H365">
        <v>850</v>
      </c>
      <c r="I365"/>
      <c r="J365"/>
      <c r="K365" t="inlineStr">
        <is>
          <t>资料</t>
        </is>
      </c>
      <c r="L365"/>
      <c r="M365" t="inlineStr">
        <is>
          <t>幼儿园游戏案例呀的店</t>
        </is>
      </c>
      <c r="N365">
        <v>3853</v>
      </c>
      <c r="O365">
        <v>4.41</v>
      </c>
      <c r="P365">
        <v>12000</v>
      </c>
      <c r="Q365" t="inlineStr">
        <is>
          <t>66540cf6d5d5a10001e80dd3</t>
        </is>
      </c>
      <c r="R365" t="inlineStr">
        <is>
          <t>🚫重复</t>
        </is>
      </c>
      <c r="S365" t="inlineStr">
        <is>
          <t>PPT模板</t>
        </is>
      </c>
      <c r="T365" t="inlineStr">
        <is>
          <t>1.80</t>
        </is>
      </c>
      <c r="U365" s="3">
        <v>46112.78107638889</v>
      </c>
      <c r="V365" t="inlineStr">
        <is>
          <t>虚拟产品</t>
        </is>
      </c>
      <c r="W365" s="3">
        <v>46030</v>
      </c>
      <c r="X365" t="inlineStr">
        <is>
          <t>01</t>
        </is>
      </c>
      <c r="Y365" t="inlineStr">
        <is>
          <t>2026-Q1</t>
        </is>
      </c>
    </row>
    <row r="366" ht="38.25" customHeight="1">
      <c r="A366" t="inlineStr">
        <is>
          <t>25年人教版【五上数学】题型专项训练（电子版）</t>
        </is>
      </c>
      <c r="B366" t="inlineStr">
        <is>
          <t>recv7JfW3Q1kH1.jpg</t>
        </is>
      </c>
      <c r="C366" s="2" t="str">
        <f>=HYPERLINK("https://xhslink.com/m/8x5e871CUkH", "https://xhslink.com/m/8x5e871CUkH")</f>
        <v>https://xhslink.com/m/8x5e871CUkH</v>
      </c>
      <c r="D366"/>
      <c r="E366">
        <v>6756</v>
      </c>
      <c r="F366">
        <v>4.9</v>
      </c>
      <c r="G366"/>
      <c r="H366">
        <v>1500</v>
      </c>
      <c r="I366"/>
      <c r="J366"/>
      <c r="K366" t="inlineStr">
        <is>
          <t>资料</t>
        </is>
      </c>
      <c r="L366"/>
      <c r="M366" t="inlineStr">
        <is>
          <t>瑞老师的小学日记的店</t>
        </is>
      </c>
      <c r="N366">
        <v>9273</v>
      </c>
      <c r="O366">
        <v>4.7</v>
      </c>
      <c r="P366">
        <v>29000</v>
      </c>
      <c r="Q366" t="inlineStr">
        <is>
          <t>687f2bf5f9d7c800017c24df</t>
        </is>
      </c>
      <c r="R366" t="inlineStr">
        <is>
          <t>🚫重复</t>
        </is>
      </c>
      <c r="S366" t="inlineStr">
        <is>
          <t>中小学教辅/教材</t>
        </is>
      </c>
      <c r="T366" t="inlineStr">
        <is>
          <t>0.73</t>
        </is>
      </c>
      <c r="U366" s="3">
        <v>46112.78107638889</v>
      </c>
      <c r="V366" t="inlineStr">
        <is>
          <t>虚拟产品</t>
        </is>
      </c>
      <c r="W366" s="3">
        <v>46030</v>
      </c>
      <c r="X366" t="inlineStr">
        <is>
          <t>01</t>
        </is>
      </c>
      <c r="Y366" t="inlineStr">
        <is>
          <t>2026-Q1</t>
        </is>
      </c>
    </row>
    <row r="367" ht="38.25" customHeight="1">
      <c r="A367" t="inlineStr">
        <is>
          <t>公务员国考省考历年真题套卷</t>
        </is>
      </c>
      <c r="B367" t="inlineStr">
        <is>
          <t>recv7JfW3QG2U8.jpg</t>
        </is>
      </c>
      <c r="C367" s="2" t="str">
        <f>=HYPERLINK("https://xhslink.com/m/3pzqJ0omQIj", "https://xhslink.com/m/3pzqJ0omQIj")</f>
        <v>https://xhslink.com/m/3pzqJ0omQIj</v>
      </c>
      <c r="D367"/>
      <c r="E367">
        <v>6618</v>
      </c>
      <c r="F367">
        <v>14.7</v>
      </c>
      <c r="G367"/>
      <c r="H367">
        <v>300</v>
      </c>
      <c r="I367"/>
      <c r="J367"/>
      <c r="K367" t="inlineStr">
        <is>
          <t>资料</t>
        </is>
      </c>
      <c r="L367"/>
      <c r="M367" t="inlineStr">
        <is>
          <t>小吴的考公书斋的店</t>
        </is>
      </c>
      <c r="N367">
        <v>5821</v>
      </c>
      <c r="O367">
        <v>4.44</v>
      </c>
      <c r="P367">
        <v>13000</v>
      </c>
      <c r="Q367" t="inlineStr">
        <is>
          <t>66a21bd3489503000193419b</t>
        </is>
      </c>
      <c r="R367" t="inlineStr">
        <is>
          <t>🚫重复</t>
        </is>
      </c>
      <c r="S367" t="inlineStr">
        <is>
          <t>考公资料</t>
        </is>
      </c>
      <c r="T367" t="inlineStr">
        <is>
          <t>1.14</t>
        </is>
      </c>
      <c r="U367" s="3">
        <v>46112.78107638889</v>
      </c>
      <c r="V367" t="inlineStr">
        <is>
          <t>虚拟产品</t>
        </is>
      </c>
      <c r="W367" s="3">
        <v>46030</v>
      </c>
      <c r="X367" t="inlineStr">
        <is>
          <t>01</t>
        </is>
      </c>
      <c r="Y367" t="inlineStr">
        <is>
          <t>2026-Q1</t>
        </is>
      </c>
    </row>
    <row r="368" ht="38.25" customHeight="1">
      <c r="A368" t="inlineStr">
        <is>
          <t>量子与猫 · 2026全年计划日程本|电子手账|Goodnotes模板|Notability学习笔记</t>
        </is>
      </c>
      <c r="B368" t="inlineStr">
        <is>
          <t>recv7JfW3QYTKq.jpg</t>
        </is>
      </c>
      <c r="C368" s="2" t="str">
        <f>=HYPERLINK("https://xhslink.com/m/5OST2GCGHuE", "https://xhslink.com/m/5OST2GCGHuE")</f>
        <v>https://xhslink.com/m/5OST2GCGHuE</v>
      </c>
      <c r="D368"/>
      <c r="E368">
        <v>6665</v>
      </c>
      <c r="F368">
        <v>30.8</v>
      </c>
      <c r="G368"/>
      <c r="H368">
        <v>250</v>
      </c>
      <c r="I368"/>
      <c r="J368"/>
      <c r="K368" t="inlineStr">
        <is>
          <t>资料</t>
        </is>
      </c>
      <c r="L368"/>
      <c r="M368" t="inlineStr">
        <is>
          <t>量子与猫的店</t>
        </is>
      </c>
      <c r="N368">
        <v>35000</v>
      </c>
      <c r="O368">
        <v>4.13</v>
      </c>
      <c r="P368">
        <v>11000</v>
      </c>
      <c r="Q368" t="inlineStr">
        <is>
          <t>64d33846929f6b0001815324</t>
        </is>
      </c>
      <c r="R368" t="inlineStr">
        <is>
          <t>🚫重复</t>
        </is>
      </c>
      <c r="S368" t="inlineStr">
        <is>
          <t>无匹配类别</t>
        </is>
      </c>
      <c r="T368" t="inlineStr">
        <is>
          <t>0.19</t>
        </is>
      </c>
      <c r="U368" s="3">
        <v>46112.78107638889</v>
      </c>
      <c r="V368" t="inlineStr">
        <is>
          <t>虚拟产品</t>
        </is>
      </c>
      <c r="W368" s="3">
        <v>46030</v>
      </c>
      <c r="X368" t="inlineStr">
        <is>
          <t>01</t>
        </is>
      </c>
      <c r="Y368" t="inlineStr">
        <is>
          <t>2026-Q1</t>
        </is>
      </c>
    </row>
    <row r="369" ht="38.25" customHeight="1">
      <c r="A369" t="inlineStr">
        <is>
          <t>600+款课堂游戏惩罚游戏趣味游戏PPT课件【拍下自动发货】</t>
        </is>
      </c>
      <c r="B369" t="inlineStr">
        <is>
          <t>recv7JfW3QGjac.jpg</t>
        </is>
      </c>
      <c r="C369" s="2" t="str">
        <f>=HYPERLINK("https://xhslink.com/m/6wJYypeNfCZ", "https://xhslink.com/m/6wJYypeNfCZ")</f>
        <v>https://xhslink.com/m/6wJYypeNfCZ</v>
      </c>
      <c r="D369"/>
      <c r="E369">
        <v>6367</v>
      </c>
      <c r="F369">
        <v>4.9</v>
      </c>
      <c r="G369"/>
      <c r="H369">
        <v>2000</v>
      </c>
      <c r="I369"/>
      <c r="J369"/>
      <c r="K369" t="inlineStr">
        <is>
          <t>资料</t>
        </is>
      </c>
      <c r="L369" t="inlineStr">
        <is>
          <t>🔥低粉爆款</t>
        </is>
      </c>
      <c r="M369" t="inlineStr">
        <is>
          <t>阿念老师的店</t>
        </is>
      </c>
      <c r="N369">
        <v>290</v>
      </c>
      <c r="O369">
        <v>4.33</v>
      </c>
      <c r="P369">
        <v>11000</v>
      </c>
      <c r="Q369" t="inlineStr">
        <is>
          <t>692d65c8d4363c0001f501aa</t>
        </is>
      </c>
      <c r="R369" t="inlineStr">
        <is>
          <t>🚫重复</t>
        </is>
      </c>
      <c r="S369" t="inlineStr">
        <is>
          <t>中小学教辅/教材</t>
        </is>
      </c>
      <c r="T369" t="inlineStr">
        <is>
          <t>21.96</t>
        </is>
      </c>
      <c r="U369" s="3">
        <v>46112.78107638889</v>
      </c>
      <c r="V369" t="inlineStr">
        <is>
          <t>虚拟产品</t>
        </is>
      </c>
      <c r="W369" s="3">
        <v>46030</v>
      </c>
      <c r="X369" t="inlineStr">
        <is>
          <t>01</t>
        </is>
      </c>
      <c r="Y369" t="inlineStr">
        <is>
          <t>2026-Q1</t>
        </is>
      </c>
    </row>
    <row r="370" ht="38.25" customHeight="1">
      <c r="A370" t="inlineStr">
        <is>
          <t>2025新人教英语课件｜七上/七下/八上/八下｜单课时拍下请备注</t>
        </is>
      </c>
      <c r="B370" t="inlineStr">
        <is>
          <t>recv7JfW3QYpuw.jpg</t>
        </is>
      </c>
      <c r="C370" s="2" t="str">
        <f>=HYPERLINK("https://xhslink.com/m/1hcaOfkZ3vb", "https://xhslink.com/m/1hcaOfkZ3vb")</f>
        <v>https://xhslink.com/m/1hcaOfkZ3vb</v>
      </c>
      <c r="D370"/>
      <c r="E370">
        <v>6667</v>
      </c>
      <c r="F370">
        <v>25</v>
      </c>
      <c r="G370"/>
      <c r="H370">
        <v>1000</v>
      </c>
      <c r="I370"/>
      <c r="J370"/>
      <c r="K370" t="inlineStr">
        <is>
          <t>资料</t>
        </is>
      </c>
      <c r="L370"/>
      <c r="M370" t="inlineStr">
        <is>
          <t>Christina在努力的店</t>
        </is>
      </c>
      <c r="N370">
        <v>13000</v>
      </c>
      <c r="O370">
        <v>4.51</v>
      </c>
      <c r="P370">
        <v>24000</v>
      </c>
      <c r="Q370" t="inlineStr">
        <is>
          <t>68ee074853446d00012384e6</t>
        </is>
      </c>
      <c r="R370" t="inlineStr">
        <is>
          <t>🚫重复</t>
        </is>
      </c>
      <c r="S370" t="inlineStr">
        <is>
          <t>中小学教辅/教材</t>
        </is>
      </c>
      <c r="T370" t="inlineStr">
        <is>
          <t>0.51</t>
        </is>
      </c>
      <c r="U370" s="3">
        <v>46112.78107638889</v>
      </c>
      <c r="V370" t="inlineStr">
        <is>
          <t>虚拟产品</t>
        </is>
      </c>
      <c r="W370" s="3">
        <v>46030</v>
      </c>
      <c r="X370" t="inlineStr">
        <is>
          <t>01</t>
        </is>
      </c>
      <c r="Y370" t="inlineStr">
        <is>
          <t>2026-Q1</t>
        </is>
      </c>
    </row>
    <row r="371" ht="38.25" customHeight="1">
      <c r="A371" t="inlineStr">
        <is>
          <t>三年级上册语文全册重点知识点期中期末复习字词古诗必背内容专项</t>
        </is>
      </c>
      <c r="B371" t="inlineStr">
        <is>
          <t>recv7JfW3QphHW.jpg</t>
        </is>
      </c>
      <c r="C371" s="2" t="str">
        <f>=HYPERLINK("https://xhslink.com/m/1zxTAWibFOy", "https://xhslink.com/m/1zxTAWibFOy")</f>
        <v>https://xhslink.com/m/1zxTAWibFOy</v>
      </c>
      <c r="D371"/>
      <c r="E371">
        <v>6547</v>
      </c>
      <c r="F371">
        <v>1.9</v>
      </c>
      <c r="G371"/>
      <c r="H371">
        <v>1000</v>
      </c>
      <c r="I371"/>
      <c r="J371"/>
      <c r="K371" t="inlineStr">
        <is>
          <t>资料</t>
        </is>
      </c>
      <c r="L371"/>
      <c r="M371" t="inlineStr">
        <is>
          <t>时小逗的店</t>
        </is>
      </c>
      <c r="N371">
        <v>5595</v>
      </c>
      <c r="O371">
        <v>4.83</v>
      </c>
      <c r="P371">
        <v>27000</v>
      </c>
      <c r="Q371" t="inlineStr">
        <is>
          <t>68e93a90b56f160001ff89c4</t>
        </is>
      </c>
      <c r="R371" t="inlineStr">
        <is>
          <t>🚫重复</t>
        </is>
      </c>
      <c r="S371" t="inlineStr">
        <is>
          <t>中小学教辅/教材</t>
        </is>
      </c>
      <c r="T371" t="inlineStr">
        <is>
          <t>1.17</t>
        </is>
      </c>
      <c r="U371" s="3">
        <v>46112.78107638889</v>
      </c>
      <c r="V371" t="inlineStr">
        <is>
          <t>虚拟产品</t>
        </is>
      </c>
      <c r="W371" s="3">
        <v>46030</v>
      </c>
      <c r="X371" t="inlineStr">
        <is>
          <t>01</t>
        </is>
      </c>
      <c r="Y371" t="inlineStr">
        <is>
          <t>2026-Q1</t>
        </is>
      </c>
    </row>
    <row r="372" ht="38.25" customHeight="1">
      <c r="A372" t="inlineStr">
        <is>
          <t>雅思小作文速通宝典</t>
        </is>
      </c>
      <c r="B372" t="inlineStr">
        <is>
          <t>recv7JfW3Qzma9.jpg</t>
        </is>
      </c>
      <c r="C372" s="2" t="str">
        <f>=HYPERLINK("https://xhslink.com/m/ATJD5LbAMgh", "https://xhslink.com/m/ATJD5LbAMgh")</f>
        <v>https://xhslink.com/m/ATJD5LbAMgh</v>
      </c>
      <c r="D372"/>
      <c r="E372">
        <v>6331</v>
      </c>
      <c r="F372">
        <v>19.9</v>
      </c>
      <c r="G372"/>
      <c r="H372">
        <v>100</v>
      </c>
      <c r="I372"/>
      <c r="J372"/>
      <c r="K372" t="inlineStr">
        <is>
          <t>资料</t>
        </is>
      </c>
      <c r="L372"/>
      <c r="M372" t="inlineStr">
        <is>
          <t>鄢然的雅思笔记的店</t>
        </is>
      </c>
      <c r="N372">
        <v>12000</v>
      </c>
      <c r="O372">
        <v>4.42</v>
      </c>
      <c r="P372">
        <v>10000</v>
      </c>
      <c r="Q372" t="inlineStr">
        <is>
          <t>6710e24d7920da00014a89f2</t>
        </is>
      </c>
      <c r="R372"/>
      <c r="S372" t="inlineStr">
        <is>
          <t>英语资料</t>
        </is>
      </c>
      <c r="T372" t="inlineStr">
        <is>
          <t>0.53</t>
        </is>
      </c>
      <c r="U372" s="3">
        <v>46112.78107638889</v>
      </c>
      <c r="V372" t="inlineStr">
        <is>
          <t>虚拟产品</t>
        </is>
      </c>
      <c r="W372" s="3">
        <v>46030</v>
      </c>
      <c r="X372" t="inlineStr">
        <is>
          <t>01</t>
        </is>
      </c>
      <c r="Y372" t="inlineStr">
        <is>
          <t>2026-Q1</t>
        </is>
      </c>
    </row>
    <row r="373" ht="38.25" customHeight="1">
      <c r="A373" t="inlineStr">
        <is>
          <t>护考知识点大全全部考点知识题目大全真题模拟题母题高频题电子版</t>
        </is>
      </c>
      <c r="B373" t="inlineStr">
        <is>
          <t>recv7JfW3QxtSI.jpg</t>
        </is>
      </c>
      <c r="C373" s="2" t="str">
        <f>=HYPERLINK("https://xhslink.com/m/3wKOWbCNGi3", "https://xhslink.com/m/3wKOWbCNGi3")</f>
        <v>https://xhslink.com/m/3wKOWbCNGi3</v>
      </c>
      <c r="D373"/>
      <c r="E373">
        <v>5846</v>
      </c>
      <c r="F373">
        <v>4.99</v>
      </c>
      <c r="G373"/>
      <c r="H373">
        <v>400</v>
      </c>
      <c r="I373"/>
      <c r="J373"/>
      <c r="K373" t="inlineStr">
        <is>
          <t>资料</t>
        </is>
      </c>
      <c r="L373" t="inlineStr">
        <is>
          <t>🔥低粉爆款</t>
        </is>
      </c>
      <c r="M373" t="inlineStr">
        <is>
          <t>大萝卜卜卜的店</t>
        </is>
      </c>
      <c r="N373">
        <v>790</v>
      </c>
      <c r="O373">
        <v>4.46</v>
      </c>
      <c r="P373">
        <v>6776</v>
      </c>
      <c r="Q373" t="inlineStr">
        <is>
          <t>67d93cd929b9f700019e1309</t>
        </is>
      </c>
      <c r="R373" t="inlineStr">
        <is>
          <t>🚫重复</t>
        </is>
      </c>
      <c r="S373" t="inlineStr">
        <is>
          <t>求职面试/职场</t>
        </is>
      </c>
      <c r="T373" t="inlineStr">
        <is>
          <t>7.40</t>
        </is>
      </c>
      <c r="U373" s="3">
        <v>46112.78107638889</v>
      </c>
      <c r="V373" t="inlineStr">
        <is>
          <t>虚拟产品</t>
        </is>
      </c>
      <c r="W373" s="3">
        <v>46030</v>
      </c>
      <c r="X373" t="inlineStr">
        <is>
          <t>01</t>
        </is>
      </c>
      <c r="Y373" t="inlineStr">
        <is>
          <t>2026-Q1</t>
        </is>
      </c>
    </row>
    <row r="374" ht="38.25" customHeight="1">
      <c r="A374" t="inlineStr">
        <is>
          <t>急救！雅思口语2026年【1-4月】高分答案！（将涨价299）</t>
        </is>
      </c>
      <c r="B374" t="inlineStr">
        <is>
          <t>recv7JfW3Q7PVR.jpg</t>
        </is>
      </c>
      <c r="C374" s="2" t="str">
        <f>=HYPERLINK("https://xhslink.com/m/2y2Jmm37i9N", "https://xhslink.com/m/2y2Jmm37i9N")</f>
        <v>https://xhslink.com/m/2y2Jmm37i9N</v>
      </c>
      <c r="D374"/>
      <c r="E374">
        <v>6238</v>
      </c>
      <c r="F374">
        <v>299</v>
      </c>
      <c r="G374"/>
      <c r="H374">
        <v>300</v>
      </c>
      <c r="I374"/>
      <c r="J374"/>
      <c r="K374" t="inlineStr">
        <is>
          <t>资料</t>
        </is>
      </c>
      <c r="L374"/>
      <c r="M374" t="inlineStr">
        <is>
          <t>Claire澳洲学姐（雅思口语9分）的店</t>
        </is>
      </c>
      <c r="N374">
        <v>36000</v>
      </c>
      <c r="O374">
        <v>4.58</v>
      </c>
      <c r="P374">
        <v>20000</v>
      </c>
      <c r="Q374" t="inlineStr">
        <is>
          <t>67aedf33c3cf0a00019a1399</t>
        </is>
      </c>
      <c r="R374" t="inlineStr">
        <is>
          <t>🚫重复</t>
        </is>
      </c>
      <c r="S374" t="inlineStr">
        <is>
          <t>英语资料</t>
        </is>
      </c>
      <c r="T374" t="inlineStr">
        <is>
          <t>0.17</t>
        </is>
      </c>
      <c r="U374" s="3">
        <v>46112.78107638889</v>
      </c>
      <c r="V374" t="inlineStr">
        <is>
          <t>虚拟产品</t>
        </is>
      </c>
      <c r="W374" s="3">
        <v>46030</v>
      </c>
      <c r="X374" t="inlineStr">
        <is>
          <t>01</t>
        </is>
      </c>
      <c r="Y374" t="inlineStr">
        <is>
          <t>2026-Q1</t>
        </is>
      </c>
    </row>
    <row r="375" ht="38.25" customHeight="1">
      <c r="A375" t="inlineStr">
        <is>
          <t>【00】笔记同款PPT班会和游戏课件【选中编号百度网盘自动发货】</t>
        </is>
      </c>
      <c r="B375" t="inlineStr">
        <is>
          <t>recv7JfW3Qllie.jpg</t>
        </is>
      </c>
      <c r="C375" s="2" t="str">
        <f>=HYPERLINK("https://xhslink.com/m/90TgOMBV7la", "https://xhslink.com/m/90TgOMBV7la")</f>
        <v>https://xhslink.com/m/90TgOMBV7la</v>
      </c>
      <c r="D375"/>
      <c r="E375">
        <v>6036</v>
      </c>
      <c r="F375">
        <v>5</v>
      </c>
      <c r="G375"/>
      <c r="H375">
        <v>100</v>
      </c>
      <c r="I375"/>
      <c r="J375"/>
      <c r="K375" t="inlineStr">
        <is>
          <t>资料</t>
        </is>
      </c>
      <c r="L375"/>
      <c r="M375" t="inlineStr">
        <is>
          <t>金老师PPT的店</t>
        </is>
      </c>
      <c r="N375">
        <v>11000</v>
      </c>
      <c r="O375">
        <v>4.18</v>
      </c>
      <c r="P375">
        <v>51000</v>
      </c>
      <c r="Q375" t="inlineStr">
        <is>
          <t>68ccbe769c4f880001e26b47</t>
        </is>
      </c>
      <c r="R375" t="inlineStr">
        <is>
          <t>🚫重复</t>
        </is>
      </c>
      <c r="S375" t="inlineStr">
        <is>
          <t>PPT模板</t>
        </is>
      </c>
      <c r="T375" t="inlineStr">
        <is>
          <t>0.55</t>
        </is>
      </c>
      <c r="U375" s="3">
        <v>46112.78107638889</v>
      </c>
      <c r="V375" t="inlineStr">
        <is>
          <t>虚拟产品</t>
        </is>
      </c>
      <c r="W375" s="3">
        <v>46030</v>
      </c>
      <c r="X375" t="inlineStr">
        <is>
          <t>01</t>
        </is>
      </c>
      <c r="Y375" t="inlineStr">
        <is>
          <t>2026-Q1</t>
        </is>
      </c>
    </row>
    <row r="376" ht="38.25" customHeight="1">
      <c r="A376" t="inlineStr">
        <is>
          <t>创意美术绘画少儿美术课件美术课程体系PPT课件+课程大纲/可编辑</t>
        </is>
      </c>
      <c r="B376" t="inlineStr">
        <is>
          <t>recv7JfW3QHfMI.jpg</t>
        </is>
      </c>
      <c r="C376" s="2" t="str">
        <f>=HYPERLINK("https://xhslink.com/m/9YDQs9Mu100", "https://xhslink.com/m/9YDQs9Mu100")</f>
        <v>https://xhslink.com/m/9YDQs9Mu100</v>
      </c>
      <c r="D376"/>
      <c r="E376">
        <v>6020</v>
      </c>
      <c r="F376">
        <v>19.9</v>
      </c>
      <c r="G376"/>
      <c r="H376">
        <v>300</v>
      </c>
      <c r="I376"/>
      <c r="J376"/>
      <c r="K376" t="inlineStr">
        <is>
          <t>资料</t>
        </is>
      </c>
      <c r="L376"/>
      <c r="M376" t="inlineStr">
        <is>
          <t>好牛课件的店</t>
        </is>
      </c>
      <c r="N376">
        <v>7258</v>
      </c>
      <c r="O376">
        <v>4.37</v>
      </c>
      <c r="P376">
        <v>10000</v>
      </c>
      <c r="Q376" t="inlineStr">
        <is>
          <t>67bd37167198db00012f9491</t>
        </is>
      </c>
      <c r="R376" t="inlineStr">
        <is>
          <t>🚫重复</t>
        </is>
      </c>
      <c r="S376" t="inlineStr">
        <is>
          <t>中小学教辅/教材</t>
        </is>
      </c>
      <c r="T376" t="inlineStr">
        <is>
          <t>0.83</t>
        </is>
      </c>
      <c r="U376" s="3">
        <v>46112.78107638889</v>
      </c>
      <c r="V376" t="inlineStr">
        <is>
          <t>虚拟产品</t>
        </is>
      </c>
      <c r="W376" s="3">
        <v>46030</v>
      </c>
      <c r="X376" t="inlineStr">
        <is>
          <t>01</t>
        </is>
      </c>
      <c r="Y376" t="inlineStr">
        <is>
          <t>2026-Q1</t>
        </is>
      </c>
    </row>
    <row r="377" ht="38.25" customHeight="1">
      <c r="A377" t="inlineStr">
        <is>
          <t>医疗结构化面试话术素材狂背电子版PDF</t>
        </is>
      </c>
      <c r="B377" t="inlineStr">
        <is>
          <t>recv7JfW3QJfPK.jpg</t>
        </is>
      </c>
      <c r="C377" s="2" t="str">
        <f>=HYPERLINK("https://xhslink.com/m/5rucs1To8gz", "https://xhslink.com/m/5rucs1To8gz")</f>
        <v>https://xhslink.com/m/5rucs1To8gz</v>
      </c>
      <c r="D377"/>
      <c r="E377">
        <v>6027</v>
      </c>
      <c r="F377">
        <v>22.9</v>
      </c>
      <c r="G377"/>
      <c r="H377">
        <v>800</v>
      </c>
      <c r="I377"/>
      <c r="J377"/>
      <c r="K377" t="inlineStr">
        <is>
          <t>资料</t>
        </is>
      </c>
      <c r="L377"/>
      <c r="M377" t="inlineStr">
        <is>
          <t>公考蔡文姬的店</t>
        </is>
      </c>
      <c r="N377">
        <v>14000</v>
      </c>
      <c r="O377">
        <v>4.5</v>
      </c>
      <c r="P377">
        <v>44000</v>
      </c>
      <c r="Q377" t="inlineStr">
        <is>
          <t>67d8ed7ae15c910001495401</t>
        </is>
      </c>
      <c r="R377" t="inlineStr">
        <is>
          <t>🚫重复</t>
        </is>
      </c>
      <c r="S377" t="inlineStr">
        <is>
          <t>求职面试/职场</t>
        </is>
      </c>
      <c r="T377" t="inlineStr">
        <is>
          <t>0.43</t>
        </is>
      </c>
      <c r="U377" s="3">
        <v>46112.78107638889</v>
      </c>
      <c r="V377" t="inlineStr">
        <is>
          <t>虚拟产品</t>
        </is>
      </c>
      <c r="W377" s="3">
        <v>46030</v>
      </c>
      <c r="X377" t="inlineStr">
        <is>
          <t>01</t>
        </is>
      </c>
      <c r="Y377" t="inlineStr">
        <is>
          <t>2026-Q1</t>
        </is>
      </c>
    </row>
    <row r="378" ht="38.25" customHeight="1">
      <c r="A378" t="inlineStr">
        <is>
          <t>[有求必应屋]新传考研共享资源｜论文/热点押题/笔记/择校/真题</t>
        </is>
      </c>
      <c r="B378" t="inlineStr">
        <is>
          <t>recv7JfW3QNYBS.jpg</t>
        </is>
      </c>
      <c r="C378" s="2" t="str">
        <f>=HYPERLINK("https://xhslink.com/m/ABs5RZF45Fc", "https://xhslink.com/m/ABs5RZF45Fc")</f>
        <v>https://xhslink.com/m/ABs5RZF45Fc</v>
      </c>
      <c r="D378"/>
      <c r="E378">
        <v>5944</v>
      </c>
      <c r="F378">
        <v>1</v>
      </c>
      <c r="G378"/>
      <c r="H378">
        <v>300</v>
      </c>
      <c r="I378"/>
      <c r="J378"/>
      <c r="K378" t="inlineStr">
        <is>
          <t>资料</t>
        </is>
      </c>
      <c r="L378"/>
      <c r="M378" t="inlineStr">
        <is>
          <t>秃头研究所Monsters.的店</t>
        </is>
      </c>
      <c r="N378">
        <v>45000</v>
      </c>
      <c r="O378">
        <v>4.55</v>
      </c>
      <c r="P378">
        <v>15000</v>
      </c>
      <c r="Q378" t="inlineStr">
        <is>
          <t>657b339878de43000192cf35</t>
        </is>
      </c>
      <c r="R378" t="inlineStr">
        <is>
          <t>🚫重复</t>
        </is>
      </c>
      <c r="S378" t="inlineStr">
        <is>
          <t>考研资料</t>
        </is>
      </c>
      <c r="T378" t="inlineStr">
        <is>
          <t>0.13</t>
        </is>
      </c>
      <c r="U378" s="3">
        <v>46112.78107638889</v>
      </c>
      <c r="V378" t="inlineStr">
        <is>
          <t>虚拟产品</t>
        </is>
      </c>
      <c r="W378" s="3">
        <v>46030</v>
      </c>
      <c r="X378" t="inlineStr">
        <is>
          <t>01</t>
        </is>
      </c>
      <c r="Y378" t="inlineStr">
        <is>
          <t>2026-Q1</t>
        </is>
      </c>
    </row>
    <row r="379" ht="38.25" customHeight="1">
      <c r="A379" t="inlineStr">
        <is>
          <t>emoji猜猜乐小游戏610题（升级版）9套PPT电子资料包</t>
        </is>
      </c>
      <c r="B379" t="inlineStr">
        <is>
          <t>recv7JfW3QXdFi.jpg</t>
        </is>
      </c>
      <c r="C379" s="2" t="str">
        <f>=HYPERLINK("https://xhslink.com/m/2ApBMnilYWo", "https://xhslink.com/m/2ApBMnilYWo")</f>
        <v>https://xhslink.com/m/2ApBMnilYWo</v>
      </c>
      <c r="D379"/>
      <c r="E379">
        <v>5937</v>
      </c>
      <c r="F379">
        <v>9.9</v>
      </c>
      <c r="G379"/>
      <c r="H379">
        <v>100</v>
      </c>
      <c r="I379"/>
      <c r="J379"/>
      <c r="K379" t="inlineStr">
        <is>
          <t>资料</t>
        </is>
      </c>
      <c r="L379"/>
      <c r="M379" t="inlineStr">
        <is>
          <t>美了个美的店</t>
        </is>
      </c>
      <c r="N379">
        <v>2221</v>
      </c>
      <c r="O379">
        <v>4.15</v>
      </c>
      <c r="P379">
        <v>14000</v>
      </c>
      <c r="Q379" t="inlineStr">
        <is>
          <t>673c99a9684ff20001679212</t>
        </is>
      </c>
      <c r="R379" t="inlineStr">
        <is>
          <t>🚫重复</t>
        </is>
      </c>
      <c r="S379" t="inlineStr">
        <is>
          <t>PPT模板</t>
        </is>
      </c>
      <c r="T379" t="inlineStr">
        <is>
          <t>2.67</t>
        </is>
      </c>
      <c r="U379" s="3">
        <v>46112.78107638889</v>
      </c>
      <c r="V379" t="inlineStr">
        <is>
          <t>虚拟产品</t>
        </is>
      </c>
      <c r="W379" s="3">
        <v>46030</v>
      </c>
      <c r="X379" t="inlineStr">
        <is>
          <t>01</t>
        </is>
      </c>
      <c r="Y379" t="inlineStr">
        <is>
          <t>2026-Q1</t>
        </is>
      </c>
    </row>
    <row r="380" ht="38.25" customHeight="1">
      <c r="A380" t="inlineStr">
        <is>
          <t>【正版】颜值打分，面部分析报告妆容分析，虚拟商品不支持退款</t>
        </is>
      </c>
      <c r="B380" t="inlineStr">
        <is>
          <t>recv7JfW3QASwq.jpg</t>
        </is>
      </c>
      <c r="C380" s="2" t="str">
        <f>=HYPERLINK("https://xhslink.com/m/8qLeF1sQXX4", "https://xhslink.com/m/8qLeF1sQXX4")</f>
        <v>https://xhslink.com/m/8qLeF1sQXX4</v>
      </c>
      <c r="D380"/>
      <c r="E380">
        <v>6012</v>
      </c>
      <c r="F380">
        <v>9.9</v>
      </c>
      <c r="G380"/>
      <c r="H380">
        <v>4500</v>
      </c>
      <c r="I380"/>
      <c r="J380"/>
      <c r="K380" t="inlineStr">
        <is>
          <t>资料</t>
        </is>
      </c>
      <c r="L380"/>
      <c r="M380" t="inlineStr">
        <is>
          <t>身心疗愈邮局的店</t>
        </is>
      </c>
      <c r="N380">
        <v>3404</v>
      </c>
      <c r="O380">
        <v>4.58</v>
      </c>
      <c r="P380">
        <v>93000</v>
      </c>
      <c r="Q380" t="inlineStr">
        <is>
          <t>693003c43dc53600019f4e24</t>
        </is>
      </c>
      <c r="R380" t="inlineStr">
        <is>
          <t>🚫重复</t>
        </is>
      </c>
      <c r="S380" t="inlineStr">
        <is>
          <t>咨询服务</t>
        </is>
      </c>
      <c r="T380" t="inlineStr">
        <is>
          <t>1.77</t>
        </is>
      </c>
      <c r="U380" s="3">
        <v>46112.78107638889</v>
      </c>
      <c r="V380" t="inlineStr">
        <is>
          <t>虚拟产品</t>
        </is>
      </c>
      <c r="W380" s="3">
        <v>46030</v>
      </c>
      <c r="X380" t="inlineStr">
        <is>
          <t>01</t>
        </is>
      </c>
      <c r="Y380" t="inlineStr">
        <is>
          <t>2026-Q1</t>
        </is>
      </c>
    </row>
    <row r="381" ht="38.25" customHeight="1">
      <c r="A381" t="inlineStr">
        <is>
          <t>英语专四专八真题＋答案＋解析＋听力音频（25年真题已更新）</t>
        </is>
      </c>
      <c r="B381" t="inlineStr">
        <is>
          <t>recv7JfW3QIwIu.jpg</t>
        </is>
      </c>
      <c r="C381" s="2" t="str">
        <f>=HYPERLINK("https://xhslink.com/m/5R54UajpH3a", "https://xhslink.com/m/5R54UajpH3a")</f>
        <v>https://xhslink.com/m/5R54UajpH3a</v>
      </c>
      <c r="D381"/>
      <c r="E381">
        <v>5826</v>
      </c>
      <c r="F381">
        <v>2.99</v>
      </c>
      <c r="G381"/>
      <c r="H381">
        <v>88</v>
      </c>
      <c r="I381"/>
      <c r="J381"/>
      <c r="K381" t="inlineStr">
        <is>
          <t>资料</t>
        </is>
      </c>
      <c r="L381"/>
      <c r="M381" t="inlineStr">
        <is>
          <t>快乐xian学姐的店</t>
        </is>
      </c>
      <c r="N381">
        <v>2823</v>
      </c>
      <c r="O381">
        <v>4.02</v>
      </c>
      <c r="P381">
        <v>24000</v>
      </c>
      <c r="Q381" t="inlineStr">
        <is>
          <t>666db4a2ed6bc10001352ef1</t>
        </is>
      </c>
      <c r="R381"/>
      <c r="S381" t="inlineStr">
        <is>
          <t>英语资料</t>
        </is>
      </c>
      <c r="T381" t="inlineStr">
        <is>
          <t>2.06</t>
        </is>
      </c>
      <c r="U381" s="3">
        <v>46112.78107638889</v>
      </c>
      <c r="V381" t="inlineStr">
        <is>
          <t>虚拟产品</t>
        </is>
      </c>
      <c r="W381" s="3">
        <v>46030</v>
      </c>
      <c r="X381" t="inlineStr">
        <is>
          <t>01</t>
        </is>
      </c>
      <c r="Y381" t="inlineStr">
        <is>
          <t>2026-Q1</t>
        </is>
      </c>
    </row>
    <row r="382" ht="38.25" customHeight="1">
      <c r="A382" t="inlineStr">
        <is>
          <t>三上语文【期末复习】必背内容默写单（电子资料含答案）</t>
        </is>
      </c>
      <c r="B382" t="inlineStr">
        <is>
          <t>recv7JfW3QOSbF.jpg</t>
        </is>
      </c>
      <c r="C382" s="2" t="str">
        <f>=HYPERLINK("https://xhslink.com/m/5DL2v7n7m1i", "https://xhslink.com/m/5DL2v7n7m1i")</f>
        <v>https://xhslink.com/m/5DL2v7n7m1i</v>
      </c>
      <c r="D382"/>
      <c r="E382">
        <v>6165</v>
      </c>
      <c r="F382">
        <v>0.99</v>
      </c>
      <c r="G382"/>
      <c r="H382">
        <v>1500</v>
      </c>
      <c r="I382"/>
      <c r="J382"/>
      <c r="K382" t="inlineStr">
        <is>
          <t>资料</t>
        </is>
      </c>
      <c r="L382"/>
      <c r="M382" t="inlineStr">
        <is>
          <t>过客老师的店</t>
        </is>
      </c>
      <c r="N382">
        <v>51000</v>
      </c>
      <c r="O382">
        <v>4.36</v>
      </c>
      <c r="P382">
        <v>11000</v>
      </c>
      <c r="Q382" t="inlineStr">
        <is>
          <t>6925196cf2c0f50001b497ed</t>
        </is>
      </c>
      <c r="R382"/>
      <c r="S382" t="inlineStr">
        <is>
          <t>中小学教辅/教材</t>
        </is>
      </c>
      <c r="T382" t="inlineStr">
        <is>
          <t>0.12</t>
        </is>
      </c>
      <c r="U382" s="3">
        <v>46112.78107638889</v>
      </c>
      <c r="V382" t="inlineStr">
        <is>
          <t>虚拟产品</t>
        </is>
      </c>
      <c r="W382" s="3">
        <v>46030</v>
      </c>
      <c r="X382" t="inlineStr">
        <is>
          <t>01</t>
        </is>
      </c>
      <c r="Y382" t="inlineStr">
        <is>
          <t>2026-Q1</t>
        </is>
      </c>
    </row>
    <row r="383" ht="38.25" customHeight="1">
      <c r="A383" t="inlineStr">
        <is>
          <t>2025春新人教版初一七年级各科早背晚默小纸条电子版资料</t>
        </is>
      </c>
      <c r="B383" t="inlineStr">
        <is>
          <t>recv7JfW3QskHV.jpg</t>
        </is>
      </c>
      <c r="C383" s="2" t="str">
        <f>=HYPERLINK("https://xhslink.com/m/1H45VRI9w0V", "https://xhslink.com/m/1H45VRI9w0V")</f>
        <v>https://xhslink.com/m/1H45VRI9w0V</v>
      </c>
      <c r="D383"/>
      <c r="E383">
        <v>5719</v>
      </c>
      <c r="F383">
        <v>15.9</v>
      </c>
      <c r="G383"/>
      <c r="H383">
        <v>700</v>
      </c>
      <c r="I383"/>
      <c r="J383"/>
      <c r="K383" t="inlineStr">
        <is>
          <t>资料</t>
        </is>
      </c>
      <c r="L383"/>
      <c r="M383" t="inlineStr">
        <is>
          <t>崔老师的资料库的店</t>
        </is>
      </c>
      <c r="N383">
        <v>2534</v>
      </c>
      <c r="O383">
        <v>4.12</v>
      </c>
      <c r="P383">
        <v>6635</v>
      </c>
      <c r="Q383" t="inlineStr">
        <is>
          <t>683e01be317c900001b5b7a5</t>
        </is>
      </c>
      <c r="R383" t="inlineStr">
        <is>
          <t>🚫重复</t>
        </is>
      </c>
      <c r="S383" t="inlineStr">
        <is>
          <t>中小学教辅/教材</t>
        </is>
      </c>
      <c r="T383" t="inlineStr">
        <is>
          <t>2.26</t>
        </is>
      </c>
      <c r="U383" s="3">
        <v>46112.78107638889</v>
      </c>
      <c r="V383" t="inlineStr">
        <is>
          <t>虚拟产品</t>
        </is>
      </c>
      <c r="W383" s="3">
        <v>46030</v>
      </c>
      <c r="X383" t="inlineStr">
        <is>
          <t>01</t>
        </is>
      </c>
      <c r="Y383" t="inlineStr">
        <is>
          <t>2026-Q1</t>
        </is>
      </c>
    </row>
    <row r="384" ht="38.25" customHeight="1">
      <c r="A384" t="inlineStr">
        <is>
          <t>全国普通话全套急救资料！视频+真题+命题/生僻/朗读/技巧等全套</t>
        </is>
      </c>
      <c r="B384" t="inlineStr">
        <is>
          <t>recv7JfW3QLfW8.jpg</t>
        </is>
      </c>
      <c r="C384" s="2" t="str">
        <f>=HYPERLINK("https://xhslink.com/m/329L2a8st6a", "https://xhslink.com/m/329L2a8st6a")</f>
        <v>https://xhslink.com/m/329L2a8st6a</v>
      </c>
      <c r="D384"/>
      <c r="E384">
        <v>3772</v>
      </c>
      <c r="F384">
        <v>4.99</v>
      </c>
      <c r="G384"/>
      <c r="H384">
        <v>400</v>
      </c>
      <c r="I384"/>
      <c r="J384"/>
      <c r="K384" t="inlineStr">
        <is>
          <t>资料</t>
        </is>
      </c>
      <c r="L384" t="inlineStr">
        <is>
          <t>🔥低粉爆款</t>
        </is>
      </c>
      <c r="M384" t="inlineStr">
        <is>
          <t>蔓橘薄橙的店</t>
        </is>
      </c>
      <c r="N384">
        <v>790</v>
      </c>
      <c r="O384">
        <v>4.52</v>
      </c>
      <c r="P384">
        <v>6515</v>
      </c>
      <c r="Q384" t="inlineStr">
        <is>
          <t>6904d2dc47309000015ef5b3</t>
        </is>
      </c>
      <c r="R384"/>
      <c r="S384" t="inlineStr">
        <is>
          <t>无匹配类别</t>
        </is>
      </c>
      <c r="T384" t="inlineStr">
        <is>
          <t>4.77</t>
        </is>
      </c>
      <c r="U384" s="3">
        <v>46112.78107638889</v>
      </c>
      <c r="V384" t="inlineStr">
        <is>
          <t>虚拟产品</t>
        </is>
      </c>
      <c r="W384" s="3">
        <v>46030</v>
      </c>
      <c r="X384" t="inlineStr">
        <is>
          <t>01</t>
        </is>
      </c>
      <c r="Y384" t="inlineStr">
        <is>
          <t>2026-Q1</t>
        </is>
      </c>
    </row>
    <row r="385" ht="38.25" customHeight="1">
      <c r="A385" t="inlineStr">
        <is>
          <t>考研政治历年真题及答案解析PDF电子版（1994~2025）</t>
        </is>
      </c>
      <c r="B385" t="inlineStr">
        <is>
          <t>recv7JfW3QR5Rq.jpg</t>
        </is>
      </c>
      <c r="C385" s="2" t="str">
        <f>=HYPERLINK("https://xhslink.com/m/3Rby1YEGVQZ", "https://xhslink.com/m/3Rby1YEGVQZ")</f>
        <v>https://xhslink.com/m/3Rby1YEGVQZ</v>
      </c>
      <c r="D385"/>
      <c r="E385">
        <v>5625</v>
      </c>
      <c r="F385">
        <v>0.99</v>
      </c>
      <c r="G385"/>
      <c r="H385">
        <v>1500</v>
      </c>
      <c r="I385"/>
      <c r="J385"/>
      <c r="K385" t="inlineStr">
        <is>
          <t>资料</t>
        </is>
      </c>
      <c r="L385" t="inlineStr">
        <is>
          <t>🔥低粉爆款</t>
        </is>
      </c>
      <c r="M385" t="inlineStr">
        <is>
          <t>离雨淬阁的店</t>
        </is>
      </c>
      <c r="N385">
        <v>693</v>
      </c>
      <c r="O385">
        <v>4.59</v>
      </c>
      <c r="P385">
        <v>26000</v>
      </c>
      <c r="Q385" t="inlineStr">
        <is>
          <t>68beac672773df0001ea0ca6</t>
        </is>
      </c>
      <c r="R385" t="inlineStr">
        <is>
          <t>🚫重复</t>
        </is>
      </c>
      <c r="S385" t="inlineStr">
        <is>
          <t>考研资料</t>
        </is>
      </c>
      <c r="T385" t="inlineStr">
        <is>
          <t>8.12</t>
        </is>
      </c>
      <c r="U385" s="3">
        <v>46112.78107638889</v>
      </c>
      <c r="V385" t="inlineStr">
        <is>
          <t>虚拟产品</t>
        </is>
      </c>
      <c r="W385" s="3">
        <v>46030</v>
      </c>
      <c r="X385" t="inlineStr">
        <is>
          <t>01</t>
        </is>
      </c>
      <c r="Y385" t="inlineStr">
        <is>
          <t>2026-Q1</t>
        </is>
      </c>
    </row>
    <row r="386" ht="38.25" customHeight="1">
      <c r="A386" t="inlineStr">
        <is>
          <t>升级款emoji猜猜乐550题成语地名书名接亲小游戏9套PPT电子资料包</t>
        </is>
      </c>
      <c r="B386" t="inlineStr">
        <is>
          <t>recv7JfW3QDrKi.jpg</t>
        </is>
      </c>
      <c r="C386" s="2" t="str">
        <f>=HYPERLINK("https://xhslink.com/m/AsOgFo43PPO", "https://xhslink.com/m/AsOgFo43PPO")</f>
        <v>https://xhslink.com/m/AsOgFo43PPO</v>
      </c>
      <c r="D386"/>
      <c r="E386">
        <v>5616</v>
      </c>
      <c r="F386">
        <v>9.9</v>
      </c>
      <c r="G386"/>
      <c r="H386">
        <v>100</v>
      </c>
      <c r="I386"/>
      <c r="J386"/>
      <c r="K386" t="inlineStr">
        <is>
          <t>资料</t>
        </is>
      </c>
      <c r="L386" t="inlineStr">
        <is>
          <t>🔥低粉爆款</t>
        </is>
      </c>
      <c r="M386" t="inlineStr">
        <is>
          <t>为夏的店</t>
        </is>
      </c>
      <c r="N386">
        <v>1265</v>
      </c>
      <c r="O386">
        <v>4.01</v>
      </c>
      <c r="P386">
        <v>14000</v>
      </c>
      <c r="Q386" t="inlineStr">
        <is>
          <t>6777e2f7568edd0001bf6e18</t>
        </is>
      </c>
      <c r="R386"/>
      <c r="S386" t="inlineStr">
        <is>
          <t>PPT模板</t>
        </is>
      </c>
      <c r="T386" t="inlineStr">
        <is>
          <t>4.44</t>
        </is>
      </c>
      <c r="U386" s="3">
        <v>46112.78107638889</v>
      </c>
      <c r="V386" t="inlineStr">
        <is>
          <t>虚拟产品</t>
        </is>
      </c>
      <c r="W386" s="3">
        <v>46030</v>
      </c>
      <c r="X386" t="inlineStr">
        <is>
          <t>01</t>
        </is>
      </c>
      <c r="Y386" t="inlineStr">
        <is>
          <t>2026-Q1</t>
        </is>
      </c>
    </row>
    <row r="387" ht="38.25" customHeight="1">
      <c r="A387" t="inlineStr">
        <is>
          <t>一份PPT课件+教案（拍下备注或截图）</t>
        </is>
      </c>
      <c r="B387" t="inlineStr">
        <is>
          <t>recv7JfW3QdH7r.jpg</t>
        </is>
      </c>
      <c r="C387" s="2" t="str">
        <f>=HYPERLINK("https://xhslink.com/m/4HwysPfKGg7", "https://xhslink.com/m/4HwysPfKGg7")</f>
        <v>https://xhslink.com/m/4HwysPfKGg7</v>
      </c>
      <c r="D387"/>
      <c r="E387">
        <v>5592</v>
      </c>
      <c r="F387">
        <v>9.9</v>
      </c>
      <c r="G387"/>
      <c r="H387">
        <v>100</v>
      </c>
      <c r="I387"/>
      <c r="J387"/>
      <c r="K387" t="inlineStr">
        <is>
          <t>资料</t>
        </is>
      </c>
      <c r="L387"/>
      <c r="M387" t="inlineStr">
        <is>
          <t>小学英语课件PPT的店</t>
        </is>
      </c>
      <c r="N387">
        <v>4329</v>
      </c>
      <c r="O387">
        <v>4.05</v>
      </c>
      <c r="P387">
        <v>8703</v>
      </c>
      <c r="Q387" t="inlineStr">
        <is>
          <t>65cf4cd1407ba600016ba1e2</t>
        </is>
      </c>
      <c r="R387"/>
      <c r="S387" t="inlineStr">
        <is>
          <t>PPT模板</t>
        </is>
      </c>
      <c r="T387" t="inlineStr">
        <is>
          <t>1.29</t>
        </is>
      </c>
      <c r="U387" s="3">
        <v>46112.78107638889</v>
      </c>
      <c r="V387" t="inlineStr">
        <is>
          <t>虚拟产品</t>
        </is>
      </c>
      <c r="W387" s="3">
        <v>46030</v>
      </c>
      <c r="X387" t="inlineStr">
        <is>
          <t>01</t>
        </is>
      </c>
      <c r="Y387" t="inlineStr">
        <is>
          <t>2026-Q1</t>
        </is>
      </c>
    </row>
    <row r="388" ht="38.25" customHeight="1">
      <c r="A388" t="inlineStr">
        <is>
          <t>小升初英语语法知识点</t>
        </is>
      </c>
      <c r="B388" t="inlineStr">
        <is>
          <t>recv7JfW3QUQTl.jpg</t>
        </is>
      </c>
      <c r="C388" s="2" t="str">
        <f>=HYPERLINK("https://xhslink.com/m/7B5MyEGPiYl", "https://xhslink.com/m/7B5MyEGPiYl")</f>
        <v>https://xhslink.com/m/7B5MyEGPiYl</v>
      </c>
      <c r="D388"/>
      <c r="E388">
        <v>5422</v>
      </c>
      <c r="F388">
        <v>4</v>
      </c>
      <c r="G388"/>
      <c r="H388">
        <v>150</v>
      </c>
      <c r="I388"/>
      <c r="J388"/>
      <c r="K388" t="inlineStr">
        <is>
          <t>资料</t>
        </is>
      </c>
      <c r="L388"/>
      <c r="M388" t="inlineStr">
        <is>
          <t>石榴老师阿浅浅的店</t>
        </is>
      </c>
      <c r="N388">
        <v>2326</v>
      </c>
      <c r="O388">
        <v>4.45</v>
      </c>
      <c r="P388">
        <v>13000</v>
      </c>
      <c r="Q388" t="inlineStr">
        <is>
          <t>6805d85e6626af00016fba18</t>
        </is>
      </c>
      <c r="R388"/>
      <c r="S388" t="inlineStr">
        <is>
          <t>中小学教辅/教材</t>
        </is>
      </c>
      <c r="T388" t="inlineStr">
        <is>
          <t>2.33</t>
        </is>
      </c>
      <c r="U388" s="3">
        <v>46112.78107638889</v>
      </c>
      <c r="V388" t="inlineStr">
        <is>
          <t>虚拟产品</t>
        </is>
      </c>
      <c r="W388" s="3">
        <v>46030</v>
      </c>
      <c r="X388" t="inlineStr">
        <is>
          <t>01</t>
        </is>
      </c>
      <c r="Y388" t="inlineStr">
        <is>
          <t>2026-Q1</t>
        </is>
      </c>
    </row>
    <row r="389" ht="38.25" customHeight="1">
      <c r="A389" t="inlineStr">
        <is>
          <t>初中语文作文技巧方法提升系列电子资料包PPT课件（教师必备）</t>
        </is>
      </c>
      <c r="B389" t="inlineStr">
        <is>
          <t>recv7JfW3Qk8dE.jpg</t>
        </is>
      </c>
      <c r="C389" s="2" t="str">
        <f>=HYPERLINK("https://xhslink.com/m/44sibdQq214", "https://xhslink.com/m/44sibdQq214")</f>
        <v>https://xhslink.com/m/44sibdQq214</v>
      </c>
      <c r="D389"/>
      <c r="E389">
        <v>5387</v>
      </c>
      <c r="F389">
        <v>8.8</v>
      </c>
      <c r="G389"/>
      <c r="H389">
        <v>1500</v>
      </c>
      <c r="I389"/>
      <c r="J389"/>
      <c r="K389" t="inlineStr">
        <is>
          <t>资料</t>
        </is>
      </c>
      <c r="L389" t="inlineStr">
        <is>
          <t>🔥低粉爆款</t>
        </is>
      </c>
      <c r="M389" t="inlineStr">
        <is>
          <t>阳光泡芙的店</t>
        </is>
      </c>
      <c r="N389">
        <v>1586</v>
      </c>
      <c r="O389">
        <v>4.22</v>
      </c>
      <c r="P389">
        <v>6955</v>
      </c>
      <c r="Q389" t="inlineStr">
        <is>
          <t>68d227ce5cb63500150aa57d</t>
        </is>
      </c>
      <c r="R389" t="inlineStr">
        <is>
          <t>🚫重复</t>
        </is>
      </c>
      <c r="S389" t="inlineStr">
        <is>
          <t>中小学教辅/教材</t>
        </is>
      </c>
      <c r="T389" t="inlineStr">
        <is>
          <t>3.40</t>
        </is>
      </c>
      <c r="U389" s="3">
        <v>46112.78107638889</v>
      </c>
      <c r="V389" t="inlineStr">
        <is>
          <t>虚拟产品</t>
        </is>
      </c>
      <c r="W389" s="3">
        <v>46030</v>
      </c>
      <c r="X389" t="inlineStr">
        <is>
          <t>01</t>
        </is>
      </c>
      <c r="Y389" t="inlineStr">
        <is>
          <t>2026-Q1</t>
        </is>
      </c>
    </row>
    <row r="390" ht="38.25" customHeight="1">
      <c r="A390" t="inlineStr">
        <is>
          <t>25语文全册知识点汇总高频考点(1-6年级可选)</t>
        </is>
      </c>
      <c r="B390" t="inlineStr">
        <is>
          <t>recv7JfW3QvEVY.jpg</t>
        </is>
      </c>
      <c r="C390" s="2" t="str">
        <f>=HYPERLINK("https://xhslink.com/m/2Ww1B9jXSHW", "https://xhslink.com/m/2Ww1B9jXSHW")</f>
        <v>https://xhslink.com/m/2Ww1B9jXSHW</v>
      </c>
      <c r="D390"/>
      <c r="E390">
        <v>5559</v>
      </c>
      <c r="F390">
        <v>9.99</v>
      </c>
      <c r="G390"/>
      <c r="H390">
        <v>1500</v>
      </c>
      <c r="I390"/>
      <c r="J390"/>
      <c r="K390" t="inlineStr">
        <is>
          <t>资料</t>
        </is>
      </c>
      <c r="L390"/>
      <c r="M390" t="inlineStr">
        <is>
          <t>墨墨爱学习A的店</t>
        </is>
      </c>
      <c r="N390">
        <v>25000</v>
      </c>
      <c r="O390">
        <v>4.41</v>
      </c>
      <c r="P390">
        <v>40000</v>
      </c>
      <c r="Q390" t="inlineStr">
        <is>
          <t>6915a8081b787900015354d0</t>
        </is>
      </c>
      <c r="R390"/>
      <c r="S390" t="inlineStr">
        <is>
          <t>中小学教辅/教材</t>
        </is>
      </c>
      <c r="T390" t="inlineStr">
        <is>
          <t>0.22</t>
        </is>
      </c>
      <c r="U390" s="3">
        <v>46112.78107638889</v>
      </c>
      <c r="V390" t="inlineStr">
        <is>
          <t>虚拟产品</t>
        </is>
      </c>
      <c r="W390" s="3">
        <v>46030</v>
      </c>
      <c r="X390" t="inlineStr">
        <is>
          <t>01</t>
        </is>
      </c>
      <c r="Y390" t="inlineStr">
        <is>
          <t>2026-Q1</t>
        </is>
      </c>
    </row>
    <row r="391" ht="38.25" customHeight="1">
      <c r="A391" t="inlineStr">
        <is>
          <t>小学英语语法专项训练合集小升初英语语法大全</t>
        </is>
      </c>
      <c r="B391" t="inlineStr">
        <is>
          <t>recv7JfW3Qme7J.jpg</t>
        </is>
      </c>
      <c r="C391" s="2" t="str">
        <f>=HYPERLINK("https://xhslink.com/m/54FxFrkaESE", "https://xhslink.com/m/54FxFrkaESE")</f>
        <v>https://xhslink.com/m/54FxFrkaESE</v>
      </c>
      <c r="D391"/>
      <c r="E391">
        <v>5362</v>
      </c>
      <c r="F391">
        <v>12.99</v>
      </c>
      <c r="G391"/>
      <c r="H391">
        <v>150</v>
      </c>
      <c r="I391"/>
      <c r="J391"/>
      <c r="K391" t="inlineStr">
        <is>
          <t>资料</t>
        </is>
      </c>
      <c r="L391"/>
      <c r="M391" t="inlineStr">
        <is>
          <t>李老师小课堂的店</t>
        </is>
      </c>
      <c r="N391">
        <v>4256</v>
      </c>
      <c r="O391">
        <v>4.16</v>
      </c>
      <c r="P391">
        <v>8591</v>
      </c>
      <c r="Q391" t="inlineStr">
        <is>
          <t>67e104f89800e50001be9830</t>
        </is>
      </c>
      <c r="R391" t="inlineStr">
        <is>
          <t>🚫重复</t>
        </is>
      </c>
      <c r="S391" t="inlineStr">
        <is>
          <t>中小学教辅/教材</t>
        </is>
      </c>
      <c r="T391" t="inlineStr">
        <is>
          <t>1.26</t>
        </is>
      </c>
      <c r="U391" s="3">
        <v>46112.78107638889</v>
      </c>
      <c r="V391" t="inlineStr">
        <is>
          <t>虚拟产品</t>
        </is>
      </c>
      <c r="W391" s="3">
        <v>46030</v>
      </c>
      <c r="X391" t="inlineStr">
        <is>
          <t>01</t>
        </is>
      </c>
      <c r="Y391" t="inlineStr">
        <is>
          <t>2026-Q1</t>
        </is>
      </c>
    </row>
    <row r="392" ht="38.25" customHeight="1">
      <c r="A392" t="inlineStr">
        <is>
          <t>「白开自制」仿真画材</t>
        </is>
      </c>
      <c r="B392" t="inlineStr">
        <is>
          <t>recv7JfW3Qp6AU.jpg</t>
        </is>
      </c>
      <c r="C392" s="2" t="str">
        <f>=HYPERLINK("https://xhslink.com/m/7FjLp8fViA2", "https://xhslink.com/m/7FjLp8fViA2")</f>
        <v>https://xhslink.com/m/7FjLp8fViA2</v>
      </c>
      <c r="D392"/>
      <c r="E392">
        <v>5332</v>
      </c>
      <c r="F392">
        <v>15</v>
      </c>
      <c r="G392"/>
      <c r="H392">
        <v>150</v>
      </c>
      <c r="I392"/>
      <c r="J392"/>
      <c r="K392" t="inlineStr">
        <is>
          <t>资料</t>
        </is>
      </c>
      <c r="L392"/>
      <c r="M392" t="inlineStr">
        <is>
          <t>白开的店</t>
        </is>
      </c>
      <c r="N392">
        <v>27000</v>
      </c>
      <c r="O392">
        <v>4.13</v>
      </c>
      <c r="P392">
        <v>20000</v>
      </c>
      <c r="Q392" t="inlineStr">
        <is>
          <t>681f3cff7f3a7d0001a0426e</t>
        </is>
      </c>
      <c r="R392" t="inlineStr">
        <is>
          <t>🚫重复</t>
        </is>
      </c>
      <c r="S392" t="inlineStr">
        <is>
          <t>设计素材</t>
        </is>
      </c>
      <c r="T392" t="inlineStr">
        <is>
          <t>0.20</t>
        </is>
      </c>
      <c r="U392" s="3">
        <v>46112.78107638889</v>
      </c>
      <c r="V392" t="inlineStr">
        <is>
          <t>虚拟产品</t>
        </is>
      </c>
      <c r="W392" s="3">
        <v>46030</v>
      </c>
      <c r="X392" t="inlineStr">
        <is>
          <t>01</t>
        </is>
      </c>
      <c r="Y392" t="inlineStr">
        <is>
          <t>2026-Q1</t>
        </is>
      </c>
    </row>
    <row r="393" ht="38.25" customHeight="1">
      <c r="A393" t="inlineStr">
        <is>
          <t>2026社区工作者招聘考试题库软件笔记资料社区知识行测公基专业</t>
        </is>
      </c>
      <c r="B393" t="inlineStr">
        <is>
          <t>recv7JfW3Qc8TU.jpg</t>
        </is>
      </c>
      <c r="C393" s="2" t="str">
        <f>=HYPERLINK("https://xhslink.com/m/7vwlUbSrqZr", "https://xhslink.com/m/7vwlUbSrqZr")</f>
        <v>https://xhslink.com/m/7vwlUbSrqZr</v>
      </c>
      <c r="D393"/>
      <c r="E393">
        <v>5295</v>
      </c>
      <c r="F393">
        <v>9.9</v>
      </c>
      <c r="G393"/>
      <c r="H393">
        <v>500</v>
      </c>
      <c r="I393"/>
      <c r="J393"/>
      <c r="K393" t="inlineStr">
        <is>
          <t>资料</t>
        </is>
      </c>
      <c r="L393" t="inlineStr">
        <is>
          <t>🔥低粉爆款</t>
        </is>
      </c>
      <c r="M393" t="inlineStr">
        <is>
          <t>李喜悦的店铺的店</t>
        </is>
      </c>
      <c r="N393">
        <v>353</v>
      </c>
      <c r="O393">
        <v>4.02</v>
      </c>
      <c r="P393">
        <v>5789</v>
      </c>
      <c r="Q393" t="inlineStr">
        <is>
          <t>6868a4c7e02321001561b87c</t>
        </is>
      </c>
      <c r="R393" t="inlineStr">
        <is>
          <t>🚫重复</t>
        </is>
      </c>
      <c r="S393" t="inlineStr">
        <is>
          <t>无匹配类别</t>
        </is>
      </c>
      <c r="T393" t="inlineStr">
        <is>
          <t>15.00</t>
        </is>
      </c>
      <c r="U393" s="3">
        <v>46112.78107638889</v>
      </c>
      <c r="V393" t="inlineStr">
        <is>
          <t>虚拟产品</t>
        </is>
      </c>
      <c r="W393" s="3">
        <v>46030</v>
      </c>
      <c r="X393" t="inlineStr">
        <is>
          <t>01</t>
        </is>
      </c>
      <c r="Y393" t="inlineStr">
        <is>
          <t>2026-Q1</t>
        </is>
      </c>
    </row>
    <row r="394" ht="38.25" customHeight="1">
      <c r="A394" t="inlineStr">
        <is>
          <t>26刘义恒图推笔记（完整版）-PDF电子版91页-下单先看详情页</t>
        </is>
      </c>
      <c r="B394" t="inlineStr">
        <is>
          <t>recv7JfW3Q2I3o.jpg</t>
        </is>
      </c>
      <c r="C394" s="2" t="str">
        <f>=HYPERLINK("https://xhslink.com/m/9pTJdja8wch", "https://xhslink.com/m/9pTJdja8wch")</f>
        <v>https://xhslink.com/m/9pTJdja8wch</v>
      </c>
      <c r="D394"/>
      <c r="E394">
        <v>5275</v>
      </c>
      <c r="F394">
        <v>9.9</v>
      </c>
      <c r="G394"/>
      <c r="H394">
        <v>450</v>
      </c>
      <c r="I394"/>
      <c r="J394"/>
      <c r="K394" t="inlineStr">
        <is>
          <t>资料</t>
        </is>
      </c>
      <c r="L394"/>
      <c r="M394" t="inlineStr">
        <is>
          <t>贝栗子的店</t>
        </is>
      </c>
      <c r="N394">
        <v>41000</v>
      </c>
      <c r="O394">
        <v>4.35</v>
      </c>
      <c r="P394">
        <v>20000</v>
      </c>
      <c r="Q394" t="inlineStr">
        <is>
          <t>693e219565055f0001a92638</t>
        </is>
      </c>
      <c r="R394" t="inlineStr">
        <is>
          <t>🚫重复</t>
        </is>
      </c>
      <c r="S394" t="inlineStr">
        <is>
          <t>考公资料</t>
        </is>
      </c>
      <c r="T394" t="inlineStr">
        <is>
          <t>0.13</t>
        </is>
      </c>
      <c r="U394" s="3">
        <v>46112.78107638889</v>
      </c>
      <c r="V394" t="inlineStr">
        <is>
          <t>虚拟产品</t>
        </is>
      </c>
      <c r="W394" s="3">
        <v>46030</v>
      </c>
      <c r="X394" t="inlineStr">
        <is>
          <t>01</t>
        </is>
      </c>
      <c r="Y394" t="inlineStr">
        <is>
          <t>2026-Q1</t>
        </is>
      </c>
    </row>
    <row r="395" ht="38.25" customHeight="1">
      <c r="A395" t="inlineStr">
        <is>
          <t>【自制emoji素材】100+张含教程｜发货看图二｜虚拟资料发出不退</t>
        </is>
      </c>
      <c r="B395" t="inlineStr">
        <is>
          <t>recv7JfW3QINz5.jpg</t>
        </is>
      </c>
      <c r="C395" s="2" t="str">
        <f>=HYPERLINK("https://xhslink.com/m/1i8W3y3lxeM", "https://xhslink.com/m/1i8W3y3lxeM")</f>
        <v>https://xhslink.com/m/1i8W3y3lxeM</v>
      </c>
      <c r="D395"/>
      <c r="E395">
        <v>5250</v>
      </c>
      <c r="F395">
        <v>9.99</v>
      </c>
      <c r="G395"/>
      <c r="H395">
        <v>450</v>
      </c>
      <c r="I395"/>
      <c r="J395"/>
      <c r="K395" t="inlineStr">
        <is>
          <t>资料</t>
        </is>
      </c>
      <c r="L395"/>
      <c r="M395" t="inlineStr">
        <is>
          <t>Shi.6（努力日更版）的店</t>
        </is>
      </c>
      <c r="N395">
        <v>6540</v>
      </c>
      <c r="O395">
        <v>4.07</v>
      </c>
      <c r="P395">
        <v>5506</v>
      </c>
      <c r="Q395" t="inlineStr">
        <is>
          <t>690a06597d4dcd0001ad8689</t>
        </is>
      </c>
      <c r="R395" t="inlineStr">
        <is>
          <t>🚫重复</t>
        </is>
      </c>
      <c r="S395" t="inlineStr">
        <is>
          <t>设计素材</t>
        </is>
      </c>
      <c r="T395" t="inlineStr">
        <is>
          <t>0.80</t>
        </is>
      </c>
      <c r="U395" s="3">
        <v>46112.78107638889</v>
      </c>
      <c r="V395" t="inlineStr">
        <is>
          <t>虚拟产品</t>
        </is>
      </c>
      <c r="W395" s="3">
        <v>46030</v>
      </c>
      <c r="X395" t="inlineStr">
        <is>
          <t>01</t>
        </is>
      </c>
      <c r="Y395" t="inlineStr">
        <is>
          <t>2026-Q1</t>
        </is>
      </c>
    </row>
    <row r="396" ht="38.25" customHeight="1">
      <c r="A396" t="inlineStr">
        <is>
          <t>DOU DOU SHU WU · 2026新版小豆同学秒记政史地物化生语数英高中答题模板知识点复习</t>
        </is>
      </c>
      <c r="B396" t="inlineStr">
        <is>
          <t>recv7JfW3QfV1t.jpg</t>
        </is>
      </c>
      <c r="C396" s="2" t="str">
        <f>=HYPERLINK("https://xhslink.com/m/7mH0Xrzzodx", "https://xhslink.com/m/7mH0Xrzzodx")</f>
        <v>https://xhslink.com/m/7mH0Xrzzodx</v>
      </c>
      <c r="D396"/>
      <c r="E396">
        <v>5231</v>
      </c>
      <c r="F396">
        <v>109.8</v>
      </c>
      <c r="G396"/>
      <c r="H396">
        <v>750</v>
      </c>
      <c r="I396"/>
      <c r="J396"/>
      <c r="K396" t="inlineStr">
        <is>
          <t>资料</t>
        </is>
      </c>
      <c r="L396"/>
      <c r="M396" t="inlineStr">
        <is>
          <t>豆豆书屋图书旗舰店</t>
        </is>
      </c>
      <c r="N396">
        <v>5553</v>
      </c>
      <c r="O396">
        <v>4.55</v>
      </c>
      <c r="P396">
        <v>15000</v>
      </c>
      <c r="Q396" t="inlineStr">
        <is>
          <t>69211134dbfbf50001e669b7</t>
        </is>
      </c>
      <c r="R396" t="inlineStr">
        <is>
          <t>🚫重复</t>
        </is>
      </c>
      <c r="S396" t="inlineStr">
        <is>
          <t>高中/高考资料</t>
        </is>
      </c>
      <c r="T396" t="inlineStr">
        <is>
          <t>0.94</t>
        </is>
      </c>
      <c r="U396" s="3">
        <v>46112.78107638889</v>
      </c>
      <c r="V396" t="inlineStr">
        <is>
          <t>虚拟产品</t>
        </is>
      </c>
      <c r="W396" s="3">
        <v>46030</v>
      </c>
      <c r="X396" t="inlineStr">
        <is>
          <t>01</t>
        </is>
      </c>
      <c r="Y396" t="inlineStr">
        <is>
          <t>2026-Q1</t>
        </is>
      </c>
    </row>
    <row r="397" ht="38.25" customHeight="1">
      <c r="A397" t="inlineStr">
        <is>
          <t>【国考省考真题集】近25年的公务员考试真题PDF电子版可打印</t>
        </is>
      </c>
      <c r="B397" t="inlineStr">
        <is>
          <t>recv7JfW3Q5VhT.jpg</t>
        </is>
      </c>
      <c r="C397" s="2" t="str">
        <f>=HYPERLINK("https://xhslink.com/m/7zBnlqf8RJM", "https://xhslink.com/m/7zBnlqf8RJM")</f>
        <v>https://xhslink.com/m/7zBnlqf8RJM</v>
      </c>
      <c r="D397"/>
      <c r="E397">
        <v>5159</v>
      </c>
      <c r="F397">
        <v>0.5</v>
      </c>
      <c r="G397"/>
      <c r="H397">
        <v>3000</v>
      </c>
      <c r="I397"/>
      <c r="J397"/>
      <c r="K397" t="inlineStr">
        <is>
          <t>资料</t>
        </is>
      </c>
      <c r="L397" t="inlineStr">
        <is>
          <t>🔥低粉爆款</t>
        </is>
      </c>
      <c r="M397" t="inlineStr">
        <is>
          <t>财经冯学长（考公考研考证）的店</t>
        </is>
      </c>
      <c r="N397">
        <v>695</v>
      </c>
      <c r="O397">
        <v>4.78</v>
      </c>
      <c r="P397">
        <v>18000</v>
      </c>
      <c r="Q397" t="inlineStr">
        <is>
          <t>68fd9708c8f8b80001a41204</t>
        </is>
      </c>
      <c r="R397" t="inlineStr">
        <is>
          <t>🚫重复</t>
        </is>
      </c>
      <c r="S397" t="inlineStr">
        <is>
          <t>考公资料</t>
        </is>
      </c>
      <c r="T397" t="inlineStr">
        <is>
          <t>7.42</t>
        </is>
      </c>
      <c r="U397" s="3">
        <v>46112.78107638889</v>
      </c>
      <c r="V397" t="inlineStr">
        <is>
          <t>虚拟产品</t>
        </is>
      </c>
      <c r="W397" s="3">
        <v>46030</v>
      </c>
      <c r="X397" t="inlineStr">
        <is>
          <t>01</t>
        </is>
      </c>
      <c r="Y397" t="inlineStr">
        <is>
          <t>2026-Q1</t>
        </is>
      </c>
    </row>
    <row r="398" ht="38.25" customHeight="1">
      <c r="A398" t="inlineStr">
        <is>
          <t>普通水平测试冲刺礼包：视频课+电子版资料+泛读+命题说话</t>
        </is>
      </c>
      <c r="B398" t="inlineStr">
        <is>
          <t>recv7JfW3QqkkD.jpg</t>
        </is>
      </c>
      <c r="C398" s="2" t="str">
        <f>=HYPERLINK("https://xhslink.com/m/3w87QAZ0Wgn", "https://xhslink.com/m/3w87QAZ0Wgn")</f>
        <v>https://xhslink.com/m/3w87QAZ0Wgn</v>
      </c>
      <c r="D398"/>
      <c r="E398">
        <v>5154</v>
      </c>
      <c r="F398">
        <v>5.9</v>
      </c>
      <c r="G398"/>
      <c r="H398">
        <v>100</v>
      </c>
      <c r="I398"/>
      <c r="J398"/>
      <c r="K398" t="inlineStr">
        <is>
          <t>资料</t>
        </is>
      </c>
      <c r="L398"/>
      <c r="M398" t="inlineStr">
        <is>
          <t>杳筱柒的店</t>
        </is>
      </c>
      <c r="N398">
        <v>5655</v>
      </c>
      <c r="O398">
        <v>4.44</v>
      </c>
      <c r="P398">
        <v>10000</v>
      </c>
      <c r="Q398" t="inlineStr">
        <is>
          <t>67340783878b3d0001c7a5a4</t>
        </is>
      </c>
      <c r="R398" t="inlineStr">
        <is>
          <t>🚫重复</t>
        </is>
      </c>
      <c r="S398" t="inlineStr">
        <is>
          <t>无匹配类别</t>
        </is>
      </c>
      <c r="T398" t="inlineStr">
        <is>
          <t>0.91</t>
        </is>
      </c>
      <c r="U398" s="3">
        <v>46112.78107638889</v>
      </c>
      <c r="V398" t="inlineStr">
        <is>
          <t>虚拟产品</t>
        </is>
      </c>
      <c r="W398" s="3">
        <v>46030</v>
      </c>
      <c r="X398" t="inlineStr">
        <is>
          <t>01</t>
        </is>
      </c>
      <c r="Y398" t="inlineStr">
        <is>
          <t>2026-Q1</t>
        </is>
      </c>
    </row>
    <row r="399" ht="38.25" customHeight="1">
      <c r="A399" t="inlineStr">
        <is>
          <t>2025秋季新版小学一到六年级同步生字练字帖 PDF电子版，非实物</t>
        </is>
      </c>
      <c r="B399" t="inlineStr">
        <is>
          <t>recv7JfW3QLhxV.jpg</t>
        </is>
      </c>
      <c r="C399" s="2" t="str">
        <f>=HYPERLINK("https://xhslink.com/m/3IIprkV0ML8", "https://xhslink.com/m/3IIprkV0ML8")</f>
        <v>https://xhslink.com/m/3IIprkV0ML8</v>
      </c>
      <c r="D399"/>
      <c r="E399">
        <v>5227</v>
      </c>
      <c r="F399">
        <v>3.8</v>
      </c>
      <c r="G399"/>
      <c r="H399">
        <v>750</v>
      </c>
      <c r="I399"/>
      <c r="J399"/>
      <c r="K399" t="inlineStr">
        <is>
          <t>资料</t>
        </is>
      </c>
      <c r="L399"/>
      <c r="M399" t="inlineStr">
        <is>
          <t>余老师爱分享的店</t>
        </is>
      </c>
      <c r="N399">
        <v>5419</v>
      </c>
      <c r="O399">
        <v>4.28</v>
      </c>
      <c r="P399">
        <v>20000</v>
      </c>
      <c r="Q399" t="inlineStr">
        <is>
          <t>686d2e887aa7a1000122c3b3</t>
        </is>
      </c>
      <c r="R399" t="inlineStr">
        <is>
          <t>🚫重复</t>
        </is>
      </c>
      <c r="S399" t="inlineStr">
        <is>
          <t>中小学教辅/教材</t>
        </is>
      </c>
      <c r="T399" t="inlineStr">
        <is>
          <t>0.96</t>
        </is>
      </c>
      <c r="U399" s="3">
        <v>46112.78107638889</v>
      </c>
      <c r="V399" t="inlineStr">
        <is>
          <t>虚拟产品</t>
        </is>
      </c>
      <c r="W399" s="3">
        <v>46030</v>
      </c>
      <c r="X399" t="inlineStr">
        <is>
          <t>01</t>
        </is>
      </c>
      <c r="Y399" t="inlineStr">
        <is>
          <t>2026-Q1</t>
        </is>
      </c>
    </row>
    <row r="400" ht="38.25" customHeight="1">
      <c r="A400" t="inlineStr">
        <is>
          <t>中考初中英语作文句型练习·电子版带答案</t>
        </is>
      </c>
      <c r="B400" t="inlineStr">
        <is>
          <t>recv7JfW3Q1lrv.jpg</t>
        </is>
      </c>
      <c r="C400" s="2" t="str">
        <f>=HYPERLINK("https://xhslink.com/m/AS6j82W6UNJ", "https://xhslink.com/m/AS6j82W6UNJ")</f>
        <v>https://xhslink.com/m/AS6j82W6UNJ</v>
      </c>
      <c r="D400"/>
      <c r="E400">
        <v>5116</v>
      </c>
      <c r="F400">
        <v>9.9</v>
      </c>
      <c r="G400"/>
      <c r="H400">
        <v>250</v>
      </c>
      <c r="I400"/>
      <c r="J400"/>
      <c r="K400" t="inlineStr">
        <is>
          <t>资料</t>
        </is>
      </c>
      <c r="L400" t="inlineStr">
        <is>
          <t>🔥低粉爆款</t>
        </is>
      </c>
      <c r="M400" t="inlineStr">
        <is>
          <t>软软圈圈圆的店</t>
        </is>
      </c>
      <c r="N400">
        <v>569</v>
      </c>
      <c r="O400">
        <v>4.25</v>
      </c>
      <c r="P400">
        <v>15000</v>
      </c>
      <c r="Q400" t="inlineStr">
        <is>
          <t>680ddfb9e375ae0001d9e43b</t>
        </is>
      </c>
      <c r="R400" t="inlineStr">
        <is>
          <t>🚫重复</t>
        </is>
      </c>
      <c r="S400" t="inlineStr">
        <is>
          <t>中小学教辅/教材</t>
        </is>
      </c>
      <c r="T400" t="inlineStr">
        <is>
          <t>8.99</t>
        </is>
      </c>
      <c r="U400" s="3">
        <v>46112.78107638889</v>
      </c>
      <c r="V400" t="inlineStr">
        <is>
          <t>虚拟产品</t>
        </is>
      </c>
      <c r="W400" s="3">
        <v>46030</v>
      </c>
      <c r="X400" t="inlineStr">
        <is>
          <t>01</t>
        </is>
      </c>
      <c r="Y400" t="inlineStr">
        <is>
          <t>2026-Q1</t>
        </is>
      </c>
    </row>
    <row r="401" ht="38.25" customHeight="1">
      <c r="A401" t="inlineStr">
        <is>
          <t>大学生职业生涯规划书WORD+PPT(秒拍秒发)</t>
        </is>
      </c>
      <c r="B401" t="inlineStr">
        <is>
          <t>recv7JfW3Qe0vn.jpg</t>
        </is>
      </c>
      <c r="C401" s="2" t="str">
        <f>=HYPERLINK("https://xhslink.com/m/8obC63pYR79", "https://xhslink.com/m/8obC63pYR79")</f>
        <v>https://xhslink.com/m/8obC63pYR79</v>
      </c>
      <c r="D401"/>
      <c r="E401">
        <v>5073</v>
      </c>
      <c r="F401">
        <v>2.38</v>
      </c>
      <c r="G401"/>
      <c r="H401">
        <v>1000</v>
      </c>
      <c r="I401"/>
      <c r="J401"/>
      <c r="K401" t="inlineStr">
        <is>
          <t>资料</t>
        </is>
      </c>
      <c r="L401" t="inlineStr">
        <is>
          <t>🔥低粉爆款</t>
        </is>
      </c>
      <c r="M401" t="inlineStr">
        <is>
          <t>课代表PPT的店</t>
        </is>
      </c>
      <c r="N401">
        <v>624</v>
      </c>
      <c r="O401">
        <v>4.54</v>
      </c>
      <c r="P401">
        <v>9580</v>
      </c>
      <c r="Q401" t="inlineStr">
        <is>
          <t>68fe360f04ab190001bcd6cd</t>
        </is>
      </c>
      <c r="R401"/>
      <c r="S401" t="inlineStr">
        <is>
          <t>PPT模板</t>
        </is>
      </c>
      <c r="T401" t="inlineStr">
        <is>
          <t>8.13</t>
        </is>
      </c>
      <c r="U401" s="3">
        <v>46112.78107638889</v>
      </c>
      <c r="V401" t="inlineStr">
        <is>
          <t>虚拟产品</t>
        </is>
      </c>
      <c r="W401" s="3">
        <v>46030</v>
      </c>
      <c r="X401" t="inlineStr">
        <is>
          <t>01</t>
        </is>
      </c>
      <c r="Y401" t="inlineStr">
        <is>
          <t>2026-Q1</t>
        </is>
      </c>
    </row>
    <row r="402" ht="38.25" customHeight="1">
      <c r="A402" t="inlineStr">
        <is>
          <t>PPT套用模版（按编号拍下）温馨提示下单前确认好是否为自己所需</t>
        </is>
      </c>
      <c r="B402" t="inlineStr">
        <is>
          <t>recv7JfW3Q31ym.jpg</t>
        </is>
      </c>
      <c r="C402" s="2" t="str">
        <f>=HYPERLINK("https://xhslink.com/m/5hgtbxyelhN", "https://xhslink.com/m/5hgtbxyelhN")</f>
        <v>https://xhslink.com/m/5hgtbxyelhN</v>
      </c>
      <c r="D402"/>
      <c r="E402">
        <v>5178</v>
      </c>
      <c r="F402">
        <v>2.99</v>
      </c>
      <c r="G402"/>
      <c r="H402">
        <v>650</v>
      </c>
      <c r="I402"/>
      <c r="J402"/>
      <c r="K402" t="inlineStr">
        <is>
          <t>资料</t>
        </is>
      </c>
      <c r="L402" t="inlineStr">
        <is>
          <t>🔥低粉爆款</t>
        </is>
      </c>
      <c r="M402" t="inlineStr">
        <is>
          <t>一口一个喜洋洋22的店</t>
        </is>
      </c>
      <c r="N402">
        <v>1119</v>
      </c>
      <c r="O402">
        <v>4.09</v>
      </c>
      <c r="P402">
        <v>9465</v>
      </c>
      <c r="Q402" t="inlineStr">
        <is>
          <t>68404d81e9389a0001410a4c</t>
        </is>
      </c>
      <c r="R402" t="inlineStr">
        <is>
          <t>🚫重复</t>
        </is>
      </c>
      <c r="S402" t="inlineStr">
        <is>
          <t>PPT模板</t>
        </is>
      </c>
      <c r="T402" t="inlineStr">
        <is>
          <t>4.63</t>
        </is>
      </c>
      <c r="U402" s="3">
        <v>46112.78107638889</v>
      </c>
      <c r="V402" t="inlineStr">
        <is>
          <t>虚拟产品</t>
        </is>
      </c>
      <c r="W402" s="3">
        <v>46030</v>
      </c>
      <c r="X402" t="inlineStr">
        <is>
          <t>01</t>
        </is>
      </c>
      <c r="Y402" t="inlineStr">
        <is>
          <t>2026-Q1</t>
        </is>
      </c>
    </row>
    <row r="403" ht="38.25" customHeight="1">
      <c r="A403" t="inlineStr">
        <is>
          <t>26高照夸夸刷（行测+申论）五合一刷题本送视频课</t>
        </is>
      </c>
      <c r="B403" t="inlineStr">
        <is>
          <t>recv7JfW3QyylS.jpg</t>
        </is>
      </c>
      <c r="C403" s="2" t="str">
        <f>=HYPERLINK("https://xhslink.com/m/saZPAZkoBf", "https://xhslink.com/m/saZPAZkoBf")</f>
        <v>https://xhslink.com/m/saZPAZkoBf</v>
      </c>
      <c r="D403"/>
      <c r="E403">
        <v>5008</v>
      </c>
      <c r="F403">
        <v>16.8</v>
      </c>
      <c r="G403"/>
      <c r="H403">
        <v>100</v>
      </c>
      <c r="I403"/>
      <c r="J403"/>
      <c r="K403" t="inlineStr">
        <is>
          <t>资料</t>
        </is>
      </c>
      <c r="L403"/>
      <c r="M403" t="inlineStr">
        <is>
          <t>554的店</t>
        </is>
      </c>
      <c r="N403">
        <v>6109</v>
      </c>
      <c r="O403">
        <v>4.51</v>
      </c>
      <c r="P403">
        <v>29000</v>
      </c>
      <c r="Q403" t="inlineStr">
        <is>
          <t>688094420e13d5000180faee</t>
        </is>
      </c>
      <c r="R403" t="inlineStr">
        <is>
          <t>🚫重复</t>
        </is>
      </c>
      <c r="S403" t="inlineStr">
        <is>
          <t>考公资料</t>
        </is>
      </c>
      <c r="T403" t="inlineStr">
        <is>
          <t>0.82</t>
        </is>
      </c>
      <c r="U403" s="3">
        <v>46112.78107638889</v>
      </c>
      <c r="V403" t="inlineStr">
        <is>
          <t>虚拟产品</t>
        </is>
      </c>
      <c r="W403" s="3">
        <v>46030</v>
      </c>
      <c r="X403" t="inlineStr">
        <is>
          <t>01</t>
        </is>
      </c>
      <c r="Y403" t="inlineStr">
        <is>
          <t>2026-Q1</t>
        </is>
      </c>
    </row>
    <row r="404" ht="38.25" customHeight="1">
      <c r="A404" t="inlineStr">
        <is>
          <t>大学生职业生涯规划书成品范文PDF+WORD+PPT职业生涯展示</t>
        </is>
      </c>
      <c r="B404" t="inlineStr">
        <is>
          <t>recv7JfW3Qv6Xx.jpg</t>
        </is>
      </c>
      <c r="C404" s="2" t="str">
        <f>=HYPERLINK("https://xhslink.com/m/2dzG0Fd9e1k", "https://xhslink.com/m/2dzG0Fd9e1k")</f>
        <v>https://xhslink.com/m/2dzG0Fd9e1k</v>
      </c>
      <c r="D404"/>
      <c r="E404">
        <v>4978</v>
      </c>
      <c r="F404">
        <v>9.99</v>
      </c>
      <c r="G404"/>
      <c r="H404">
        <v>400</v>
      </c>
      <c r="I404"/>
      <c r="J404"/>
      <c r="K404" t="inlineStr">
        <is>
          <t>资料</t>
        </is>
      </c>
      <c r="L404"/>
      <c r="M404" t="inlineStr">
        <is>
          <t>赵小小的店</t>
        </is>
      </c>
      <c r="N404">
        <v>4348</v>
      </c>
      <c r="O404">
        <v>4.73</v>
      </c>
      <c r="P404">
        <v>49000</v>
      </c>
      <c r="Q404" t="inlineStr">
        <is>
          <t>69016654c192ac0001f229eb</t>
        </is>
      </c>
      <c r="R404" t="inlineStr">
        <is>
          <t>🚫重复</t>
        </is>
      </c>
      <c r="S404" t="inlineStr">
        <is>
          <t>求职面试/职场</t>
        </is>
      </c>
      <c r="T404" t="inlineStr">
        <is>
          <t>1.14</t>
        </is>
      </c>
      <c r="U404" s="3">
        <v>46112.78107638889</v>
      </c>
      <c r="V404" t="inlineStr">
        <is>
          <t>虚拟产品</t>
        </is>
      </c>
      <c r="W404" s="3">
        <v>46030</v>
      </c>
      <c r="X404" t="inlineStr">
        <is>
          <t>01</t>
        </is>
      </c>
      <c r="Y404" t="inlineStr">
        <is>
          <t>2026-Q1</t>
        </is>
      </c>
    </row>
    <row r="405" ht="38.25" customHeight="1">
      <c r="A405" t="inlineStr">
        <is>
          <t>雅思阅读听力经验 阅读首考8.5 听力6-8自动发货 2025最新版</t>
        </is>
      </c>
      <c r="B405" t="inlineStr">
        <is>
          <t>recv7JfW3QpSrU.jpg</t>
        </is>
      </c>
      <c r="C405" s="2" t="str">
        <f>=HYPERLINK("https://xhslink.com/m/AykGe93NYED", "https://xhslink.com/m/AykGe93NYED")</f>
        <v>https://xhslink.com/m/AykGe93NYED</v>
      </c>
      <c r="D405"/>
      <c r="E405">
        <v>5092</v>
      </c>
      <c r="F405">
        <v>30</v>
      </c>
      <c r="G405"/>
      <c r="H405">
        <v>100</v>
      </c>
      <c r="I405"/>
      <c r="J405"/>
      <c r="K405" t="inlineStr">
        <is>
          <t>资料</t>
        </is>
      </c>
      <c r="L405"/>
      <c r="M405" t="inlineStr">
        <is>
          <t>果断的蜜蜂珍珠的店</t>
        </is>
      </c>
      <c r="N405">
        <v>5245</v>
      </c>
      <c r="O405">
        <v>4.11</v>
      </c>
      <c r="P405">
        <v>15000</v>
      </c>
      <c r="Q405" t="inlineStr">
        <is>
          <t>65658604e0f1530001e16559</t>
        </is>
      </c>
      <c r="R405"/>
      <c r="S405" t="inlineStr">
        <is>
          <t>英语资料</t>
        </is>
      </c>
      <c r="T405" t="inlineStr">
        <is>
          <t>0.97</t>
        </is>
      </c>
      <c r="U405" s="3">
        <v>46112.78107638889</v>
      </c>
      <c r="V405" t="inlineStr">
        <is>
          <t>虚拟产品</t>
        </is>
      </c>
      <c r="W405" s="3">
        <v>46030</v>
      </c>
      <c r="X405" t="inlineStr">
        <is>
          <t>01</t>
        </is>
      </c>
      <c r="Y405" t="inlineStr">
        <is>
          <t>2026-Q1</t>
        </is>
      </c>
    </row>
    <row r="406" ht="38.25" customHeight="1">
      <c r="A406" t="inlineStr">
        <is>
          <t>四六级660+私藏写作模版 零基础直达写作高分</t>
        </is>
      </c>
      <c r="B406" t="inlineStr">
        <is>
          <t>recv7JfW3Q6sAB.jpg</t>
        </is>
      </c>
      <c r="C406" s="2" t="str">
        <f>=HYPERLINK("https://xhslink.com/m/1TWJJGqozTy", "https://xhslink.com/m/1TWJJGqozTy")</f>
        <v>https://xhslink.com/m/1TWJJGqozTy</v>
      </c>
      <c r="D406"/>
      <c r="E406">
        <v>4930</v>
      </c>
      <c r="F406">
        <v>9.9</v>
      </c>
      <c r="G406"/>
      <c r="H406">
        <v>100</v>
      </c>
      <c r="I406"/>
      <c r="J406"/>
      <c r="K406" t="inlineStr">
        <is>
          <t>资料</t>
        </is>
      </c>
      <c r="L406"/>
      <c r="M406" t="inlineStr">
        <is>
          <t>Econmedian的店</t>
        </is>
      </c>
      <c r="N406">
        <v>338000</v>
      </c>
      <c r="O406">
        <v>4.16</v>
      </c>
      <c r="P406">
        <v>25000</v>
      </c>
      <c r="Q406" t="inlineStr">
        <is>
          <t>674440159d49990001169f73</t>
        </is>
      </c>
      <c r="R406" t="inlineStr">
        <is>
          <t>🚫重复</t>
        </is>
      </c>
      <c r="S406" t="inlineStr">
        <is>
          <t>英语资料</t>
        </is>
      </c>
      <c r="T406" t="inlineStr">
        <is>
          <t>0.01</t>
        </is>
      </c>
      <c r="U406" s="3">
        <v>46112.78107638889</v>
      </c>
      <c r="V406" t="inlineStr">
        <is>
          <t>虚拟产品</t>
        </is>
      </c>
      <c r="W406" s="3">
        <v>46030</v>
      </c>
      <c r="X406" t="inlineStr">
        <is>
          <t>01</t>
        </is>
      </c>
      <c r="Y406" t="inlineStr">
        <is>
          <t>2026-Q1</t>
        </is>
      </c>
    </row>
    <row r="407" ht="38.25" customHeight="1">
      <c r="A407" t="inlineStr">
        <is>
          <t>【秒发】大学生应届生无经验简历模板word高级简历模板大全电子版</t>
        </is>
      </c>
      <c r="B407" t="inlineStr">
        <is>
          <t>recv7JfW3QNO9i.jpg</t>
        </is>
      </c>
      <c r="C407" s="2" t="str">
        <f>=HYPERLINK("https://xhslink.com/m/7egIscr6PxS", "https://xhslink.com/m/7egIscr6PxS")</f>
        <v>https://xhslink.com/m/7egIscr6PxS</v>
      </c>
      <c r="D407"/>
      <c r="E407">
        <v>3914</v>
      </c>
      <c r="F407">
        <v>0.1</v>
      </c>
      <c r="G407"/>
      <c r="H407">
        <v>200</v>
      </c>
      <c r="I407"/>
      <c r="J407"/>
      <c r="K407" t="inlineStr">
        <is>
          <t>资料</t>
        </is>
      </c>
      <c r="L407" t="inlineStr">
        <is>
          <t>🔥低粉爆款</t>
        </is>
      </c>
      <c r="M407" t="inlineStr">
        <is>
          <t>简历模板-免费分享的店</t>
        </is>
      </c>
      <c r="N407">
        <v>122</v>
      </c>
      <c r="O407">
        <v>3.96</v>
      </c>
      <c r="P407">
        <v>6236</v>
      </c>
      <c r="Q407" t="inlineStr">
        <is>
          <t>68ada0fb8ec6fa000149033c</t>
        </is>
      </c>
      <c r="R407"/>
      <c r="S407" t="inlineStr">
        <is>
          <t>求职面试/职场</t>
        </is>
      </c>
      <c r="T407" t="inlineStr">
        <is>
          <t>32.08</t>
        </is>
      </c>
      <c r="U407" s="3">
        <v>46112.78107638889</v>
      </c>
      <c r="V407" t="inlineStr">
        <is>
          <t>虚拟产品</t>
        </is>
      </c>
      <c r="W407" s="3">
        <v>46030</v>
      </c>
      <c r="X407" t="inlineStr">
        <is>
          <t>01</t>
        </is>
      </c>
      <c r="Y407" t="inlineStr">
        <is>
          <t>2026-Q1</t>
        </is>
      </c>
    </row>
    <row r="408" ht="38.25" customHeight="1">
      <c r="A408" t="inlineStr">
        <is>
          <t>26高照资料分析默写表!知识总结!答案版+空白各17页全!虚拟设计制</t>
        </is>
      </c>
      <c r="B408" t="inlineStr">
        <is>
          <t>recv7JfW3Q99Bt.jpg</t>
        </is>
      </c>
      <c r="C408" s="2" t="str">
        <f>=HYPERLINK("https://xhslink.com/m/1htZaotIrGv", "https://xhslink.com/m/1htZaotIrGv")</f>
        <v>https://xhslink.com/m/1htZaotIrGv</v>
      </c>
      <c r="D408"/>
      <c r="E408">
        <v>524</v>
      </c>
      <c r="F408">
        <v>3.66</v>
      </c>
      <c r="G408"/>
      <c r="H408">
        <v>94</v>
      </c>
      <c r="I408"/>
      <c r="J408"/>
      <c r="K408" t="inlineStr">
        <is>
          <t>资料</t>
        </is>
      </c>
      <c r="L408"/>
      <c r="M408" t="inlineStr">
        <is>
          <t>我不困啊的店</t>
        </is>
      </c>
      <c r="N408">
        <v>1237</v>
      </c>
      <c r="O408">
        <v>3.89</v>
      </c>
      <c r="P408">
        <v>1435</v>
      </c>
      <c r="Q408" t="inlineStr">
        <is>
          <t>689dded61745f60001d9d487</t>
        </is>
      </c>
      <c r="R408"/>
      <c r="S408" t="inlineStr">
        <is>
          <t>考公资料</t>
        </is>
      </c>
      <c r="T408" t="inlineStr">
        <is>
          <t>0.42</t>
        </is>
      </c>
      <c r="U408" s="3">
        <v>46112.78107638889</v>
      </c>
      <c r="V408" t="inlineStr">
        <is>
          <t>虚拟产品</t>
        </is>
      </c>
      <c r="W408" s="3">
        <v>46030</v>
      </c>
      <c r="X408" t="inlineStr">
        <is>
          <t>01</t>
        </is>
      </c>
      <c r="Y408" t="inlineStr">
        <is>
          <t>2026-Q1</t>
        </is>
      </c>
    </row>
    <row r="409" ht="38.25" customHeight="1">
      <c r="A409" t="inlineStr">
        <is>
          <t>26高照资料分析公式默写本+答案 PDF文档可打印 虚拟电子资料包</t>
        </is>
      </c>
      <c r="B409" t="inlineStr">
        <is>
          <t>recv7JfW3Qk1OO.jpg</t>
        </is>
      </c>
      <c r="C409" s="2" t="str">
        <f>=HYPERLINK("https://xhslink.com/m/AsuEQ4KaIhu", "https://xhslink.com/m/AsuEQ4KaIhu")</f>
        <v>https://xhslink.com/m/AsuEQ4KaIhu</v>
      </c>
      <c r="D409"/>
      <c r="E409">
        <v>473</v>
      </c>
      <c r="F409">
        <v>1</v>
      </c>
      <c r="G409"/>
      <c r="H409">
        <v>100</v>
      </c>
      <c r="I409"/>
      <c r="J409"/>
      <c r="K409" t="inlineStr">
        <is>
          <t>资料</t>
        </is>
      </c>
      <c r="L409"/>
      <c r="M409" t="inlineStr">
        <is>
          <t>昭昭上岸^_^的店</t>
        </is>
      </c>
      <c r="N409">
        <v>334</v>
      </c>
      <c r="O409">
        <v>3.79</v>
      </c>
      <c r="P409">
        <v>5736</v>
      </c>
      <c r="Q409" t="inlineStr">
        <is>
          <t>687fa67c8fe34700011ceb91</t>
        </is>
      </c>
      <c r="R409"/>
      <c r="S409" t="inlineStr">
        <is>
          <t>无匹配类别</t>
        </is>
      </c>
      <c r="T409" t="inlineStr">
        <is>
          <t>1.42</t>
        </is>
      </c>
      <c r="U409" s="3">
        <v>46112.78107638889</v>
      </c>
      <c r="V409" t="inlineStr">
        <is>
          <t>虚拟产品</t>
        </is>
      </c>
      <c r="W409" s="3">
        <v>46030</v>
      </c>
      <c r="X409" t="inlineStr">
        <is>
          <t>01</t>
        </is>
      </c>
      <c r="Y409" t="inlineStr">
        <is>
          <t>2026-Q1</t>
        </is>
      </c>
    </row>
    <row r="410" ht="38.25" customHeight="1">
      <c r="A410" t="inlineStr">
        <is>
          <t>简约个人简历模板 word版本 电子版可打印可编辑应届生毕业大学生</t>
        </is>
      </c>
      <c r="B410" t="inlineStr">
        <is>
          <t>recv7P2KqzEh7c.jpg</t>
        </is>
      </c>
      <c r="C410" s="2" t="str">
        <f>=HYPERLINK("https://xhslink.com/m/4ASSsy2cCud", "https://xhslink.com/m/4ASSsy2cCud")</f>
        <v>https://xhslink.com/m/4ASSsy2cCud</v>
      </c>
      <c r="D410"/>
      <c r="E410">
        <v>63000</v>
      </c>
      <c r="F410">
        <v>0.99</v>
      </c>
      <c r="G410"/>
      <c r="H410">
        <v>2000</v>
      </c>
      <c r="I410"/>
      <c r="J410"/>
      <c r="K410" t="inlineStr">
        <is>
          <t>大学资料</t>
        </is>
      </c>
      <c r="L410" t="inlineStr">
        <is>
          <t>🔥低粉爆款</t>
        </is>
      </c>
      <c r="M410" t="inlineStr">
        <is>
          <t>我说嘴巴嘟嘟的店</t>
        </is>
      </c>
      <c r="N410">
        <v>3927</v>
      </c>
      <c r="O410">
        <v>4.7</v>
      </c>
      <c r="P410">
        <v>90000</v>
      </c>
      <c r="Q410" t="inlineStr">
        <is>
          <t>671e046299bc520001f14f6f</t>
        </is>
      </c>
      <c r="R410" t="inlineStr">
        <is>
          <t>🚫重复</t>
        </is>
      </c>
      <c r="S410" t="inlineStr">
        <is>
          <t>求职面试/职场</t>
        </is>
      </c>
      <c r="T410" t="inlineStr">
        <is>
          <t>16.04</t>
        </is>
      </c>
      <c r="U410" s="3">
        <v>46112.78107638889</v>
      </c>
      <c r="V410" t="inlineStr">
        <is>
          <t>虚拟产品</t>
        </is>
      </c>
      <c r="W410" s="3">
        <v>46031</v>
      </c>
      <c r="X410" t="inlineStr">
        <is>
          <t>01</t>
        </is>
      </c>
      <c r="Y410" t="inlineStr">
        <is>
          <t>2026-Q1</t>
        </is>
      </c>
    </row>
    <row r="411" ht="38.25" customHeight="1">
      <c r="A411" t="inlineStr">
        <is>
          <t>2025大学生职业生涯规划书范文ppt模板pdf成品word成长赛道电子版</t>
        </is>
      </c>
      <c r="B411" t="inlineStr">
        <is>
          <t>recv7P2RIwZ8CF.jpg</t>
        </is>
      </c>
      <c r="C411" s="2" t="str">
        <f>=HYPERLINK("https://xhslink.com/m/36NwFSbHh3S", "https://xhslink.com/m/36NwFSbHh3S")</f>
        <v>https://xhslink.com/m/36NwFSbHh3S</v>
      </c>
      <c r="D411"/>
      <c r="E411">
        <v>44000</v>
      </c>
      <c r="F411">
        <v>0.9</v>
      </c>
      <c r="G411"/>
      <c r="H411">
        <v>19000</v>
      </c>
      <c r="I411"/>
      <c r="J411"/>
      <c r="K411" t="inlineStr">
        <is>
          <t>大学资料</t>
        </is>
      </c>
      <c r="L411" t="inlineStr">
        <is>
          <t>🔥低粉爆款</t>
        </is>
      </c>
      <c r="M411" t="inlineStr">
        <is>
          <t>大王老师文化工作室的店</t>
        </is>
      </c>
      <c r="N411">
        <v>1015</v>
      </c>
      <c r="O411">
        <v>4.74</v>
      </c>
      <c r="P411">
        <v>48000</v>
      </c>
      <c r="Q411" t="inlineStr">
        <is>
          <t>691b4f826a8e7d00013af4eb</t>
        </is>
      </c>
      <c r="R411" t="inlineStr">
        <is>
          <t>🚫重复</t>
        </is>
      </c>
      <c r="S411" t="inlineStr">
        <is>
          <t>PPT模板</t>
        </is>
      </c>
      <c r="T411" t="inlineStr">
        <is>
          <t>43.35</t>
        </is>
      </c>
      <c r="U411" s="3">
        <v>46112.78107638889</v>
      </c>
      <c r="V411" t="inlineStr">
        <is>
          <t>虚拟产品</t>
        </is>
      </c>
      <c r="W411" s="3">
        <v>46031</v>
      </c>
      <c r="X411" t="inlineStr">
        <is>
          <t>01</t>
        </is>
      </c>
      <c r="Y411" t="inlineStr">
        <is>
          <t>2026-Q1</t>
        </is>
      </c>
    </row>
    <row r="412" ht="38.25" customHeight="1">
      <c r="A412" t="inlineStr">
        <is>
          <t>大学生创新创业计划书word商业项目策划书PPT模板范文成品</t>
        </is>
      </c>
      <c r="B412" t="inlineStr">
        <is>
          <t>recv7P2RIw9Cvj.jpg</t>
        </is>
      </c>
      <c r="C412" s="2" t="str">
        <f>=HYPERLINK("https://xhslink.com/m/47pIrPRY8Yb", "https://xhslink.com/m/47pIrPRY8Yb")</f>
        <v>https://xhslink.com/m/47pIrPRY8Yb</v>
      </c>
      <c r="D412"/>
      <c r="E412">
        <v>37000</v>
      </c>
      <c r="F412">
        <v>3.88</v>
      </c>
      <c r="G412"/>
      <c r="H412">
        <v>850</v>
      </c>
      <c r="I412"/>
      <c r="J412"/>
      <c r="K412" t="inlineStr">
        <is>
          <t>大学资料</t>
        </is>
      </c>
      <c r="L412" t="inlineStr">
        <is>
          <t>🔥低粉爆款</t>
        </is>
      </c>
      <c r="M412" t="inlineStr">
        <is>
          <t>大猫资料库的店</t>
        </is>
      </c>
      <c r="N412">
        <v>12000</v>
      </c>
      <c r="O412">
        <v>3.98</v>
      </c>
      <c r="P412">
        <v>44000</v>
      </c>
      <c r="Q412" t="inlineStr">
        <is>
          <t>66516221c0d6440001341785</t>
        </is>
      </c>
      <c r="R412"/>
      <c r="S412" t="inlineStr">
        <is>
          <t>PPT模板</t>
        </is>
      </c>
      <c r="T412" t="inlineStr">
        <is>
          <t>3.08</t>
        </is>
      </c>
      <c r="U412" s="3">
        <v>46112.78107638889</v>
      </c>
      <c r="V412" t="inlineStr">
        <is>
          <t>虚拟产品</t>
        </is>
      </c>
      <c r="W412" s="3">
        <v>46031</v>
      </c>
      <c r="X412" t="inlineStr">
        <is>
          <t>01</t>
        </is>
      </c>
      <c r="Y412" t="inlineStr">
        <is>
          <t>2026-Q1</t>
        </is>
      </c>
    </row>
    <row r="413" ht="38.25" customHeight="1">
      <c r="A413" t="inlineStr">
        <is>
          <t>通用简历模板大学生无经验简历手机可编辑（5 色+简历范文）A001</t>
        </is>
      </c>
      <c r="B413" t="inlineStr">
        <is>
          <t>recv7P2RIw2Lwa.jpg</t>
        </is>
      </c>
      <c r="C413" s="2" t="str">
        <f>=HYPERLINK("https://xhslink.com/m/7tsayBBYCfZ", "https://xhslink.com/m/7tsayBBYCfZ")</f>
        <v>https://xhslink.com/m/7tsayBBYCfZ</v>
      </c>
      <c r="D413"/>
      <c r="E413">
        <v>17000</v>
      </c>
      <c r="F413">
        <v>2.98</v>
      </c>
      <c r="G413"/>
      <c r="H413">
        <v>400</v>
      </c>
      <c r="I413"/>
      <c r="J413"/>
      <c r="K413" t="inlineStr">
        <is>
          <t>大学资料</t>
        </is>
      </c>
      <c r="L413"/>
      <c r="M413" t="inlineStr">
        <is>
          <t>大学生求职简历模板的店</t>
        </is>
      </c>
      <c r="N413">
        <v>19000</v>
      </c>
      <c r="O413">
        <v>4.8</v>
      </c>
      <c r="P413">
        <v>59000</v>
      </c>
      <c r="Q413" t="inlineStr">
        <is>
          <t>66f0f79f86a6ff000166ffcd</t>
        </is>
      </c>
      <c r="R413" t="inlineStr">
        <is>
          <t>🚫重复</t>
        </is>
      </c>
      <c r="S413" t="inlineStr">
        <is>
          <t>求职面试/职场</t>
        </is>
      </c>
      <c r="T413" t="inlineStr">
        <is>
          <t>0.89</t>
        </is>
      </c>
      <c r="U413" s="3">
        <v>46112.78107638889</v>
      </c>
      <c r="V413" t="inlineStr">
        <is>
          <t>虚拟产品</t>
        </is>
      </c>
      <c r="W413" s="3">
        <v>46031</v>
      </c>
      <c r="X413" t="inlineStr">
        <is>
          <t>01</t>
        </is>
      </c>
      <c r="Y413" t="inlineStr">
        <is>
          <t>2026-Q1</t>
        </is>
      </c>
    </row>
    <row r="414" ht="38.25" customHeight="1">
      <c r="A414" t="inlineStr">
        <is>
          <t>笔记中PPT模板系列1【已勾选好，默认付款发百度网盘下载链接】</t>
        </is>
      </c>
      <c r="B414" t="inlineStr">
        <is>
          <t>recv7P2RIw4zp9.jpg</t>
        </is>
      </c>
      <c r="C414" s="2" t="str">
        <f>=HYPERLINK("https://xhslink.com/m/4EFVISnqXmM", "https://xhslink.com/m/4EFVISnqXmM")</f>
        <v>https://xhslink.com/m/4EFVISnqXmM</v>
      </c>
      <c r="D414"/>
      <c r="E414">
        <v>5863</v>
      </c>
      <c r="F414">
        <v>5.98</v>
      </c>
      <c r="G414"/>
      <c r="H414">
        <v>100</v>
      </c>
      <c r="I414"/>
      <c r="J414"/>
      <c r="K414" t="inlineStr">
        <is>
          <t>大学资料</t>
        </is>
      </c>
      <c r="L414"/>
      <c r="M414" t="inlineStr">
        <is>
          <t>金老师PPT的店</t>
        </is>
      </c>
      <c r="N414">
        <v>11000</v>
      </c>
      <c r="O414">
        <v>4.15</v>
      </c>
      <c r="P414">
        <v>51000</v>
      </c>
      <c r="Q414" t="inlineStr">
        <is>
          <t>676213e9be2f680001f0f50b</t>
        </is>
      </c>
      <c r="R414" t="inlineStr">
        <is>
          <t>🚫重复</t>
        </is>
      </c>
      <c r="S414" t="inlineStr">
        <is>
          <t>PPT模板</t>
        </is>
      </c>
      <c r="T414" t="inlineStr">
        <is>
          <t>0.53</t>
        </is>
      </c>
      <c r="U414" s="3">
        <v>46112.78107638889</v>
      </c>
      <c r="V414" t="inlineStr">
        <is>
          <t>虚拟产品</t>
        </is>
      </c>
      <c r="W414" s="3">
        <v>46031</v>
      </c>
      <c r="X414" t="inlineStr">
        <is>
          <t>01</t>
        </is>
      </c>
      <c r="Y414" t="inlineStr">
        <is>
          <t>2026-Q1</t>
        </is>
      </c>
    </row>
    <row r="415" ht="38.25" customHeight="1">
      <c r="A415" t="inlineStr">
        <is>
          <t>24/25年考研拟录取名单下单链接</t>
        </is>
      </c>
      <c r="B415" t="inlineStr">
        <is>
          <t>recv7P2RIwm7R7.jpg</t>
        </is>
      </c>
      <c r="C415" s="2" t="str">
        <f>=HYPERLINK("https://xhslink.com/m/59BXqi1QjyP", "https://xhslink.com/m/59BXqi1QjyP")</f>
        <v>https://xhslink.com/m/59BXqi1QjyP</v>
      </c>
      <c r="D415"/>
      <c r="E415">
        <v>5166</v>
      </c>
      <c r="F415">
        <v>2.99</v>
      </c>
      <c r="G415"/>
      <c r="H415">
        <v>100</v>
      </c>
      <c r="I415"/>
      <c r="J415"/>
      <c r="K415" t="inlineStr">
        <is>
          <t>大学资料</t>
        </is>
      </c>
      <c r="L415"/>
      <c r="M415" t="inlineStr">
        <is>
          <t>锦鲤考研全国所有大学专业录取信息的店</t>
        </is>
      </c>
      <c r="N415">
        <v>2430</v>
      </c>
      <c r="O415">
        <v>3.74</v>
      </c>
      <c r="P415">
        <v>6342</v>
      </c>
      <c r="Q415" t="inlineStr">
        <is>
          <t>67b2e36329b9f70001d66ea9</t>
        </is>
      </c>
      <c r="R415"/>
      <c r="S415" t="inlineStr">
        <is>
          <t>考研资料</t>
        </is>
      </c>
      <c r="T415" t="inlineStr">
        <is>
          <t>2.13</t>
        </is>
      </c>
      <c r="U415" s="3">
        <v>46112.78107638889</v>
      </c>
      <c r="V415" t="inlineStr">
        <is>
          <t>虚拟产品</t>
        </is>
      </c>
      <c r="W415" s="3">
        <v>46031</v>
      </c>
      <c r="X415" t="inlineStr">
        <is>
          <t>01</t>
        </is>
      </c>
      <c r="Y415" t="inlineStr">
        <is>
          <t>2026-Q1</t>
        </is>
      </c>
    </row>
    <row r="416" ht="38.25" customHeight="1">
      <c r="A416" t="inlineStr">
        <is>
          <t>大学生实习日志，一个编号一份（手机短信自动发）</t>
        </is>
      </c>
      <c r="B416" t="inlineStr">
        <is>
          <t>recv7P2RIwONHv.jpg</t>
        </is>
      </c>
      <c r="C416" s="2" t="str">
        <f>=HYPERLINK("https://xhslink.com/m/8FuuEZCvnEp", "https://xhslink.com/m/8FuuEZCvnEp")</f>
        <v>https://xhslink.com/m/8FuuEZCvnEp</v>
      </c>
      <c r="D416"/>
      <c r="E416">
        <v>4782</v>
      </c>
      <c r="F416">
        <v>10</v>
      </c>
      <c r="G416"/>
      <c r="H416">
        <v>150</v>
      </c>
      <c r="I416"/>
      <c r="J416"/>
      <c r="K416" t="inlineStr">
        <is>
          <t>大学资料</t>
        </is>
      </c>
      <c r="L416"/>
      <c r="M416" t="inlineStr">
        <is>
          <t>兔子学姐123的店</t>
        </is>
      </c>
      <c r="N416">
        <v>5193</v>
      </c>
      <c r="O416">
        <v>4.06</v>
      </c>
      <c r="P416">
        <v>23000</v>
      </c>
      <c r="Q416" t="inlineStr">
        <is>
          <t>66f6c757b3c3990001218fa4</t>
        </is>
      </c>
      <c r="R416"/>
      <c r="S416" t="inlineStr">
        <is>
          <t>求职面试/职场</t>
        </is>
      </c>
      <c r="T416" t="inlineStr">
        <is>
          <t>0.92</t>
        </is>
      </c>
      <c r="U416" s="3">
        <v>46112.78107638889</v>
      </c>
      <c r="V416" t="inlineStr">
        <is>
          <t>虚拟产品</t>
        </is>
      </c>
      <c r="W416" s="3">
        <v>46031</v>
      </c>
      <c r="X416" t="inlineStr">
        <is>
          <t>01</t>
        </is>
      </c>
      <c r="Y416" t="inlineStr">
        <is>
          <t>2026-Q1</t>
        </is>
      </c>
    </row>
    <row r="417" ht="38.25" customHeight="1">
      <c r="A417" t="inlineStr">
        <is>
          <t>102 懒羊羊大学生职业生涯规划书PPT模板</t>
        </is>
      </c>
      <c r="B417" t="inlineStr">
        <is>
          <t>recv7P2RIwjr1g.jpg</t>
        </is>
      </c>
      <c r="C417" s="2" t="str">
        <f>=HYPERLINK("https://xhslink.com/m/9S1Php7Rn1K", "https://xhslink.com/m/9S1Php7Rn1K")</f>
        <v>https://xhslink.com/m/9S1Php7Rn1K</v>
      </c>
      <c r="D417"/>
      <c r="E417">
        <v>4148</v>
      </c>
      <c r="F417">
        <v>2.19</v>
      </c>
      <c r="G417"/>
      <c r="H417">
        <v>150</v>
      </c>
      <c r="I417"/>
      <c r="J417"/>
      <c r="K417" t="inlineStr">
        <is>
          <t>大学资料</t>
        </is>
      </c>
      <c r="L417"/>
      <c r="M417" t="inlineStr">
        <is>
          <t>柒柒PPT设计的店</t>
        </is>
      </c>
      <c r="N417">
        <v>4850</v>
      </c>
      <c r="O417">
        <v>4.56</v>
      </c>
      <c r="P417">
        <v>40000</v>
      </c>
      <c r="Q417" t="inlineStr">
        <is>
          <t>673868f04f0ec7000195caec</t>
        </is>
      </c>
      <c r="R417"/>
      <c r="S417" t="inlineStr">
        <is>
          <t>PPT模板</t>
        </is>
      </c>
      <c r="T417" t="inlineStr">
        <is>
          <t>0.86</t>
        </is>
      </c>
      <c r="U417" s="3">
        <v>46112.78107638889</v>
      </c>
      <c r="V417" t="inlineStr">
        <is>
          <t>虚拟产品</t>
        </is>
      </c>
      <c r="W417" s="3">
        <v>46031</v>
      </c>
      <c r="X417" t="inlineStr">
        <is>
          <t>01</t>
        </is>
      </c>
      <c r="Y417" t="inlineStr">
        <is>
          <t>2026-Q1</t>
        </is>
      </c>
    </row>
    <row r="418" ht="38.25" customHeight="1">
      <c r="A418" t="inlineStr">
        <is>
          <t>大学生研究生国家奖学金十佳三好学生PPT模板</t>
        </is>
      </c>
      <c r="B418" t="inlineStr">
        <is>
          <t>recv7P2RIwPWuw.jpg</t>
        </is>
      </c>
      <c r="C418" s="2" t="str">
        <f>=HYPERLINK("https://xhslink.com/m/rkQh2AwHu5", "https://xhslink.com/m/rkQh2AwHu5")</f>
        <v>https://xhslink.com/m/rkQh2AwHu5</v>
      </c>
      <c r="D418"/>
      <c r="E418">
        <v>3911</v>
      </c>
      <c r="F418">
        <v>1.88</v>
      </c>
      <c r="G418"/>
      <c r="H418">
        <v>150</v>
      </c>
      <c r="I418"/>
      <c r="J418"/>
      <c r="K418" t="inlineStr">
        <is>
          <t>大学资料</t>
        </is>
      </c>
      <c r="L418"/>
      <c r="M418" t="inlineStr">
        <is>
          <t>赵小小的店</t>
        </is>
      </c>
      <c r="N418">
        <v>4349</v>
      </c>
      <c r="O418">
        <v>4.72</v>
      </c>
      <c r="P418">
        <v>49000</v>
      </c>
      <c r="Q418" t="inlineStr">
        <is>
          <t>67a9f0a543e42a00013d969e</t>
        </is>
      </c>
      <c r="R418" t="inlineStr">
        <is>
          <t>🚫重复</t>
        </is>
      </c>
      <c r="S418" t="inlineStr">
        <is>
          <t>PPT模板</t>
        </is>
      </c>
      <c r="T418" t="inlineStr">
        <is>
          <t>0.90</t>
        </is>
      </c>
      <c r="U418" s="3">
        <v>46112.78107638889</v>
      </c>
      <c r="V418" t="inlineStr">
        <is>
          <t>虚拟产品</t>
        </is>
      </c>
      <c r="W418" s="3">
        <v>46031</v>
      </c>
      <c r="X418" t="inlineStr">
        <is>
          <t>01</t>
        </is>
      </c>
      <c r="Y418" t="inlineStr">
        <is>
          <t>2026-Q1</t>
        </is>
      </c>
    </row>
    <row r="419" ht="38.25" customHeight="1">
      <c r="A419" t="inlineStr">
        <is>
          <t>大学生职业生涯规划书《word》完整版电子文档可编辑</t>
        </is>
      </c>
      <c r="B419" t="inlineStr">
        <is>
          <t>recv7P2RIwj4if.jpg</t>
        </is>
      </c>
      <c r="C419" s="2" t="str">
        <f>=HYPERLINK("https://xhslink.com/m/7pE7dpxYkmh", "https://xhslink.com/m/7pE7dpxYkmh")</f>
        <v>https://xhslink.com/m/7pE7dpxYkmh</v>
      </c>
      <c r="D419"/>
      <c r="E419">
        <v>3793</v>
      </c>
      <c r="F419">
        <v>9.9</v>
      </c>
      <c r="G419"/>
      <c r="H419">
        <v>300</v>
      </c>
      <c r="I419"/>
      <c r="J419"/>
      <c r="K419" t="inlineStr">
        <is>
          <t>大学资料</t>
        </is>
      </c>
      <c r="L419"/>
      <c r="M419" t="inlineStr">
        <is>
          <t>洋洋学姐🧚（规划书）的店</t>
        </is>
      </c>
      <c r="N419">
        <v>10000</v>
      </c>
      <c r="O419">
        <v>4.08</v>
      </c>
      <c r="P419">
        <v>5012</v>
      </c>
      <c r="Q419" t="inlineStr">
        <is>
          <t>690a4760cdf9d600012518ac</t>
        </is>
      </c>
      <c r="R419" t="inlineStr">
        <is>
          <t>🚫重复</t>
        </is>
      </c>
      <c r="S419" t="inlineStr">
        <is>
          <t>求职面试/职场</t>
        </is>
      </c>
      <c r="T419" t="inlineStr">
        <is>
          <t>0.38</t>
        </is>
      </c>
      <c r="U419" s="3">
        <v>46112.78107638889</v>
      </c>
      <c r="V419" t="inlineStr">
        <is>
          <t>虚拟产品</t>
        </is>
      </c>
      <c r="W419" s="3">
        <v>46031</v>
      </c>
      <c r="X419" t="inlineStr">
        <is>
          <t>01</t>
        </is>
      </c>
      <c r="Y419" t="inlineStr">
        <is>
          <t>2026-Q1</t>
        </is>
      </c>
    </row>
    <row r="420" ht="38.25" customHeight="1">
      <c r="A420" t="inlineStr">
        <is>
          <t>2025热门求职简历模板word电子版 大学生应届毕业生面试可编辑</t>
        </is>
      </c>
      <c r="B420" t="inlineStr">
        <is>
          <t>recv7P2RIwm2AR.jpg</t>
        </is>
      </c>
      <c r="C420" s="2" t="str">
        <f>=HYPERLINK("https://xhslink.com/m/855HvnDkMGC", "https://xhslink.com/m/855HvnDkMGC")</f>
        <v>https://xhslink.com/m/855HvnDkMGC</v>
      </c>
      <c r="D420"/>
      <c r="E420">
        <v>3777</v>
      </c>
      <c r="F420">
        <v>0.99</v>
      </c>
      <c r="G420"/>
      <c r="H420">
        <v>550</v>
      </c>
      <c r="I420"/>
      <c r="J420"/>
      <c r="K420" t="inlineStr">
        <is>
          <t>大学资料</t>
        </is>
      </c>
      <c r="L420" t="inlineStr">
        <is>
          <t>🔥低粉爆款</t>
        </is>
      </c>
      <c r="M420" t="inlineStr">
        <is>
          <t>树小姐资料库的店</t>
        </is>
      </c>
      <c r="N420">
        <v>887</v>
      </c>
      <c r="O420">
        <v>4.12</v>
      </c>
      <c r="P420">
        <v>7509</v>
      </c>
      <c r="Q420" t="inlineStr">
        <is>
          <t>682036e2944ad80001e97713</t>
        </is>
      </c>
      <c r="R420"/>
      <c r="S420" t="inlineStr">
        <is>
          <t>求职面试/职场</t>
        </is>
      </c>
      <c r="T420" t="inlineStr">
        <is>
          <t>4.26</t>
        </is>
      </c>
      <c r="U420" s="3">
        <v>46112.78107638889</v>
      </c>
      <c r="V420" t="inlineStr">
        <is>
          <t>虚拟产品</t>
        </is>
      </c>
      <c r="W420" s="3">
        <v>46031</v>
      </c>
      <c r="X420" t="inlineStr">
        <is>
          <t>01</t>
        </is>
      </c>
      <c r="Y420" t="inlineStr">
        <is>
          <t>2026-Q1</t>
        </is>
      </c>
    </row>
    <row r="421" ht="38.25" customHeight="1">
      <c r="A421" t="inlineStr">
        <is>
          <t>新版大学英语六级真题PDF版（1990年-2025年6月）</t>
        </is>
      </c>
      <c r="B421" t="inlineStr">
        <is>
          <t>recv7P2RIwYLj8.jpg</t>
        </is>
      </c>
      <c r="C421" s="2" t="str">
        <f>=HYPERLINK("https://xhslink.com/m/6PeKtHQQYzA", "https://xhslink.com/m/6PeKtHQQYzA")</f>
        <v>https://xhslink.com/m/6PeKtHQQYzA</v>
      </c>
      <c r="D421"/>
      <c r="E421">
        <v>3448</v>
      </c>
      <c r="F421">
        <v>0.9</v>
      </c>
      <c r="G421"/>
      <c r="H421">
        <v>350</v>
      </c>
      <c r="I421"/>
      <c r="J421"/>
      <c r="K421" t="inlineStr">
        <is>
          <t>大学资料</t>
        </is>
      </c>
      <c r="L421" t="inlineStr">
        <is>
          <t>🔥低粉爆款</t>
        </is>
      </c>
      <c r="M421" t="inlineStr">
        <is>
          <t>毛毛牙泡泡糖泡泡的店</t>
        </is>
      </c>
      <c r="N421">
        <v>373</v>
      </c>
      <c r="O421">
        <v>4.01</v>
      </c>
      <c r="P421">
        <v>3816</v>
      </c>
      <c r="Q421" t="inlineStr">
        <is>
          <t>67cf91e0f2389c0001af5d08</t>
        </is>
      </c>
      <c r="R421"/>
      <c r="S421" t="inlineStr">
        <is>
          <t>英语资料</t>
        </is>
      </c>
      <c r="T421" t="inlineStr">
        <is>
          <t>9.24</t>
        </is>
      </c>
      <c r="U421" s="3">
        <v>46112.78107638889</v>
      </c>
      <c r="V421" t="inlineStr">
        <is>
          <t>虚拟产品</t>
        </is>
      </c>
      <c r="W421" s="3">
        <v>46031</v>
      </c>
      <c r="X421" t="inlineStr">
        <is>
          <t>01</t>
        </is>
      </c>
      <c r="Y421" t="inlineStr">
        <is>
          <t>2026-Q1</t>
        </is>
      </c>
    </row>
    <row r="422" ht="38.25" customHeight="1">
      <c r="A422" t="inlineStr">
        <is>
          <t>2025大学生职业规划PPT模板PDFWORD素材包成长赛道电子版成品</t>
        </is>
      </c>
      <c r="B422" t="inlineStr">
        <is>
          <t>recv7P2RIwJY4F.jpg</t>
        </is>
      </c>
      <c r="C422" s="2" t="str">
        <f>=HYPERLINK("https://xhslink.com/m/67q78vD9SVu", "https://xhslink.com/m/67q78vD9SVu")</f>
        <v>https://xhslink.com/m/67q78vD9SVu</v>
      </c>
      <c r="D422"/>
      <c r="E422">
        <v>2607</v>
      </c>
      <c r="F422">
        <v>0.1</v>
      </c>
      <c r="G422"/>
      <c r="H422">
        <v>2000</v>
      </c>
      <c r="I422"/>
      <c r="J422"/>
      <c r="K422" t="inlineStr">
        <is>
          <t>大学资料</t>
        </is>
      </c>
      <c r="L422"/>
      <c r="M422" t="inlineStr">
        <is>
          <t>大王老师文化工作室的店</t>
        </is>
      </c>
      <c r="N422">
        <v>1015</v>
      </c>
      <c r="O422">
        <v>4.74</v>
      </c>
      <c r="P422">
        <v>48000</v>
      </c>
      <c r="Q422" t="inlineStr">
        <is>
          <t>69157868cba79f0001c085c6</t>
        </is>
      </c>
      <c r="R422" t="inlineStr">
        <is>
          <t>🚫重复</t>
        </is>
      </c>
      <c r="S422" t="inlineStr">
        <is>
          <t>PPT模板</t>
        </is>
      </c>
      <c r="T422" t="inlineStr">
        <is>
          <t>2.57</t>
        </is>
      </c>
      <c r="U422" s="3">
        <v>46112.78107638889</v>
      </c>
      <c r="V422" t="inlineStr">
        <is>
          <t>虚拟产品</t>
        </is>
      </c>
      <c r="W422" s="3">
        <v>46031</v>
      </c>
      <c r="X422" t="inlineStr">
        <is>
          <t>01</t>
        </is>
      </c>
      <c r="Y422" t="inlineStr">
        <is>
          <t>2026-Q1</t>
        </is>
      </c>
    </row>
    <row r="423" ht="38.25" customHeight="1">
      <c r="A423" t="inlineStr">
        <is>
          <t>资料编号0001-0099</t>
        </is>
      </c>
      <c r="B423" t="inlineStr">
        <is>
          <t>recv7P2RIw5GkJ.jpg</t>
        </is>
      </c>
      <c r="C423" s="2" t="str">
        <f>=HYPERLINK("https://xhslink.com/m/6Iyg3s9QQhu", "https://xhslink.com/m/6Iyg3s9QQhu")</f>
        <v>https://xhslink.com/m/6Iyg3s9QQhu</v>
      </c>
      <c r="D423"/>
      <c r="E423">
        <v>2705</v>
      </c>
      <c r="F423">
        <v>1.9</v>
      </c>
      <c r="G423"/>
      <c r="H423">
        <v>250</v>
      </c>
      <c r="I423"/>
      <c r="J423"/>
      <c r="K423" t="inlineStr">
        <is>
          <t>大学资料</t>
        </is>
      </c>
      <c r="L423" t="inlineStr">
        <is>
          <t>🔥低粉爆款</t>
        </is>
      </c>
      <c r="M423" t="inlineStr">
        <is>
          <t>嘻嘻资源的店</t>
        </is>
      </c>
      <c r="N423">
        <v>124</v>
      </c>
      <c r="O423">
        <v>3.96</v>
      </c>
      <c r="P423">
        <v>2982</v>
      </c>
      <c r="Q423" t="inlineStr">
        <is>
          <t>69354e0751b8c00001e7a0d1</t>
        </is>
      </c>
      <c r="R423"/>
      <c r="S423" t="inlineStr">
        <is>
          <t>大学资料</t>
        </is>
      </c>
      <c r="T423" t="inlineStr">
        <is>
          <t>21.81</t>
        </is>
      </c>
      <c r="U423" s="3">
        <v>46112.78107638889</v>
      </c>
      <c r="V423" t="inlineStr">
        <is>
          <t>虚拟产品</t>
        </is>
      </c>
      <c r="W423" s="3">
        <v>46031</v>
      </c>
      <c r="X423" t="inlineStr">
        <is>
          <t>01</t>
        </is>
      </c>
      <c r="Y423" t="inlineStr">
        <is>
          <t>2026-Q1</t>
        </is>
      </c>
    </row>
    <row r="424" ht="38.25" customHeight="1">
      <c r="A424" t="inlineStr">
        <is>
          <t>25年12月大学英语四六级CET46高频1000单词写作模板PDF电子版</t>
        </is>
      </c>
      <c r="B424" t="inlineStr">
        <is>
          <t>recv7P2RIwwnt2.jpg</t>
        </is>
      </c>
      <c r="C424" s="2" t="str">
        <f>=HYPERLINK("https://xhslink.com/m/1c06NG3l6pQ", "https://xhslink.com/m/1c06NG3l6pQ")</f>
        <v>https://xhslink.com/m/1c06NG3l6pQ</v>
      </c>
      <c r="D424"/>
      <c r="E424">
        <v>2464</v>
      </c>
      <c r="F424">
        <v>0.99</v>
      </c>
      <c r="G424"/>
      <c r="H424">
        <v>2000</v>
      </c>
      <c r="I424"/>
      <c r="J424"/>
      <c r="K424" t="inlineStr">
        <is>
          <t>大学资料</t>
        </is>
      </c>
      <c r="L424" t="inlineStr">
        <is>
          <t>🔥低粉爆款</t>
        </is>
      </c>
      <c r="M424" t="inlineStr">
        <is>
          <t>星蝶学姐的店</t>
        </is>
      </c>
      <c r="N424">
        <v>218</v>
      </c>
      <c r="O424">
        <v>4.14</v>
      </c>
      <c r="P424">
        <v>4376</v>
      </c>
      <c r="Q424" t="inlineStr">
        <is>
          <t>691c1f0b14b5260001b4a451</t>
        </is>
      </c>
      <c r="R424" t="inlineStr">
        <is>
          <t>🚫重复</t>
        </is>
      </c>
      <c r="S424" t="inlineStr">
        <is>
          <t>英语资料</t>
        </is>
      </c>
      <c r="T424" t="inlineStr">
        <is>
          <t>11.30</t>
        </is>
      </c>
      <c r="U424" s="3">
        <v>46112.78107638889</v>
      </c>
      <c r="V424" t="inlineStr">
        <is>
          <t>虚拟产品</t>
        </is>
      </c>
      <c r="W424" s="3">
        <v>46031</v>
      </c>
      <c r="X424" t="inlineStr">
        <is>
          <t>01</t>
        </is>
      </c>
      <c r="Y424" t="inlineStr">
        <is>
          <t>2026-Q1</t>
        </is>
      </c>
    </row>
    <row r="425" ht="38.25" customHeight="1">
      <c r="A425" t="inlineStr">
        <is>
          <t>999套大学生求职电子简历保研考研自我介绍简历三无大学生简历</t>
        </is>
      </c>
      <c r="B425" t="inlineStr">
        <is>
          <t>recv7P2RIwpWUG.jpg</t>
        </is>
      </c>
      <c r="C425" s="2" t="str">
        <f>=HYPERLINK("https://xhslink.com/m/8KdLVGdIKQ4", "https://xhslink.com/m/8KdLVGdIKQ4")</f>
        <v>https://xhslink.com/m/8KdLVGdIKQ4</v>
      </c>
      <c r="D425"/>
      <c r="E425">
        <v>2367</v>
      </c>
      <c r="F425">
        <v>0.98</v>
      </c>
      <c r="G425"/>
      <c r="H425">
        <v>250</v>
      </c>
      <c r="I425"/>
      <c r="J425"/>
      <c r="K425" t="inlineStr">
        <is>
          <t>大学资料</t>
        </is>
      </c>
      <c r="L425"/>
      <c r="M425" t="inlineStr">
        <is>
          <t>赵小小的店</t>
        </is>
      </c>
      <c r="N425">
        <v>4349</v>
      </c>
      <c r="O425">
        <v>4.72</v>
      </c>
      <c r="P425">
        <v>49000</v>
      </c>
      <c r="Q425" t="inlineStr">
        <is>
          <t>6804293892ada4000114121a</t>
        </is>
      </c>
      <c r="R425" t="inlineStr">
        <is>
          <t>🚫重复</t>
        </is>
      </c>
      <c r="S425" t="inlineStr">
        <is>
          <t>求职面试/职场</t>
        </is>
      </c>
      <c r="T425" t="inlineStr">
        <is>
          <t>0.54</t>
        </is>
      </c>
      <c r="U425" s="3">
        <v>46112.78107638889</v>
      </c>
      <c r="V425" t="inlineStr">
        <is>
          <t>虚拟产品</t>
        </is>
      </c>
      <c r="W425" s="3">
        <v>46031</v>
      </c>
      <c r="X425" t="inlineStr">
        <is>
          <t>01</t>
        </is>
      </c>
      <c r="Y425" t="inlineStr">
        <is>
          <t>2026-Q1</t>
        </is>
      </c>
    </row>
    <row r="426" ht="38.25" customHeight="1">
      <c r="A426" t="inlineStr">
        <is>
          <t>河南专升本历年真题公共英语/高数/语文/教心/法学/经济/生理病理</t>
        </is>
      </c>
      <c r="B426" t="inlineStr">
        <is>
          <t>recv7P2RIwEKoJ.jpg</t>
        </is>
      </c>
      <c r="C426" s="2" t="str">
        <f>=HYPERLINK("https://xhslink.com/m/AaKNESOmgRI", "https://xhslink.com/m/AaKNESOmgRI")</f>
        <v>https://xhslink.com/m/AaKNESOmgRI</v>
      </c>
      <c r="D426"/>
      <c r="E426">
        <v>2305</v>
      </c>
      <c r="F426">
        <v>3.98</v>
      </c>
      <c r="G426"/>
      <c r="H426">
        <v>300</v>
      </c>
      <c r="I426"/>
      <c r="J426"/>
      <c r="K426" t="inlineStr">
        <is>
          <t>大学资料</t>
        </is>
      </c>
      <c r="L426"/>
      <c r="M426" t="inlineStr">
        <is>
          <t>文行文化的店</t>
        </is>
      </c>
      <c r="N426">
        <v>1322</v>
      </c>
      <c r="O426">
        <v>4.54</v>
      </c>
      <c r="P426">
        <v>8835</v>
      </c>
      <c r="Q426" t="inlineStr">
        <is>
          <t>6842b306c2008600017a4d33</t>
        </is>
      </c>
      <c r="R426"/>
      <c r="S426" t="inlineStr">
        <is>
          <t>大学资料</t>
        </is>
      </c>
      <c r="T426" t="inlineStr">
        <is>
          <t>1.74</t>
        </is>
      </c>
      <c r="U426" s="3">
        <v>46112.78107638889</v>
      </c>
      <c r="V426" t="inlineStr">
        <is>
          <t>虚拟产品</t>
        </is>
      </c>
      <c r="W426" s="3">
        <v>46031</v>
      </c>
      <c r="X426" t="inlineStr">
        <is>
          <t>01</t>
        </is>
      </c>
      <c r="Y426" t="inlineStr">
        <is>
          <t>2026-Q1</t>
        </is>
      </c>
    </row>
    <row r="427" ht="38.25" customHeight="1">
      <c r="A427" t="inlineStr">
        <is>
          <t>2026年学士学位英语刷题app题库真题各省都有题库刷题软件app</t>
        </is>
      </c>
      <c r="B427" t="inlineStr">
        <is>
          <t>recv7P2RIwrc4x.jpg</t>
        </is>
      </c>
      <c r="C427" s="2" t="str">
        <f>=HYPERLINK("https://xhslink.com/m/7HppwQBl99K", "https://xhslink.com/m/7HppwQBl99K")</f>
        <v>https://xhslink.com/m/7HppwQBl99K</v>
      </c>
      <c r="D427"/>
      <c r="E427">
        <v>2125</v>
      </c>
      <c r="F427">
        <v>35</v>
      </c>
      <c r="G427"/>
      <c r="H427">
        <v>95</v>
      </c>
      <c r="I427"/>
      <c r="J427"/>
      <c r="K427" t="inlineStr">
        <is>
          <t>大学资料</t>
        </is>
      </c>
      <c r="L427"/>
      <c r="M427" t="inlineStr">
        <is>
          <t>考证小能手的店</t>
        </is>
      </c>
      <c r="N427">
        <v>6148</v>
      </c>
      <c r="O427">
        <v>3.95</v>
      </c>
      <c r="P427">
        <v>41000</v>
      </c>
      <c r="Q427" t="inlineStr">
        <is>
          <t>67e67d71bf527d0001fb0314</t>
        </is>
      </c>
      <c r="R427"/>
      <c r="S427" t="inlineStr">
        <is>
          <t>软件应用</t>
        </is>
      </c>
      <c r="T427" t="inlineStr">
        <is>
          <t>0.35</t>
        </is>
      </c>
      <c r="U427" s="3">
        <v>46112.78107638889</v>
      </c>
      <c r="V427" t="inlineStr">
        <is>
          <t>虚拟产品</t>
        </is>
      </c>
      <c r="W427" s="3">
        <v>46031</v>
      </c>
      <c r="X427" t="inlineStr">
        <is>
          <t>01</t>
        </is>
      </c>
      <c r="Y427" t="inlineStr">
        <is>
          <t>2026-Q1</t>
        </is>
      </c>
    </row>
    <row r="428" ht="38.25" customHeight="1">
      <c r="A428" t="inlineStr">
        <is>
          <t>新标准大学英语第三版智慧版视听说1234u校园答案pdf综合1234答案</t>
        </is>
      </c>
      <c r="B428" t="inlineStr">
        <is>
          <t>recv7P2RIwGn5K.jpg</t>
        </is>
      </c>
      <c r="C428" s="2" t="str">
        <f>=HYPERLINK("https://xhslink.com/m/2TRU2Iz8orW", "https://xhslink.com/m/2TRU2Iz8orW")</f>
        <v>https://xhslink.com/m/2TRU2Iz8orW</v>
      </c>
      <c r="D428"/>
      <c r="E428">
        <v>2228</v>
      </c>
      <c r="F428">
        <v>6.5</v>
      </c>
      <c r="G428"/>
      <c r="H428">
        <v>500</v>
      </c>
      <c r="I428"/>
      <c r="J428"/>
      <c r="K428" t="inlineStr">
        <is>
          <t>大学资料</t>
        </is>
      </c>
      <c r="L428"/>
      <c r="M428" t="inlineStr">
        <is>
          <t>Jessie杰西的店</t>
        </is>
      </c>
      <c r="N428">
        <v>2097</v>
      </c>
      <c r="O428">
        <v>4.41</v>
      </c>
      <c r="P428">
        <v>20000</v>
      </c>
      <c r="Q428" t="inlineStr">
        <is>
          <t>69325c13a4503a000119e7ba</t>
        </is>
      </c>
      <c r="R428"/>
      <c r="S428" t="inlineStr">
        <is>
          <t>大学资料</t>
        </is>
      </c>
      <c r="T428" t="inlineStr">
        <is>
          <t>1.06</t>
        </is>
      </c>
      <c r="U428" s="3">
        <v>46112.78107638889</v>
      </c>
      <c r="V428" t="inlineStr">
        <is>
          <t>虚拟产品</t>
        </is>
      </c>
      <c r="W428" s="3">
        <v>46031</v>
      </c>
      <c r="X428" t="inlineStr">
        <is>
          <t>01</t>
        </is>
      </c>
      <c r="Y428" t="inlineStr">
        <is>
          <t>2026-Q1</t>
        </is>
      </c>
    </row>
    <row r="429" ht="38.25" customHeight="1">
      <c r="A429" t="inlineStr">
        <is>
          <t>大学生职业生涯规划PPT 送配套规划书pdf/word 含内容 选编号下单</t>
        </is>
      </c>
      <c r="B429" t="inlineStr">
        <is>
          <t>recv7P2RIwGm5N.jpg</t>
        </is>
      </c>
      <c r="C429" s="2" t="str">
        <f>=HYPERLINK("https://xhslink.com/m/65Zb7sZpxd8", "https://xhslink.com/m/65Zb7sZpxd8")</f>
        <v>https://xhslink.com/m/65Zb7sZpxd8</v>
      </c>
      <c r="D429"/>
      <c r="E429">
        <v>2065</v>
      </c>
      <c r="F429">
        <v>4.99</v>
      </c>
      <c r="G429"/>
      <c r="H429">
        <v>600</v>
      </c>
      <c r="I429"/>
      <c r="J429"/>
      <c r="K429" t="inlineStr">
        <is>
          <t>大学资料</t>
        </is>
      </c>
      <c r="L429"/>
      <c r="M429" t="inlineStr">
        <is>
          <t>麦子小姐ppt的店</t>
        </is>
      </c>
      <c r="N429">
        <v>23000</v>
      </c>
      <c r="O429">
        <v>4.5</v>
      </c>
      <c r="P429">
        <v>80000</v>
      </c>
      <c r="Q429" t="inlineStr">
        <is>
          <t>68f7c1537d3b3f0001648b53</t>
        </is>
      </c>
      <c r="R429" t="inlineStr">
        <is>
          <t>🚫重复</t>
        </is>
      </c>
      <c r="S429" t="inlineStr">
        <is>
          <t>PPT模板</t>
        </is>
      </c>
      <c r="T429" t="inlineStr">
        <is>
          <t>0.09</t>
        </is>
      </c>
      <c r="U429" s="3">
        <v>46112.78107638889</v>
      </c>
      <c r="V429" t="inlineStr">
        <is>
          <t>虚拟产品</t>
        </is>
      </c>
      <c r="W429" s="3">
        <v>46031</v>
      </c>
      <c r="X429" t="inlineStr">
        <is>
          <t>01</t>
        </is>
      </c>
      <c r="Y429" t="inlineStr">
        <is>
          <t>2026-Q1</t>
        </is>
      </c>
    </row>
    <row r="430" ht="38.25" customHeight="1">
      <c r="A430" t="inlineStr">
        <is>
          <t>备考2025年12月大学英语四级六级四六级历年真题试卷电子版PDF</t>
        </is>
      </c>
      <c r="B430" t="inlineStr">
        <is>
          <t>recv7P2RIwnzRc.jpg</t>
        </is>
      </c>
      <c r="C430" s="2" t="str">
        <f>=HYPERLINK("https://xhslink.com/m/Afc96eiqYoN", "https://xhslink.com/m/Afc96eiqYoN")</f>
        <v>https://xhslink.com/m/Afc96eiqYoN</v>
      </c>
      <c r="D430"/>
      <c r="E430">
        <v>2000</v>
      </c>
      <c r="F430">
        <v>0.99</v>
      </c>
      <c r="G430"/>
      <c r="H430">
        <v>100</v>
      </c>
      <c r="I430"/>
      <c r="J430"/>
      <c r="K430" t="inlineStr">
        <is>
          <t>大学资料</t>
        </is>
      </c>
      <c r="L430"/>
      <c r="M430" t="inlineStr">
        <is>
          <t>四月的独处的店</t>
        </is>
      </c>
      <c r="N430">
        <v>7462</v>
      </c>
      <c r="O430">
        <v>4.01</v>
      </c>
      <c r="P430">
        <v>10000</v>
      </c>
      <c r="Q430" t="inlineStr">
        <is>
          <t>6615242bcf047100018dab35</t>
        </is>
      </c>
      <c r="R430"/>
      <c r="S430" t="inlineStr">
        <is>
          <t>英语资料</t>
        </is>
      </c>
      <c r="T430" t="inlineStr">
        <is>
          <t>0.27</t>
        </is>
      </c>
      <c r="U430" s="3">
        <v>46112.78107638889</v>
      </c>
      <c r="V430" t="inlineStr">
        <is>
          <t>虚拟产品</t>
        </is>
      </c>
      <c r="W430" s="3">
        <v>46031</v>
      </c>
      <c r="X430" t="inlineStr">
        <is>
          <t>01</t>
        </is>
      </c>
      <c r="Y430" t="inlineStr">
        <is>
          <t>2026-Q1</t>
        </is>
      </c>
    </row>
    <row r="431" ht="38.25" customHeight="1">
      <c r="A431" t="inlineStr">
        <is>
          <t>大学生职业生涯规划成品PPT02（人工发货请发ppt截图给客服）</t>
        </is>
      </c>
      <c r="B431" t="inlineStr">
        <is>
          <t>recv7P2RIwWiWf.jpg</t>
        </is>
      </c>
      <c r="C431" s="2" t="str">
        <f>=HYPERLINK("https://xhslink.com/m/1cwYziysF1L", "https://xhslink.com/m/1cwYziysF1L")</f>
        <v>https://xhslink.com/m/1cwYziysF1L</v>
      </c>
      <c r="D431"/>
      <c r="E431">
        <v>1928</v>
      </c>
      <c r="F431">
        <v>6.9</v>
      </c>
      <c r="G431"/>
      <c r="H431">
        <v>600</v>
      </c>
      <c r="I431"/>
      <c r="J431"/>
      <c r="K431" t="inlineStr">
        <is>
          <t>大学资料</t>
        </is>
      </c>
      <c r="L431"/>
      <c r="M431" t="inlineStr">
        <is>
          <t>一叶PPT的店</t>
        </is>
      </c>
      <c r="N431">
        <v>2779</v>
      </c>
      <c r="O431">
        <v>4.69</v>
      </c>
      <c r="P431">
        <v>17000</v>
      </c>
      <c r="Q431" t="inlineStr">
        <is>
          <t>66600d368a3a06000164ae0d</t>
        </is>
      </c>
      <c r="R431"/>
      <c r="S431" t="inlineStr">
        <is>
          <t>PPT模板</t>
        </is>
      </c>
      <c r="T431" t="inlineStr">
        <is>
          <t>0.69</t>
        </is>
      </c>
      <c r="U431" s="3">
        <v>46112.78107638889</v>
      </c>
      <c r="V431" t="inlineStr">
        <is>
          <t>虚拟产品</t>
        </is>
      </c>
      <c r="W431" s="3">
        <v>46031</v>
      </c>
      <c r="X431" t="inlineStr">
        <is>
          <t>01</t>
        </is>
      </c>
      <c r="Y431" t="inlineStr">
        <is>
          <t>2026-Q1</t>
        </is>
      </c>
    </row>
    <row r="432" ht="38.25" customHeight="1">
      <c r="A432" t="inlineStr">
        <is>
          <t>高中高三高考总复习知识解题技巧归纳总结教程资料提分课程重点</t>
        </is>
      </c>
      <c r="B432" t="inlineStr">
        <is>
          <t>recv7RwzBw6Fkp.jpg</t>
        </is>
      </c>
      <c r="C432" s="2" t="str">
        <f>=HYPERLINK("https://xhslink.com/m/5XGuFeFETch", "https://xhslink.com/m/5XGuFeFETch")</f>
        <v>https://xhslink.com/m/5XGuFeFETch</v>
      </c>
      <c r="D432"/>
      <c r="E432">
        <v>17000</v>
      </c>
      <c r="F432">
        <v>9.8</v>
      </c>
      <c r="G432"/>
      <c r="H432">
        <v>400</v>
      </c>
      <c r="I432"/>
      <c r="J432"/>
      <c r="K432" t="inlineStr">
        <is>
          <t>高中资料</t>
        </is>
      </c>
      <c r="L432"/>
      <c r="M432" t="inlineStr">
        <is>
          <t>发发的高中资料库的店</t>
        </is>
      </c>
      <c r="N432">
        <v>16000</v>
      </c>
      <c r="O432">
        <v>4.44</v>
      </c>
      <c r="P432">
        <v>50000</v>
      </c>
      <c r="Q432" t="inlineStr">
        <is>
          <t>6607d2b65c3c5a000156f286</t>
        </is>
      </c>
      <c r="R432" t="inlineStr">
        <is>
          <t>🚫重复</t>
        </is>
      </c>
      <c r="S432" t="inlineStr">
        <is>
          <t>高中/高考资料</t>
        </is>
      </c>
      <c r="T432" t="inlineStr">
        <is>
          <t>1.06</t>
        </is>
      </c>
      <c r="U432" s="3">
        <v>46112.78107638889</v>
      </c>
      <c r="V432" t="inlineStr">
        <is>
          <t>虚拟产品</t>
        </is>
      </c>
      <c r="W432" s="3">
        <v>46032</v>
      </c>
      <c r="X432" t="inlineStr">
        <is>
          <t>01</t>
        </is>
      </c>
      <c r="Y432" t="inlineStr">
        <is>
          <t>2026-Q1</t>
        </is>
      </c>
    </row>
    <row r="433" ht="38.25" customHeight="1">
      <c r="A433" t="inlineStr">
        <is>
          <t>半小书 · 2026高中黄夫人物理/佟大大数学&amp;送免费视频录播课+单独答案解析</t>
        </is>
      </c>
      <c r="B433" t="inlineStr">
        <is>
          <t>recv7RwHF2vZXo.jpg</t>
        </is>
      </c>
      <c r="C433" s="2" t="str">
        <f>=HYPERLINK("https://xhslink.com/m/5pZ9Y7E86dt", "https://xhslink.com/m/5pZ9Y7E86dt")</f>
        <v>https://xhslink.com/m/5pZ9Y7E86dt</v>
      </c>
      <c r="D433"/>
      <c r="E433">
        <v>14000</v>
      </c>
      <c r="F433">
        <v>65</v>
      </c>
      <c r="G433"/>
      <c r="H433">
        <v>350</v>
      </c>
      <c r="I433"/>
      <c r="J433"/>
      <c r="K433" t="inlineStr">
        <is>
          <t>高中资料</t>
        </is>
      </c>
      <c r="L433"/>
      <c r="M433" t="inlineStr">
        <is>
          <t>半小书旗舰店</t>
        </is>
      </c>
      <c r="N433">
        <v>24000</v>
      </c>
      <c r="O433">
        <v>4.64</v>
      </c>
      <c r="P433">
        <v>43000</v>
      </c>
      <c r="Q433" t="inlineStr">
        <is>
          <t>64e56f2c040ca60001a5b272</t>
        </is>
      </c>
      <c r="R433" t="inlineStr">
        <is>
          <t>🚫重复</t>
        </is>
      </c>
      <c r="S433" t="inlineStr">
        <is>
          <t>高中/高考资料</t>
        </is>
      </c>
      <c r="T433" t="inlineStr">
        <is>
          <t>0.58</t>
        </is>
      </c>
      <c r="U433" s="3">
        <v>46112.78107638889</v>
      </c>
      <c r="V433" t="inlineStr">
        <is>
          <t>虚拟产品</t>
        </is>
      </c>
      <c r="W433" s="3">
        <v>46032</v>
      </c>
      <c r="X433" t="inlineStr">
        <is>
          <t>01</t>
        </is>
      </c>
      <c r="Y433" t="inlineStr">
        <is>
          <t>2026-Q1</t>
        </is>
      </c>
    </row>
    <row r="434" ht="38.25" customHeight="1">
      <c r="A434" t="inlineStr">
        <is>
          <t>（初中/高中）英语教资面试/笔试（逐字稿+知识点+思维导图）PDF</t>
        </is>
      </c>
      <c r="B434" t="inlineStr">
        <is>
          <t>recv7RwHF2GLyU.jpg</t>
        </is>
      </c>
      <c r="C434" s="2" t="str">
        <f>=HYPERLINK("https://xhslink.com/m/5k7h4YKEm9X", "https://xhslink.com/m/5k7h4YKEm9X")</f>
        <v>https://xhslink.com/m/5k7h4YKEm9X</v>
      </c>
      <c r="D434"/>
      <c r="E434">
        <v>12000</v>
      </c>
      <c r="F434">
        <v>19.9</v>
      </c>
      <c r="G434"/>
      <c r="H434">
        <v>2000</v>
      </c>
      <c r="I434"/>
      <c r="J434"/>
      <c r="K434" t="inlineStr">
        <is>
          <t>高中资料</t>
        </is>
      </c>
      <c r="L434"/>
      <c r="M434" t="inlineStr">
        <is>
          <t>藕泥没有酱（教资＋MTI🍀）的店</t>
        </is>
      </c>
      <c r="N434">
        <v>50000</v>
      </c>
      <c r="O434">
        <v>4.6</v>
      </c>
      <c r="P434">
        <v>14000</v>
      </c>
      <c r="Q434" t="inlineStr">
        <is>
          <t>6612bcf188aa5c0001e81c4e</t>
        </is>
      </c>
      <c r="R434" t="inlineStr">
        <is>
          <t>🚫重复</t>
        </is>
      </c>
      <c r="S434" t="inlineStr">
        <is>
          <t>教资资料</t>
        </is>
      </c>
      <c r="T434" t="inlineStr">
        <is>
          <t>0.24</t>
        </is>
      </c>
      <c r="U434" s="3">
        <v>46112.78107638889</v>
      </c>
      <c r="V434" t="inlineStr">
        <is>
          <t>虚拟产品</t>
        </is>
      </c>
      <c r="W434" s="3">
        <v>46032</v>
      </c>
      <c r="X434" t="inlineStr">
        <is>
          <t>01</t>
        </is>
      </c>
      <c r="Y434" t="inlineStr">
        <is>
          <t>2026-Q1</t>
        </is>
      </c>
    </row>
    <row r="435" ht="38.25" customHeight="1">
      <c r="A435" t="inlineStr">
        <is>
          <t>新人教版教资用高中各科语数英物理化学生物历史政治地理教案学案</t>
        </is>
      </c>
      <c r="B435" t="inlineStr">
        <is>
          <t>recv7RwHF2P9Wf.jpg</t>
        </is>
      </c>
      <c r="C435" s="2" t="str">
        <f>=HYPERLINK("https://xhslink.com/m/6QsLtcDsjVm", "https://xhslink.com/m/6QsLtcDsjVm")</f>
        <v>https://xhslink.com/m/6QsLtcDsjVm</v>
      </c>
      <c r="D435"/>
      <c r="E435">
        <v>12000</v>
      </c>
      <c r="F435">
        <v>6.8</v>
      </c>
      <c r="G435"/>
      <c r="H435">
        <v>300</v>
      </c>
      <c r="I435"/>
      <c r="J435"/>
      <c r="K435" t="inlineStr">
        <is>
          <t>高中资料</t>
        </is>
      </c>
      <c r="L435"/>
      <c r="M435" t="inlineStr">
        <is>
          <t>佛系的曾老师的店</t>
        </is>
      </c>
      <c r="N435">
        <v>6296</v>
      </c>
      <c r="O435">
        <v>4.06</v>
      </c>
      <c r="P435">
        <v>27000</v>
      </c>
      <c r="Q435" t="inlineStr">
        <is>
          <t>6688a3b1d2166e00017fe8cd</t>
        </is>
      </c>
      <c r="R435" t="inlineStr">
        <is>
          <t>🚫重复</t>
        </is>
      </c>
      <c r="S435" t="inlineStr">
        <is>
          <t>教资资料</t>
        </is>
      </c>
      <c r="T435" t="inlineStr">
        <is>
          <t>1.91</t>
        </is>
      </c>
      <c r="U435" s="3">
        <v>46112.78107638889</v>
      </c>
      <c r="V435" t="inlineStr">
        <is>
          <t>虚拟产品</t>
        </is>
      </c>
      <c r="W435" s="3">
        <v>46032</v>
      </c>
      <c r="X435" t="inlineStr">
        <is>
          <t>01</t>
        </is>
      </c>
      <c r="Y435" t="inlineStr">
        <is>
          <t>2026-Q1</t>
        </is>
      </c>
    </row>
    <row r="436" ht="38.25" customHeight="1">
      <c r="A436" t="inlineStr">
        <is>
          <t>人教版高中语文数学英语物化生政史地知识点总结电子版Word素材</t>
        </is>
      </c>
      <c r="B436" t="inlineStr">
        <is>
          <t>recv7RwHF2GIlr.jpg</t>
        </is>
      </c>
      <c r="C436" s="2" t="str">
        <f>=HYPERLINK("https://xhslink.com/m/6kPhkBMya6J", "https://xhslink.com/m/6kPhkBMya6J")</f>
        <v>https://xhslink.com/m/6kPhkBMya6J</v>
      </c>
      <c r="D436"/>
      <c r="E436">
        <v>11000</v>
      </c>
      <c r="F436">
        <v>4.9</v>
      </c>
      <c r="G436"/>
      <c r="H436">
        <v>400</v>
      </c>
      <c r="I436"/>
      <c r="J436"/>
      <c r="K436" t="inlineStr">
        <is>
          <t>高中资料</t>
        </is>
      </c>
      <c r="L436"/>
      <c r="M436" t="inlineStr">
        <is>
          <t>高分资料库的店</t>
        </is>
      </c>
      <c r="N436">
        <v>8697</v>
      </c>
      <c r="O436">
        <v>4.44</v>
      </c>
      <c r="P436">
        <v>29000</v>
      </c>
      <c r="Q436" t="inlineStr">
        <is>
          <t>671281b5fe85310001094a2b</t>
        </is>
      </c>
      <c r="R436" t="inlineStr">
        <is>
          <t>🚫重复</t>
        </is>
      </c>
      <c r="S436" t="inlineStr">
        <is>
          <t>高中/高考资料</t>
        </is>
      </c>
      <c r="T436" t="inlineStr">
        <is>
          <t>1.26</t>
        </is>
      </c>
      <c r="U436" s="3">
        <v>46112.78107638889</v>
      </c>
      <c r="V436" t="inlineStr">
        <is>
          <t>虚拟产品</t>
        </is>
      </c>
      <c r="W436" s="3">
        <v>46032</v>
      </c>
      <c r="X436" t="inlineStr">
        <is>
          <t>01</t>
        </is>
      </c>
      <c r="Y436" t="inlineStr">
        <is>
          <t>2026-Q1</t>
        </is>
      </c>
    </row>
    <row r="437" ht="38.25" customHeight="1">
      <c r="A437" t="inlineStr">
        <is>
          <t>电子版资料领取点这里</t>
        </is>
      </c>
      <c r="B437" t="inlineStr">
        <is>
          <t>recv7RwHF2ISvY.jpg</t>
        </is>
      </c>
      <c r="C437" s="2" t="str">
        <f>=HYPERLINK("https://xhslink.com/m/3fNO9FPtUrL", "https://xhslink.com/m/3fNO9FPtUrL")</f>
        <v>https://xhslink.com/m/3fNO9FPtUrL</v>
      </c>
      <c r="D437"/>
      <c r="E437">
        <v>10000</v>
      </c>
      <c r="F437">
        <v>0.1</v>
      </c>
      <c r="G437"/>
      <c r="H437">
        <v>200</v>
      </c>
      <c r="I437"/>
      <c r="J437"/>
      <c r="K437" t="inlineStr">
        <is>
          <t>高中资料</t>
        </is>
      </c>
      <c r="L437"/>
      <c r="M437" t="inlineStr">
        <is>
          <t>上海百德教育的店</t>
        </is>
      </c>
      <c r="N437">
        <v>3826</v>
      </c>
      <c r="O437">
        <v>4.04</v>
      </c>
      <c r="P437">
        <v>37000</v>
      </c>
      <c r="Q437" t="inlineStr">
        <is>
          <t>67fe366eec137400012deeb3</t>
        </is>
      </c>
      <c r="R437" t="inlineStr">
        <is>
          <t>🚫重复</t>
        </is>
      </c>
      <c r="S437" t="inlineStr">
        <is>
          <t>中小学教辅/教材</t>
        </is>
      </c>
      <c r="T437" t="inlineStr">
        <is>
          <t>2.61</t>
        </is>
      </c>
      <c r="U437" s="3">
        <v>46112.78107638889</v>
      </c>
      <c r="V437" t="inlineStr">
        <is>
          <t>虚拟产品</t>
        </is>
      </c>
      <c r="W437" s="3">
        <v>46032</v>
      </c>
      <c r="X437" t="inlineStr">
        <is>
          <t>01</t>
        </is>
      </c>
      <c r="Y437" t="inlineStr">
        <is>
          <t>2026-Q1</t>
        </is>
      </c>
    </row>
    <row r="438" ht="38.25" customHeight="1">
      <c r="A438" t="inlineStr">
        <is>
          <t>领取电子版资料点这里哦</t>
        </is>
      </c>
      <c r="B438" t="inlineStr">
        <is>
          <t>recv7RwHF291R8.jpg</t>
        </is>
      </c>
      <c r="C438" s="2" t="str">
        <f>=HYPERLINK("https://xhslink.com/m/7qglMOdv2D0", "https://xhslink.com/m/7qglMOdv2D0")</f>
        <v>https://xhslink.com/m/7qglMOdv2D0</v>
      </c>
      <c r="D438"/>
      <c r="E438">
        <v>9701</v>
      </c>
      <c r="F438">
        <v>0.1</v>
      </c>
      <c r="G438"/>
      <c r="H438">
        <v>900</v>
      </c>
      <c r="I438"/>
      <c r="J438"/>
      <c r="K438" t="inlineStr">
        <is>
          <t>高中资料</t>
        </is>
      </c>
      <c r="L438"/>
      <c r="M438" t="inlineStr">
        <is>
          <t>上海百德教育的店</t>
        </is>
      </c>
      <c r="N438">
        <v>3826</v>
      </c>
      <c r="O438">
        <v>4.04</v>
      </c>
      <c r="P438">
        <v>37000</v>
      </c>
      <c r="Q438" t="inlineStr">
        <is>
          <t>67fe36a04167bc00012ad4f6</t>
        </is>
      </c>
      <c r="R438" t="inlineStr">
        <is>
          <t>🚫重复</t>
        </is>
      </c>
      <c r="S438" t="inlineStr">
        <is>
          <t>无匹配类别</t>
        </is>
      </c>
      <c r="T438" t="inlineStr">
        <is>
          <t>2.54</t>
        </is>
      </c>
      <c r="U438" s="3">
        <v>46112.78107638889</v>
      </c>
      <c r="V438" t="inlineStr">
        <is>
          <t>虚拟产品</t>
        </is>
      </c>
      <c r="W438" s="3">
        <v>46032</v>
      </c>
      <c r="X438" t="inlineStr">
        <is>
          <t>01</t>
        </is>
      </c>
      <c r="Y438" t="inlineStr">
        <is>
          <t>2026-Q1</t>
        </is>
      </c>
    </row>
    <row r="439" ht="38.25" customHeight="1">
      <c r="A439" t="inlineStr">
        <is>
          <t>2025年高考语文数学英语物理化学历史地理政治真题分类汇编电子版</t>
        </is>
      </c>
      <c r="B439" t="inlineStr">
        <is>
          <t>recv7RwHF2wU1M.jpg</t>
        </is>
      </c>
      <c r="C439" s="2" t="str">
        <f>=HYPERLINK("https://xhslink.com/m/1o2wC7M98FA", "https://xhslink.com/m/1o2wC7M98FA")</f>
        <v>https://xhslink.com/m/1o2wC7M98FA</v>
      </c>
      <c r="D439"/>
      <c r="E439">
        <v>7118</v>
      </c>
      <c r="F439">
        <v>8.8</v>
      </c>
      <c r="G439"/>
      <c r="H439">
        <v>150</v>
      </c>
      <c r="I439"/>
      <c r="J439"/>
      <c r="K439" t="inlineStr">
        <is>
          <t>高中资料</t>
        </is>
      </c>
      <c r="L439"/>
      <c r="M439" t="inlineStr">
        <is>
          <t>发发的高中资料库的店</t>
        </is>
      </c>
      <c r="N439">
        <v>16000</v>
      </c>
      <c r="O439">
        <v>4.44</v>
      </c>
      <c r="P439">
        <v>50000</v>
      </c>
      <c r="Q439" t="inlineStr">
        <is>
          <t>678f061e96b36c0001e78434</t>
        </is>
      </c>
      <c r="R439" t="inlineStr">
        <is>
          <t>🚫重复</t>
        </is>
      </c>
      <c r="S439" t="inlineStr">
        <is>
          <t>高中/高考资料</t>
        </is>
      </c>
      <c r="T439" t="inlineStr">
        <is>
          <t>0.44</t>
        </is>
      </c>
      <c r="U439" s="3">
        <v>46112.78107638889</v>
      </c>
      <c r="V439" t="inlineStr">
        <is>
          <t>虚拟产品</t>
        </is>
      </c>
      <c r="W439" s="3">
        <v>46032</v>
      </c>
      <c r="X439" t="inlineStr">
        <is>
          <t>01</t>
        </is>
      </c>
      <c r="Y439" t="inlineStr">
        <is>
          <t>2026-Q1</t>
        </is>
      </c>
    </row>
    <row r="440" ht="38.25" customHeight="1">
      <c r="A440" t="inlineStr">
        <is>
          <t>华理社 · 【现货】初中英语时文阅读提分训练3+X 小升初 789年级 中考</t>
        </is>
      </c>
      <c r="B440" t="inlineStr">
        <is>
          <t>recv7RwHF2XiJH.jpg</t>
        </is>
      </c>
      <c r="C440" s="2" t="str">
        <f>=HYPERLINK("https://xhslink.com/m/5jHbyY8UKrm", "https://xhslink.com/m/5jHbyY8UKrm")</f>
        <v>https://xhslink.com/m/5jHbyY8UKrm</v>
      </c>
      <c r="D440"/>
      <c r="E440">
        <v>6692</v>
      </c>
      <c r="F440">
        <v>39</v>
      </c>
      <c r="G440"/>
      <c r="H440">
        <v>250</v>
      </c>
      <c r="I440"/>
      <c r="J440"/>
      <c r="K440" t="inlineStr">
        <is>
          <t>高中资料</t>
        </is>
      </c>
      <c r="L440"/>
      <c r="M440" t="inlineStr">
        <is>
          <t>华理社旗舰店</t>
        </is>
      </c>
      <c r="N440">
        <v>14000</v>
      </c>
      <c r="O440">
        <v>4.77</v>
      </c>
      <c r="P440">
        <v>44000</v>
      </c>
      <c r="Q440" t="inlineStr">
        <is>
          <t>683eb7734bb02800018ee9be</t>
        </is>
      </c>
      <c r="R440" t="inlineStr">
        <is>
          <t>🚫重复</t>
        </is>
      </c>
      <c r="S440" t="inlineStr">
        <is>
          <t>中小学教辅/教材</t>
        </is>
      </c>
      <c r="T440" t="inlineStr">
        <is>
          <t>0.48</t>
        </is>
      </c>
      <c r="U440" s="3">
        <v>46112.78107638889</v>
      </c>
      <c r="V440" t="inlineStr">
        <is>
          <t>虚拟产品</t>
        </is>
      </c>
      <c r="W440" s="3">
        <v>46032</v>
      </c>
      <c r="X440" t="inlineStr">
        <is>
          <t>01</t>
        </is>
      </c>
      <c r="Y440" t="inlineStr">
        <is>
          <t>2026-Q1</t>
        </is>
      </c>
    </row>
    <row r="441" ht="38.25" customHeight="1">
      <c r="A441" t="inlineStr">
        <is>
          <t>初高中主题班会课件|持续更新</t>
        </is>
      </c>
      <c r="B441" t="inlineStr">
        <is>
          <t>recv7RwHF2qhBI.jpg</t>
        </is>
      </c>
      <c r="C441" s="2" t="str">
        <f>=HYPERLINK("https://xhslink.com/m/2YGYoeFp0X7", "https://xhslink.com/m/2YGYoeFp0X7")</f>
        <v>https://xhslink.com/m/2YGYoeFp0X7</v>
      </c>
      <c r="D441"/>
      <c r="E441">
        <v>5852</v>
      </c>
      <c r="F441">
        <v>8.8</v>
      </c>
      <c r="G441"/>
      <c r="H441">
        <v>950</v>
      </c>
      <c r="I441"/>
      <c r="J441"/>
      <c r="K441" t="inlineStr">
        <is>
          <t>高中资料</t>
        </is>
      </c>
      <c r="L441" t="inlineStr">
        <is>
          <t>🔥低粉爆款</t>
        </is>
      </c>
      <c r="M441" t="inlineStr">
        <is>
          <t>Amy老师的资料库的店</t>
        </is>
      </c>
      <c r="N441">
        <v>1472</v>
      </c>
      <c r="O441">
        <v>4.49</v>
      </c>
      <c r="P441">
        <v>12000</v>
      </c>
      <c r="Q441" t="inlineStr">
        <is>
          <t>6934ea7bbf023300019e09a1</t>
        </is>
      </c>
      <c r="R441" t="inlineStr">
        <is>
          <t>🚫重复</t>
        </is>
      </c>
      <c r="S441" t="inlineStr">
        <is>
          <t>中小学教辅/教材</t>
        </is>
      </c>
      <c r="T441" t="inlineStr">
        <is>
          <t>3.98</t>
        </is>
      </c>
      <c r="U441" s="3">
        <v>46112.78107638889</v>
      </c>
      <c r="V441" t="inlineStr">
        <is>
          <t>虚拟产品</t>
        </is>
      </c>
      <c r="W441" s="3">
        <v>46032</v>
      </c>
      <c r="X441" t="inlineStr">
        <is>
          <t>01</t>
        </is>
      </c>
      <c r="Y441" t="inlineStr">
        <is>
          <t>2026-Q1</t>
        </is>
      </c>
    </row>
    <row r="442" ht="38.25" customHeight="1">
      <c r="A442" t="inlineStr">
        <is>
          <t>DOU DOU SHU WU · 2026新版小豆同学秒记政史地物化生语数英高中答题模板知识点复习</t>
        </is>
      </c>
      <c r="B442" t="inlineStr">
        <is>
          <t>recv7RwHF2BTcu.jpg</t>
        </is>
      </c>
      <c r="C442" s="2" t="str">
        <f>=HYPERLINK("https://xhslink.com/m/18xdYmBuVjV", "https://xhslink.com/m/18xdYmBuVjV")</f>
        <v>https://xhslink.com/m/18xdYmBuVjV</v>
      </c>
      <c r="D442"/>
      <c r="E442">
        <v>5282</v>
      </c>
      <c r="F442">
        <v>49.8</v>
      </c>
      <c r="G442"/>
      <c r="H442">
        <v>750</v>
      </c>
      <c r="I442"/>
      <c r="J442"/>
      <c r="K442" t="inlineStr">
        <is>
          <t>高中资料</t>
        </is>
      </c>
      <c r="L442"/>
      <c r="M442" t="inlineStr">
        <is>
          <t>豆豆书屋图书旗舰店</t>
        </is>
      </c>
      <c r="N442">
        <v>5561</v>
      </c>
      <c r="O442">
        <v>4.53</v>
      </c>
      <c r="P442">
        <v>15000</v>
      </c>
      <c r="Q442" t="inlineStr">
        <is>
          <t>68dfa3c853446d0001ce73ff</t>
        </is>
      </c>
      <c r="R442" t="inlineStr">
        <is>
          <t>🚫重复</t>
        </is>
      </c>
      <c r="S442" t="inlineStr">
        <is>
          <t>高中/高考资料</t>
        </is>
      </c>
      <c r="T442" t="inlineStr">
        <is>
          <t>0.95</t>
        </is>
      </c>
      <c r="U442" s="3">
        <v>46112.78107638889</v>
      </c>
      <c r="V442" t="inlineStr">
        <is>
          <t>虚拟产品</t>
        </is>
      </c>
      <c r="W442" s="3">
        <v>46032</v>
      </c>
      <c r="X442" t="inlineStr">
        <is>
          <t>01</t>
        </is>
      </c>
      <c r="Y442" t="inlineStr">
        <is>
          <t>2026-Q1</t>
        </is>
      </c>
    </row>
    <row r="443" ht="38.25" customHeight="1">
      <c r="A443" t="inlineStr">
        <is>
          <t>2008～2025全国历年高考真题语文数学英语物理化学生物历史地理政</t>
        </is>
      </c>
      <c r="B443" t="inlineStr">
        <is>
          <t>recv7RwHF2pluQ.jpg</t>
        </is>
      </c>
      <c r="C443" s="2" t="str">
        <f>=HYPERLINK("https://xhslink.com/m/9tf4wx5L8CL", "https://xhslink.com/m/9tf4wx5L8CL")</f>
        <v>https://xhslink.com/m/9tf4wx5L8CL</v>
      </c>
      <c r="D443"/>
      <c r="E443">
        <v>5392</v>
      </c>
      <c r="F443">
        <v>3.88</v>
      </c>
      <c r="G443"/>
      <c r="H443">
        <v>150</v>
      </c>
      <c r="I443"/>
      <c r="J443"/>
      <c r="K443" t="inlineStr">
        <is>
          <t>高中资料</t>
        </is>
      </c>
      <c r="L443" t="inlineStr">
        <is>
          <t>🔥低粉爆款</t>
        </is>
      </c>
      <c r="M443" t="inlineStr">
        <is>
          <t>李老师宝藏资料的店</t>
        </is>
      </c>
      <c r="N443">
        <v>1618</v>
      </c>
      <c r="O443">
        <v>3.54</v>
      </c>
      <c r="P443">
        <v>10000</v>
      </c>
      <c r="Q443" t="inlineStr">
        <is>
          <t>67f0d5ba5d35ce000195bff9</t>
        </is>
      </c>
      <c r="R443" t="inlineStr">
        <is>
          <t>🚫重复</t>
        </is>
      </c>
      <c r="S443" t="inlineStr">
        <is>
          <t>高中/高考资料</t>
        </is>
      </c>
      <c r="T443" t="inlineStr">
        <is>
          <t>3.33</t>
        </is>
      </c>
      <c r="U443" s="3">
        <v>46112.78107638889</v>
      </c>
      <c r="V443" t="inlineStr">
        <is>
          <t>虚拟产品</t>
        </is>
      </c>
      <c r="W443" s="3">
        <v>46032</v>
      </c>
      <c r="X443" t="inlineStr">
        <is>
          <t>01</t>
        </is>
      </c>
      <c r="Y443" t="inlineStr">
        <is>
          <t>2026-Q1</t>
        </is>
      </c>
    </row>
    <row r="444" ht="38.25" customHeight="1">
      <c r="A444" t="inlineStr">
        <is>
          <t>人教版部编版高中语文数学英语物理化学生物政治历史说课稿电子版</t>
        </is>
      </c>
      <c r="B444" t="inlineStr">
        <is>
          <t>recv7RwHF29cnZ.jpg</t>
        </is>
      </c>
      <c r="C444" s="2" t="str">
        <f>=HYPERLINK("https://xhslink.com/m/8IGsTWiwlrY", "https://xhslink.com/m/8IGsTWiwlrY")</f>
        <v>https://xhslink.com/m/8IGsTWiwlrY</v>
      </c>
      <c r="D444"/>
      <c r="E444">
        <v>4835</v>
      </c>
      <c r="F444">
        <v>9.9</v>
      </c>
      <c r="G444"/>
      <c r="H444">
        <v>200</v>
      </c>
      <c r="I444"/>
      <c r="J444"/>
      <c r="K444" t="inlineStr">
        <is>
          <t>高中资料</t>
        </is>
      </c>
      <c r="L444"/>
      <c r="M444" t="inlineStr">
        <is>
          <t>佛系的曾老师的店</t>
        </is>
      </c>
      <c r="N444">
        <v>6296</v>
      </c>
      <c r="O444">
        <v>4.06</v>
      </c>
      <c r="P444">
        <v>27000</v>
      </c>
      <c r="Q444" t="inlineStr">
        <is>
          <t>6896cecf4daa7100018a6502</t>
        </is>
      </c>
      <c r="R444" t="inlineStr">
        <is>
          <t>🚫重复</t>
        </is>
      </c>
      <c r="S444" t="inlineStr">
        <is>
          <t>高中/高考资料</t>
        </is>
      </c>
      <c r="T444" t="inlineStr">
        <is>
          <t>0.77</t>
        </is>
      </c>
      <c r="U444" s="3">
        <v>46112.78107638889</v>
      </c>
      <c r="V444" t="inlineStr">
        <is>
          <t>虚拟产品</t>
        </is>
      </c>
      <c r="W444" s="3">
        <v>46032</v>
      </c>
      <c r="X444" t="inlineStr">
        <is>
          <t>01</t>
        </is>
      </c>
      <c r="Y444" t="inlineStr">
        <is>
          <t>2026-Q1</t>
        </is>
      </c>
    </row>
    <row r="445" ht="38.25" customHeight="1">
      <c r="A445" t="inlineStr">
        <is>
          <t>简历模板个人求职大学生无经验应届生面试word电子版简历999套</t>
        </is>
      </c>
      <c r="B445" t="inlineStr">
        <is>
          <t>recv7RwHF2qOtH.jpg</t>
        </is>
      </c>
      <c r="C445" s="2" t="str">
        <f>=HYPERLINK("https://xhslink.com/m/6qy8NweQKMW", "https://xhslink.com/m/6qy8NweQKMW")</f>
        <v>https://xhslink.com/m/6qy8NweQKMW</v>
      </c>
      <c r="D445"/>
      <c r="E445">
        <v>84000</v>
      </c>
      <c r="F445">
        <v>0.88</v>
      </c>
      <c r="G445"/>
      <c r="H445">
        <v>250</v>
      </c>
      <c r="I445"/>
      <c r="J445"/>
      <c r="K445" t="inlineStr">
        <is>
          <t>电子版</t>
        </is>
      </c>
      <c r="L445" t="inlineStr">
        <is>
          <t>🔥低粉爆款</t>
        </is>
      </c>
      <c r="M445" t="inlineStr">
        <is>
          <t>小轩素材的店</t>
        </is>
      </c>
      <c r="N445">
        <v>25000</v>
      </c>
      <c r="O445">
        <v>4.72</v>
      </c>
      <c r="P445">
        <v>308000</v>
      </c>
      <c r="Q445" t="inlineStr">
        <is>
          <t>664eb4b103fea400012c668b</t>
        </is>
      </c>
      <c r="R445" t="inlineStr">
        <is>
          <t>🚫重复</t>
        </is>
      </c>
      <c r="S445" t="inlineStr">
        <is>
          <t>求职面试/职场</t>
        </is>
      </c>
      <c r="T445" t="inlineStr">
        <is>
          <t>3.36</t>
        </is>
      </c>
      <c r="U445" s="3">
        <v>46112.78107638889</v>
      </c>
      <c r="V445" t="inlineStr">
        <is>
          <t>虚拟产品</t>
        </is>
      </c>
      <c r="W445" s="3">
        <v>46032</v>
      </c>
      <c r="X445" t="inlineStr">
        <is>
          <t>01</t>
        </is>
      </c>
      <c r="Y445" t="inlineStr">
        <is>
          <t>2026-Q1</t>
        </is>
      </c>
    </row>
    <row r="446" ht="38.25" customHeight="1">
      <c r="A446" t="inlineStr">
        <is>
          <t>华图 · 时政热点汇总+时政模拟题 2025国考省考 25年持续更新</t>
        </is>
      </c>
      <c r="B446" t="inlineStr">
        <is>
          <t>recv7RwHF2Cnge.jpg</t>
        </is>
      </c>
      <c r="C446" s="2" t="str">
        <f>=HYPERLINK("https://xhslink.com/m/2qVsmIhHurk", "https://xhslink.com/m/2qVsmIhHurk")</f>
        <v>https://xhslink.com/m/2qVsmIhHurk</v>
      </c>
      <c r="D446"/>
      <c r="E446">
        <v>28000</v>
      </c>
      <c r="F446">
        <v>0.1</v>
      </c>
      <c r="G446"/>
      <c r="H446">
        <v>1500</v>
      </c>
      <c r="I446"/>
      <c r="J446"/>
      <c r="K446" t="inlineStr">
        <is>
          <t>电子版</t>
        </is>
      </c>
      <c r="L446"/>
      <c r="M446" t="inlineStr">
        <is>
          <t>华图网校旗舰店</t>
        </is>
      </c>
      <c r="N446">
        <v>161000</v>
      </c>
      <c r="O446">
        <v>3.87</v>
      </c>
      <c r="P446">
        <v>90000</v>
      </c>
      <c r="Q446" t="inlineStr">
        <is>
          <t>6682948ec8f3fa0001d61959</t>
        </is>
      </c>
      <c r="R446" t="inlineStr">
        <is>
          <t>🚫重复</t>
        </is>
      </c>
      <c r="S446" t="inlineStr">
        <is>
          <t>考公资料</t>
        </is>
      </c>
      <c r="T446" t="inlineStr">
        <is>
          <t>0.17</t>
        </is>
      </c>
      <c r="U446" s="3">
        <v>46112.78107638889</v>
      </c>
      <c r="V446" t="inlineStr">
        <is>
          <t>虚拟产品</t>
        </is>
      </c>
      <c r="W446" s="3">
        <v>46032</v>
      </c>
      <c r="X446" t="inlineStr">
        <is>
          <t>01</t>
        </is>
      </c>
      <c r="Y446" t="inlineStr">
        <is>
          <t>2026-Q1</t>
        </is>
      </c>
    </row>
    <row r="447" ht="38.25" customHeight="1">
      <c r="A447" t="inlineStr">
        <is>
          <t>【电子版】家庭教育工具包｜家庭积分本学习规划学霸资料育儿合集</t>
        </is>
      </c>
      <c r="B447" t="inlineStr">
        <is>
          <t>recv7RwHF2K2pf.jpg</t>
        </is>
      </c>
      <c r="C447" s="2" t="str">
        <f>=HYPERLINK("https://xhslink.com/m/4RIL91Q0aUj", "https://xhslink.com/m/4RIL91Q0aUj")</f>
        <v>https://xhslink.com/m/4RIL91Q0aUj</v>
      </c>
      <c r="D447"/>
      <c r="E447">
        <v>15000</v>
      </c>
      <c r="F447">
        <v>19.8</v>
      </c>
      <c r="G447"/>
      <c r="H447">
        <v>350</v>
      </c>
      <c r="I447"/>
      <c r="J447"/>
      <c r="K447" t="inlineStr">
        <is>
          <t>电子版</t>
        </is>
      </c>
      <c r="L447"/>
      <c r="M447" t="inlineStr">
        <is>
          <t>是小明妈妈呀的店</t>
        </is>
      </c>
      <c r="N447">
        <v>64000</v>
      </c>
      <c r="O447">
        <v>4.72</v>
      </c>
      <c r="P447">
        <v>51000</v>
      </c>
      <c r="Q447" t="inlineStr">
        <is>
          <t>65ec339949c39e0001ae3c12</t>
        </is>
      </c>
      <c r="R447"/>
      <c r="S447" t="inlineStr">
        <is>
          <t>生活成长</t>
        </is>
      </c>
      <c r="T447" t="inlineStr">
        <is>
          <t>0.23</t>
        </is>
      </c>
      <c r="U447" s="3">
        <v>46112.78107638889</v>
      </c>
      <c r="V447" t="inlineStr">
        <is>
          <t>虚拟产品</t>
        </is>
      </c>
      <c r="W447" s="3">
        <v>46032</v>
      </c>
      <c r="X447" t="inlineStr">
        <is>
          <t>01</t>
        </is>
      </c>
      <c r="Y447" t="inlineStr">
        <is>
          <t>2026-Q1</t>
        </is>
      </c>
    </row>
    <row r="448" ht="38.25" customHeight="1">
      <c r="A448" t="inlineStr">
        <is>
          <t>电子版资料卡【下单前看详情页】</t>
        </is>
      </c>
      <c r="B448" t="inlineStr">
        <is>
          <t>recv7RwHF2BSPf.jpg</t>
        </is>
      </c>
      <c r="C448" s="2" t="str">
        <f>=HYPERLINK("https://xhslink.com/m/8KPUxES430v", "https://xhslink.com/m/8KPUxES430v")</f>
        <v>https://xhslink.com/m/8KPUxES430v</v>
      </c>
      <c r="D448"/>
      <c r="E448">
        <v>15000</v>
      </c>
      <c r="F448">
        <v>1.49</v>
      </c>
      <c r="G448"/>
      <c r="H448">
        <v>1000</v>
      </c>
      <c r="I448"/>
      <c r="J448"/>
      <c r="K448" t="inlineStr">
        <is>
          <t>电子版</t>
        </is>
      </c>
      <c r="L448"/>
      <c r="M448" t="inlineStr">
        <is>
          <t>小南听说的店</t>
        </is>
      </c>
      <c r="N448">
        <v>49000</v>
      </c>
      <c r="O448">
        <v>3.76</v>
      </c>
      <c r="P448">
        <v>18000</v>
      </c>
      <c r="Q448" t="inlineStr">
        <is>
          <t>6944f3cd110a7f00012421d7</t>
        </is>
      </c>
      <c r="R448"/>
      <c r="S448" t="inlineStr">
        <is>
          <t>PPT模板</t>
        </is>
      </c>
      <c r="T448" t="inlineStr">
        <is>
          <t>0.31</t>
        </is>
      </c>
      <c r="U448" s="3">
        <v>46112.78107638889</v>
      </c>
      <c r="V448" t="inlineStr">
        <is>
          <t>虚拟产品</t>
        </is>
      </c>
      <c r="W448" s="3">
        <v>46032</v>
      </c>
      <c r="X448" t="inlineStr">
        <is>
          <t>01</t>
        </is>
      </c>
      <c r="Y448" t="inlineStr">
        <is>
          <t>2026-Q1</t>
        </is>
      </c>
    </row>
    <row r="449" ht="38.25" customHeight="1">
      <c r="A449" t="inlineStr">
        <is>
          <t>证件照换脸换衣服发型精修 修图 换底色改尺寸格式电子版</t>
        </is>
      </c>
      <c r="B449" t="inlineStr">
        <is>
          <t>recv7RwHF2rSyT.jpg</t>
        </is>
      </c>
      <c r="C449" s="2" t="str">
        <f>=HYPERLINK("https://xhslink.com/m/7tS4mSXrJMP", "https://xhslink.com/m/7tS4mSXrJMP")</f>
        <v>https://xhslink.com/m/7tS4mSXrJMP</v>
      </c>
      <c r="D449"/>
      <c r="E449">
        <v>14000</v>
      </c>
      <c r="F449">
        <v>3</v>
      </c>
      <c r="G449"/>
      <c r="H449">
        <v>550</v>
      </c>
      <c r="I449"/>
      <c r="J449"/>
      <c r="K449" t="inlineStr">
        <is>
          <t>电子版</t>
        </is>
      </c>
      <c r="L449"/>
      <c r="M449" t="inlineStr">
        <is>
          <t>静静修图师的店</t>
        </is>
      </c>
      <c r="N449">
        <v>5002</v>
      </c>
      <c r="O449">
        <v>4.22</v>
      </c>
      <c r="P449">
        <v>16000</v>
      </c>
      <c r="Q449" t="inlineStr">
        <is>
          <t>665b4d00fc13120001f2b0fb</t>
        </is>
      </c>
      <c r="R449"/>
      <c r="S449" t="inlineStr">
        <is>
          <t>设计素材</t>
        </is>
      </c>
      <c r="T449" t="inlineStr">
        <is>
          <t>2.80</t>
        </is>
      </c>
      <c r="U449" s="3">
        <v>46112.78107638889</v>
      </c>
      <c r="V449" t="inlineStr">
        <is>
          <t>虚拟产品</t>
        </is>
      </c>
      <c r="W449" s="3">
        <v>46032</v>
      </c>
      <c r="X449" t="inlineStr">
        <is>
          <t>01</t>
        </is>
      </c>
      <c r="Y449" t="inlineStr">
        <is>
          <t>2026-Q1</t>
        </is>
      </c>
    </row>
    <row r="450" ht="38.25" customHeight="1">
      <c r="A450" t="inlineStr">
        <is>
          <t>离婚协议书模板word电子版/有无子女/民政局离婚标准协议书范本</t>
        </is>
      </c>
      <c r="B450" t="inlineStr">
        <is>
          <t>recv7RwHF2TOzl.jpg</t>
        </is>
      </c>
      <c r="C450" s="2" t="str">
        <f>=HYPERLINK("https://xhslink.com/m/7rv2Z8wlRDH", "https://xhslink.com/m/7rv2Z8wlRDH")</f>
        <v>https://xhslink.com/m/7rv2Z8wlRDH</v>
      </c>
      <c r="D450"/>
      <c r="E450">
        <v>13000</v>
      </c>
      <c r="F450">
        <v>6.98</v>
      </c>
      <c r="G450"/>
      <c r="H450">
        <v>400</v>
      </c>
      <c r="I450"/>
      <c r="J450"/>
      <c r="K450" t="inlineStr">
        <is>
          <t>电子版</t>
        </is>
      </c>
      <c r="L450"/>
      <c r="M450" t="inlineStr">
        <is>
          <t>果果素材的店</t>
        </is>
      </c>
      <c r="N450">
        <v>6555</v>
      </c>
      <c r="O450">
        <v>3.98</v>
      </c>
      <c r="P450">
        <v>42000</v>
      </c>
      <c r="Q450" t="inlineStr">
        <is>
          <t>673d78b9bf5b24000192c96f</t>
        </is>
      </c>
      <c r="R450" t="inlineStr">
        <is>
          <t>🚫重复</t>
        </is>
      </c>
      <c r="S450" t="inlineStr">
        <is>
          <t>无匹配类别</t>
        </is>
      </c>
      <c r="T450" t="inlineStr">
        <is>
          <t>1.98</t>
        </is>
      </c>
      <c r="U450" s="3">
        <v>46112.78107638889</v>
      </c>
      <c r="V450" t="inlineStr">
        <is>
          <t>虚拟产品</t>
        </is>
      </c>
      <c r="W450" s="3">
        <v>46032</v>
      </c>
      <c r="X450" t="inlineStr">
        <is>
          <t>01</t>
        </is>
      </c>
      <c r="Y450" t="inlineStr">
        <is>
          <t>2026-Q1</t>
        </is>
      </c>
    </row>
    <row r="451" ht="38.25" customHeight="1">
      <c r="A451" t="inlineStr">
        <is>
          <t>电子稿【任选一款】发图片Jpg格式不快递</t>
        </is>
      </c>
      <c r="B451" t="inlineStr">
        <is>
          <t>recv7RwHF2Qn0C.jpg</t>
        </is>
      </c>
      <c r="C451" s="2" t="str">
        <f>=HYPERLINK("https://xhslink.com/m/3eoCRQVqZSn", "https://xhslink.com/m/3eoCRQVqZSn")</f>
        <v>https://xhslink.com/m/3eoCRQVqZSn</v>
      </c>
      <c r="D451"/>
      <c r="E451">
        <v>12000</v>
      </c>
      <c r="F451">
        <v>4.99</v>
      </c>
      <c r="G451"/>
      <c r="H451">
        <v>200</v>
      </c>
      <c r="I451"/>
      <c r="J451"/>
      <c r="K451" t="inlineStr">
        <is>
          <t>电子版</t>
        </is>
      </c>
      <c r="L451"/>
      <c r="M451" t="inlineStr">
        <is>
          <t>升升学画画的店</t>
        </is>
      </c>
      <c r="N451">
        <v>15000</v>
      </c>
      <c r="O451">
        <v>4.64</v>
      </c>
      <c r="P451">
        <v>15000</v>
      </c>
      <c r="Q451" t="inlineStr">
        <is>
          <t>66d5d47040e2bf00016b933c</t>
        </is>
      </c>
      <c r="R451"/>
      <c r="S451" t="inlineStr">
        <is>
          <t>设计素材</t>
        </is>
      </c>
      <c r="T451" t="inlineStr">
        <is>
          <t>0.80</t>
        </is>
      </c>
      <c r="U451" s="3">
        <v>46112.78107638889</v>
      </c>
      <c r="V451" t="inlineStr">
        <is>
          <t>虚拟产品</t>
        </is>
      </c>
      <c r="W451" s="3">
        <v>46032</v>
      </c>
      <c r="X451" t="inlineStr">
        <is>
          <t>01</t>
        </is>
      </c>
      <c r="Y451" t="inlineStr">
        <is>
          <t>2026-Q1</t>
        </is>
      </c>
    </row>
    <row r="452" ht="38.25" customHeight="1">
      <c r="A452" t="inlineStr">
        <is>
          <t>广东全省深圳证件照回执社保港澳护照通行证回执照片数字图像</t>
        </is>
      </c>
      <c r="B452" t="inlineStr">
        <is>
          <t>recv7RwHF2IlXk.jpg</t>
        </is>
      </c>
      <c r="C452" s="2" t="str">
        <f>=HYPERLINK("https://xhslink.com/m/5kjzo45B7hv", "https://xhslink.com/m/5kjzo45B7hv")</f>
        <v>https://xhslink.com/m/5kjzo45B7hv</v>
      </c>
      <c r="D452"/>
      <c r="E452">
        <v>12000</v>
      </c>
      <c r="F452">
        <v>10</v>
      </c>
      <c r="G452"/>
      <c r="H452">
        <v>350</v>
      </c>
      <c r="I452"/>
      <c r="J452"/>
      <c r="K452" t="inlineStr">
        <is>
          <t>电子版</t>
        </is>
      </c>
      <c r="L452"/>
      <c r="M452" t="inlineStr">
        <is>
          <t>美美修图的店</t>
        </is>
      </c>
      <c r="N452">
        <v>5154</v>
      </c>
      <c r="O452">
        <v>4.14</v>
      </c>
      <c r="P452">
        <v>31000</v>
      </c>
      <c r="Q452" t="inlineStr">
        <is>
          <t>67c55da0f2389c0001ec205e</t>
        </is>
      </c>
      <c r="R452" t="inlineStr">
        <is>
          <t>🚫重复</t>
        </is>
      </c>
      <c r="S452" t="inlineStr">
        <is>
          <t>设计素材</t>
        </is>
      </c>
      <c r="T452" t="inlineStr">
        <is>
          <t>2.33</t>
        </is>
      </c>
      <c r="U452" s="3">
        <v>46112.78107638889</v>
      </c>
      <c r="V452" t="inlineStr">
        <is>
          <t>虚拟产品</t>
        </is>
      </c>
      <c r="W452" s="3">
        <v>46032</v>
      </c>
      <c r="X452" t="inlineStr">
        <is>
          <t>01</t>
        </is>
      </c>
      <c r="Y452" t="inlineStr">
        <is>
          <t>2026-Q1</t>
        </is>
      </c>
    </row>
    <row r="453" ht="38.25" customHeight="1">
      <c r="A453" t="inlineStr">
        <is>
          <t>2025秋版 ‖ 语文重点知识课课帖【电子版】</t>
        </is>
      </c>
      <c r="B453" t="inlineStr">
        <is>
          <t>recv7RwHF2ttte.jpg</t>
        </is>
      </c>
      <c r="C453" s="2" t="str">
        <f>=HYPERLINK("https://xhslink.com/m/2doJ1t6AIrl", "https://xhslink.com/m/2doJ1t6AIrl")</f>
        <v>https://xhslink.com/m/2doJ1t6AIrl</v>
      </c>
      <c r="D453"/>
      <c r="E453">
        <v>11000</v>
      </c>
      <c r="F453">
        <v>3.5</v>
      </c>
      <c r="G453"/>
      <c r="H453">
        <v>100</v>
      </c>
      <c r="I453"/>
      <c r="J453"/>
      <c r="K453" t="inlineStr">
        <is>
          <t>电子版</t>
        </is>
      </c>
      <c r="L453"/>
      <c r="M453" t="inlineStr">
        <is>
          <t>小羊同学！的店</t>
        </is>
      </c>
      <c r="N453">
        <v>279000</v>
      </c>
      <c r="O453">
        <v>4.51</v>
      </c>
      <c r="P453">
        <v>209000</v>
      </c>
      <c r="Q453" t="inlineStr">
        <is>
          <t>66ee0c03f17df9000168ea18</t>
        </is>
      </c>
      <c r="R453" t="inlineStr">
        <is>
          <t>🚫重复</t>
        </is>
      </c>
      <c r="S453" t="inlineStr">
        <is>
          <t>中小学教辅/教材</t>
        </is>
      </c>
      <c r="T453" t="inlineStr">
        <is>
          <t>0.04</t>
        </is>
      </c>
      <c r="U453" s="3">
        <v>46112.78107638889</v>
      </c>
      <c r="V453" t="inlineStr">
        <is>
          <t>虚拟产品</t>
        </is>
      </c>
      <c r="W453" s="3">
        <v>46032</v>
      </c>
      <c r="X453" t="inlineStr">
        <is>
          <t>01</t>
        </is>
      </c>
      <c r="Y453" t="inlineStr">
        <is>
          <t>2026-Q1</t>
        </is>
      </c>
    </row>
    <row r="454" ht="38.25" customHeight="1">
      <c r="A454" t="inlineStr">
        <is>
          <t>25年人教版【六上数学】题型专项训练（电子版）</t>
        </is>
      </c>
      <c r="B454" t="inlineStr">
        <is>
          <t>recv7RwHF2Mzf6.jpg</t>
        </is>
      </c>
      <c r="C454" s="2" t="str">
        <f>=HYPERLINK("https://xhslink.com/m/7aL0yFFCTXD", "https://xhslink.com/m/7aL0yFFCTXD")</f>
        <v>https://xhslink.com/m/7aL0yFFCTXD</v>
      </c>
      <c r="D454"/>
      <c r="E454">
        <v>10000</v>
      </c>
      <c r="F454">
        <v>4.9</v>
      </c>
      <c r="G454"/>
      <c r="H454">
        <v>1500</v>
      </c>
      <c r="I454"/>
      <c r="J454"/>
      <c r="K454" t="inlineStr">
        <is>
          <t>电子版</t>
        </is>
      </c>
      <c r="L454"/>
      <c r="M454" t="inlineStr">
        <is>
          <t>瑞老师的小学日记的店</t>
        </is>
      </c>
      <c r="N454">
        <v>9287</v>
      </c>
      <c r="O454">
        <v>4.69</v>
      </c>
      <c r="P454">
        <v>30000</v>
      </c>
      <c r="Q454" t="inlineStr">
        <is>
          <t>687d017244854600013181ea</t>
        </is>
      </c>
      <c r="R454" t="inlineStr">
        <is>
          <t>🚫重复</t>
        </is>
      </c>
      <c r="S454" t="inlineStr">
        <is>
          <t>中小学教辅/教材</t>
        </is>
      </c>
      <c r="T454" t="inlineStr">
        <is>
          <t>1.08</t>
        </is>
      </c>
      <c r="U454" s="3">
        <v>46112.78107638889</v>
      </c>
      <c r="V454" t="inlineStr">
        <is>
          <t>虚拟产品</t>
        </is>
      </c>
      <c r="W454" s="3">
        <v>46032</v>
      </c>
      <c r="X454" t="inlineStr">
        <is>
          <t>01</t>
        </is>
      </c>
      <c r="Y454" t="inlineStr">
        <is>
          <t>2026-Q1</t>
        </is>
      </c>
    </row>
    <row r="455" ht="38.25" customHeight="1">
      <c r="A455" t="inlineStr">
        <is>
          <t>002幼儿识字启蒙100字趣味识字游戏120页pdf素材资料打印，非实物</t>
        </is>
      </c>
      <c r="B455" t="inlineStr">
        <is>
          <t>recv7RwHF2YCC5.jpg</t>
        </is>
      </c>
      <c r="C455" s="2" t="str">
        <f>=HYPERLINK("https://xhslink.com/m/5pZzScL5CQJ", "https://xhslink.com/m/5pZzScL5CQJ")</f>
        <v>https://xhslink.com/m/5pZzScL5CQJ</v>
      </c>
      <c r="D455"/>
      <c r="E455">
        <v>9875</v>
      </c>
      <c r="F455">
        <v>3.8</v>
      </c>
      <c r="G455"/>
      <c r="H455">
        <v>94</v>
      </c>
      <c r="I455"/>
      <c r="J455"/>
      <c r="K455" t="inlineStr">
        <is>
          <t>电子版</t>
        </is>
      </c>
      <c r="L455"/>
      <c r="M455" t="inlineStr">
        <is>
          <t>超爸带娃的店</t>
        </is>
      </c>
      <c r="N455">
        <v>23000</v>
      </c>
      <c r="O455">
        <v>4.04</v>
      </c>
      <c r="P455">
        <v>62000</v>
      </c>
      <c r="Q455" t="inlineStr">
        <is>
          <t>65dc1e45576bd9000166764a</t>
        </is>
      </c>
      <c r="R455"/>
      <c r="S455" t="inlineStr">
        <is>
          <t>幼教资料</t>
        </is>
      </c>
      <c r="T455" t="inlineStr">
        <is>
          <t>0.43</t>
        </is>
      </c>
      <c r="U455" s="3">
        <v>46112.78107638889</v>
      </c>
      <c r="V455" t="inlineStr">
        <is>
          <t>虚拟产品</t>
        </is>
      </c>
      <c r="W455" s="3">
        <v>46032</v>
      </c>
      <c r="X455" t="inlineStr">
        <is>
          <t>01</t>
        </is>
      </c>
      <c r="Y455" t="inlineStr">
        <is>
          <t>2026-Q1</t>
        </is>
      </c>
    </row>
    <row r="456" ht="38.25" customHeight="1">
      <c r="A456" t="inlineStr">
        <is>
          <t>高中9科知识点电子档（语文数学英语物理化学生物地理历史政治）</t>
        </is>
      </c>
      <c r="B456" t="inlineStr">
        <is>
          <t>recv7RwHF23XeT.jpg</t>
        </is>
      </c>
      <c r="C456" s="2" t="str">
        <f>=HYPERLINK("https://xhslink.com/m/9tGXNuOu5Sh", "https://xhslink.com/m/9tGXNuOu5Sh")</f>
        <v>https://xhslink.com/m/9tGXNuOu5Sh</v>
      </c>
      <c r="D456"/>
      <c r="E456">
        <v>9651</v>
      </c>
      <c r="F456">
        <v>4.9</v>
      </c>
      <c r="G456"/>
      <c r="H456">
        <v>1500</v>
      </c>
      <c r="I456"/>
      <c r="J456"/>
      <c r="K456" t="inlineStr">
        <is>
          <t>电子版</t>
        </is>
      </c>
      <c r="L456"/>
      <c r="M456" t="inlineStr">
        <is>
          <t>赵老师的资料库的店</t>
        </is>
      </c>
      <c r="N456">
        <v>14000</v>
      </c>
      <c r="O456">
        <v>4.43</v>
      </c>
      <c r="P456">
        <v>45000</v>
      </c>
      <c r="Q456" t="inlineStr">
        <is>
          <t>677f9534fb6ac0000181b3ff</t>
        </is>
      </c>
      <c r="R456" t="inlineStr">
        <is>
          <t>🚫重复</t>
        </is>
      </c>
      <c r="S456" t="inlineStr">
        <is>
          <t>高中/高考资料</t>
        </is>
      </c>
      <c r="T456" t="inlineStr">
        <is>
          <t>0.69</t>
        </is>
      </c>
      <c r="U456" s="3">
        <v>46112.78107638889</v>
      </c>
      <c r="V456" t="inlineStr">
        <is>
          <t>虚拟产品</t>
        </is>
      </c>
      <c r="W456" s="3">
        <v>46032</v>
      </c>
      <c r="X456" t="inlineStr">
        <is>
          <t>01</t>
        </is>
      </c>
      <c r="Y456" t="inlineStr">
        <is>
          <t>2026-Q1</t>
        </is>
      </c>
    </row>
    <row r="457" ht="38.25" customHeight="1">
      <c r="A457" t="inlineStr">
        <is>
          <t>英语四级六级1990-2025.6真题库</t>
        </is>
      </c>
      <c r="B457" t="inlineStr">
        <is>
          <t>recv7RwHF2CHrp.jpg</t>
        </is>
      </c>
      <c r="C457" s="2" t="str">
        <f>=HYPERLINK("https://xhslink.com/m/7fFCfhqJTNw", "https://xhslink.com/m/7fFCfhqJTNw")</f>
        <v>https://xhslink.com/m/7fFCfhqJTNw</v>
      </c>
      <c r="D457"/>
      <c r="E457">
        <v>9363</v>
      </c>
      <c r="F457">
        <v>3.88</v>
      </c>
      <c r="G457"/>
      <c r="H457">
        <v>150</v>
      </c>
      <c r="I457"/>
      <c r="J457"/>
      <c r="K457" t="inlineStr">
        <is>
          <t>电子版</t>
        </is>
      </c>
      <c r="L457" t="inlineStr">
        <is>
          <t>🔥低粉爆款</t>
        </is>
      </c>
      <c r="M457" t="inlineStr">
        <is>
          <t>落雪资料的店</t>
        </is>
      </c>
      <c r="N457">
        <v>2415</v>
      </c>
      <c r="O457">
        <v>4.16</v>
      </c>
      <c r="P457">
        <v>33000</v>
      </c>
      <c r="Q457" t="inlineStr">
        <is>
          <t>67ab6c17b032e300012b0379</t>
        </is>
      </c>
      <c r="R457" t="inlineStr">
        <is>
          <t>🚫重复</t>
        </is>
      </c>
      <c r="S457" t="inlineStr">
        <is>
          <t>英语资料</t>
        </is>
      </c>
      <c r="T457" t="inlineStr">
        <is>
          <t>3.88</t>
        </is>
      </c>
      <c r="U457" s="3">
        <v>46112.78107638889</v>
      </c>
      <c r="V457" t="inlineStr">
        <is>
          <t>虚拟产品</t>
        </is>
      </c>
      <c r="W457" s="3">
        <v>46032</v>
      </c>
      <c r="X457" t="inlineStr">
        <is>
          <t>01</t>
        </is>
      </c>
      <c r="Y457" t="inlineStr">
        <is>
          <t>2026-Q1</t>
        </is>
      </c>
    </row>
    <row r="458" ht="38.25" customHeight="1">
      <c r="A458" t="inlineStr">
        <is>
          <t>2025雅思1v1基础诊断课口语听力写作阅读备考资料电子版推荐合集</t>
        </is>
      </c>
      <c r="B458" t="inlineStr">
        <is>
          <t>recv7RwHF2q1vV.jpg</t>
        </is>
      </c>
      <c r="C458" s="2" t="str">
        <f>=HYPERLINK("https://xhslink.com/m/4gUPzyNfvIJ", "https://xhslink.com/m/4gUPzyNfvIJ")</f>
        <v>https://xhslink.com/m/4gUPzyNfvIJ</v>
      </c>
      <c r="D458"/>
      <c r="E458">
        <v>9098</v>
      </c>
      <c r="F458">
        <v>0.99</v>
      </c>
      <c r="G458"/>
      <c r="H458">
        <v>550</v>
      </c>
      <c r="I458"/>
      <c r="J458"/>
      <c r="K458" t="inlineStr">
        <is>
          <t>电子版</t>
        </is>
      </c>
      <c r="L458"/>
      <c r="M458" t="inlineStr">
        <is>
          <t>纯元学雅思的店</t>
        </is>
      </c>
      <c r="N458">
        <v>3453</v>
      </c>
      <c r="O458">
        <v>3.95</v>
      </c>
      <c r="P458">
        <v>21000</v>
      </c>
      <c r="Q458" t="inlineStr">
        <is>
          <t>6770ffa6d048b700017e5803</t>
        </is>
      </c>
      <c r="R458"/>
      <c r="S458" t="inlineStr">
        <is>
          <t>英语资料</t>
        </is>
      </c>
      <c r="T458" t="inlineStr">
        <is>
          <t>2.63</t>
        </is>
      </c>
      <c r="U458" s="3">
        <v>46112.78107638889</v>
      </c>
      <c r="V458" t="inlineStr">
        <is>
          <t>虚拟产品</t>
        </is>
      </c>
      <c r="W458" s="3">
        <v>46032</v>
      </c>
      <c r="X458" t="inlineStr">
        <is>
          <t>01</t>
        </is>
      </c>
      <c r="Y458" t="inlineStr">
        <is>
          <t>2026-Q1</t>
        </is>
      </c>
    </row>
    <row r="459" ht="38.25" customHeight="1">
      <c r="A459" t="inlineStr">
        <is>
          <t>快乐读书吧 ‖ 知识汇总练习/考试真题【电子版】037</t>
        </is>
      </c>
      <c r="B459" t="inlineStr">
        <is>
          <t>recv7RwHF2l0P5.jpg</t>
        </is>
      </c>
      <c r="C459" s="2" t="str">
        <f>=HYPERLINK("https://xhslink.com/m/5x7cw1QKats", "https://xhslink.com/m/5x7cw1QKats")</f>
        <v>https://xhslink.com/m/5x7cw1QKats</v>
      </c>
      <c r="D459"/>
      <c r="E459">
        <v>8886</v>
      </c>
      <c r="F459">
        <v>2.5</v>
      </c>
      <c r="G459"/>
      <c r="H459">
        <v>300</v>
      </c>
      <c r="I459"/>
      <c r="J459"/>
      <c r="K459" t="inlineStr">
        <is>
          <t>电子版</t>
        </is>
      </c>
      <c r="L459"/>
      <c r="M459" t="inlineStr">
        <is>
          <t>小羊同学！的店</t>
        </is>
      </c>
      <c r="N459">
        <v>279000</v>
      </c>
      <c r="O459">
        <v>4.51</v>
      </c>
      <c r="P459">
        <v>209000</v>
      </c>
      <c r="Q459" t="inlineStr">
        <is>
          <t>673960d66602d70001788158</t>
        </is>
      </c>
      <c r="R459" t="inlineStr">
        <is>
          <t>🚫重复</t>
        </is>
      </c>
      <c r="S459" t="inlineStr">
        <is>
          <t>中小学教辅/教材</t>
        </is>
      </c>
      <c r="T459" t="inlineStr">
        <is>
          <t>0.03</t>
        </is>
      </c>
      <c r="U459" s="3">
        <v>46112.78107638889</v>
      </c>
      <c r="V459" t="inlineStr">
        <is>
          <t>虚拟产品</t>
        </is>
      </c>
      <c r="W459" s="3">
        <v>46032</v>
      </c>
      <c r="X459" t="inlineStr">
        <is>
          <t>01</t>
        </is>
      </c>
      <c r="Y459" t="inlineStr">
        <is>
          <t>2026-Q1</t>
        </is>
      </c>
    </row>
    <row r="460" ht="38.25" customHeight="1">
      <c r="A460" t="inlineStr">
        <is>
          <t>2025高考高三总复习一轮二轮语文数学英语物理化生政治史地电子版</t>
        </is>
      </c>
      <c r="B460" t="inlineStr">
        <is>
          <t>recv7RwHF2yUPn.jpg</t>
        </is>
      </c>
      <c r="C460" s="2" t="str">
        <f>=HYPERLINK("https://xhslink.com/m/3vDc2uHOMer", "https://xhslink.com/m/3vDc2uHOMer")</f>
        <v>https://xhslink.com/m/3vDc2uHOMer</v>
      </c>
      <c r="D460"/>
      <c r="E460">
        <v>8896</v>
      </c>
      <c r="F460">
        <v>9.9</v>
      </c>
      <c r="G460"/>
      <c r="H460">
        <v>300</v>
      </c>
      <c r="I460"/>
      <c r="J460"/>
      <c r="K460" t="inlineStr">
        <is>
          <t>电子版</t>
        </is>
      </c>
      <c r="L460"/>
      <c r="M460" t="inlineStr">
        <is>
          <t>高分资料库的店</t>
        </is>
      </c>
      <c r="N460">
        <v>8697</v>
      </c>
      <c r="O460">
        <v>4.44</v>
      </c>
      <c r="P460">
        <v>29000</v>
      </c>
      <c r="Q460" t="inlineStr">
        <is>
          <t>672ef2254c39cc00012363df</t>
        </is>
      </c>
      <c r="R460" t="inlineStr">
        <is>
          <t>🚫重复</t>
        </is>
      </c>
      <c r="S460" t="inlineStr">
        <is>
          <t>高中/高考资料</t>
        </is>
      </c>
      <c r="T460" t="inlineStr">
        <is>
          <t>1.02</t>
        </is>
      </c>
      <c r="U460" s="3">
        <v>46112.78107638889</v>
      </c>
      <c r="V460" t="inlineStr">
        <is>
          <t>虚拟产品</t>
        </is>
      </c>
      <c r="W460" s="3">
        <v>46032</v>
      </c>
      <c r="X460" t="inlineStr">
        <is>
          <t>01</t>
        </is>
      </c>
      <c r="Y460" t="inlineStr">
        <is>
          <t>2026-Q1</t>
        </is>
      </c>
    </row>
    <row r="461" ht="38.25" customHeight="1">
      <c r="A461" t="inlineStr">
        <is>
          <t>【电子版】作文素材合集</t>
        </is>
      </c>
      <c r="B461" t="inlineStr">
        <is>
          <t>recv7RwHF2FIDf.jpg</t>
        </is>
      </c>
      <c r="C461" s="2" t="str">
        <f>=HYPERLINK("https://xhslink.com/m/4gBJtKD7C9H", "https://xhslink.com/m/4gBJtKD7C9H")</f>
        <v>https://xhslink.com/m/4gBJtKD7C9H</v>
      </c>
      <c r="D461"/>
      <c r="E461">
        <v>8645</v>
      </c>
      <c r="F461">
        <v>3.99</v>
      </c>
      <c r="G461"/>
      <c r="H461">
        <v>150</v>
      </c>
      <c r="I461"/>
      <c r="J461"/>
      <c r="K461" t="inlineStr">
        <is>
          <t>电子版</t>
        </is>
      </c>
      <c r="L461"/>
      <c r="M461" t="inlineStr">
        <is>
          <t>拒绝甜食的店</t>
        </is>
      </c>
      <c r="N461">
        <v>6997</v>
      </c>
      <c r="O461">
        <v>4.48</v>
      </c>
      <c r="P461">
        <v>12000</v>
      </c>
      <c r="Q461" t="inlineStr">
        <is>
          <t>67ff320aec1374000137ad06</t>
        </is>
      </c>
      <c r="R461" t="inlineStr">
        <is>
          <t>🚫重复</t>
        </is>
      </c>
      <c r="S461" t="inlineStr">
        <is>
          <t>无匹配类别</t>
        </is>
      </c>
      <c r="T461" t="inlineStr">
        <is>
          <t>1.24</t>
        </is>
      </c>
      <c r="U461" s="3">
        <v>46112.78107638889</v>
      </c>
      <c r="V461" t="inlineStr">
        <is>
          <t>虚拟产品</t>
        </is>
      </c>
      <c r="W461" s="3">
        <v>46032</v>
      </c>
      <c r="X461" t="inlineStr">
        <is>
          <t>01</t>
        </is>
      </c>
      <c r="Y461" t="inlineStr">
        <is>
          <t>2026-Q1</t>
        </is>
      </c>
    </row>
    <row r="462" ht="38.25" customHeight="1">
      <c r="A462" t="inlineStr">
        <is>
          <t>语法课件PPT40个＋全套电子版练习资料小学小升初衔接全套wps版</t>
        </is>
      </c>
      <c r="B462" t="inlineStr">
        <is>
          <t>recv7RwHF2K9gS.jpg</t>
        </is>
      </c>
      <c r="C462" s="2" t="str">
        <f>=HYPERLINK("https://xhslink.com/m/2q3C59KAE0W", "https://xhslink.com/m/2q3C59KAE0W")</f>
        <v>https://xhslink.com/m/2q3C59KAE0W</v>
      </c>
      <c r="D462"/>
      <c r="E462">
        <v>8698</v>
      </c>
      <c r="F462">
        <v>3.99</v>
      </c>
      <c r="G462"/>
      <c r="H462">
        <v>800</v>
      </c>
      <c r="I462"/>
      <c r="J462"/>
      <c r="K462" t="inlineStr">
        <is>
          <t>电子版</t>
        </is>
      </c>
      <c r="L462"/>
      <c r="M462" t="inlineStr">
        <is>
          <t>英语大招老师的店</t>
        </is>
      </c>
      <c r="N462">
        <v>13000</v>
      </c>
      <c r="O462">
        <v>4.13</v>
      </c>
      <c r="P462">
        <v>29000</v>
      </c>
      <c r="Q462" t="inlineStr">
        <is>
          <t>689ab1364eb99100010462d4</t>
        </is>
      </c>
      <c r="R462" t="inlineStr">
        <is>
          <t>🚫重复</t>
        </is>
      </c>
      <c r="S462" t="inlineStr">
        <is>
          <t>中小学教辅/教材</t>
        </is>
      </c>
      <c r="T462" t="inlineStr">
        <is>
          <t>0.67</t>
        </is>
      </c>
      <c r="U462" s="3">
        <v>46112.78107638889</v>
      </c>
      <c r="V462" t="inlineStr">
        <is>
          <t>虚拟产品</t>
        </is>
      </c>
      <c r="W462" s="3">
        <v>46032</v>
      </c>
      <c r="X462" t="inlineStr">
        <is>
          <t>01</t>
        </is>
      </c>
      <c r="Y462" t="inlineStr">
        <is>
          <t>2026-Q1</t>
        </is>
      </c>
    </row>
    <row r="463" ht="38.25" customHeight="1">
      <c r="A463" t="inlineStr">
        <is>
          <t>2024-2025学年语文期末复习专项练习053【电子版】</t>
        </is>
      </c>
      <c r="B463" t="inlineStr">
        <is>
          <t>recv7RwHF2AB65.jpg</t>
        </is>
      </c>
      <c r="C463" s="2" t="str">
        <f>=HYPERLINK("https://xhslink.com/m/25uMF9a0dre", "https://xhslink.com/m/25uMF9a0dre")</f>
        <v>https://xhslink.com/m/25uMF9a0dre</v>
      </c>
      <c r="D463"/>
      <c r="E463">
        <v>8681</v>
      </c>
      <c r="F463">
        <v>3.5</v>
      </c>
      <c r="G463"/>
      <c r="H463">
        <v>1000</v>
      </c>
      <c r="I463"/>
      <c r="J463"/>
      <c r="K463" t="inlineStr">
        <is>
          <t>电子版</t>
        </is>
      </c>
      <c r="L463"/>
      <c r="M463" t="inlineStr">
        <is>
          <t>小羊同学！的店</t>
        </is>
      </c>
      <c r="N463">
        <v>279000</v>
      </c>
      <c r="O463">
        <v>4.51</v>
      </c>
      <c r="P463">
        <v>209000</v>
      </c>
      <c r="Q463" t="inlineStr">
        <is>
          <t>691c70d5603b4e0001bd6818</t>
        </is>
      </c>
      <c r="R463" t="inlineStr">
        <is>
          <t>🚫重复</t>
        </is>
      </c>
      <c r="S463" t="inlineStr">
        <is>
          <t>中小学教辅/教材</t>
        </is>
      </c>
      <c r="T463" t="inlineStr">
        <is>
          <t>0.03</t>
        </is>
      </c>
      <c r="U463" s="3">
        <v>46112.78107638889</v>
      </c>
      <c r="V463" t="inlineStr">
        <is>
          <t>虚拟产品</t>
        </is>
      </c>
      <c r="W463" s="3">
        <v>46032</v>
      </c>
      <c r="X463" t="inlineStr">
        <is>
          <t>01</t>
        </is>
      </c>
      <c r="Y463" t="inlineStr">
        <is>
          <t>2026-Q1</t>
        </is>
      </c>
    </row>
    <row r="464" ht="38.25" customHeight="1">
      <c r="A464" t="inlineStr">
        <is>
          <t>手抄报线稿 电子打印版 儿童手抄报</t>
        </is>
      </c>
      <c r="B464" t="inlineStr">
        <is>
          <t>recv7RwHF2ejIm.jpg</t>
        </is>
      </c>
      <c r="C464" s="2" t="str">
        <f>=HYPERLINK("https://xhslink.com/m/6fbmvyJyQMo", "https://xhslink.com/m/6fbmvyJyQMo")</f>
        <v>https://xhslink.com/m/6fbmvyJyQMo</v>
      </c>
      <c r="D464"/>
      <c r="E464">
        <v>8544</v>
      </c>
      <c r="F464">
        <v>5</v>
      </c>
      <c r="G464"/>
      <c r="H464">
        <v>100</v>
      </c>
      <c r="I464"/>
      <c r="J464"/>
      <c r="K464" t="inlineStr">
        <is>
          <t>电子版</t>
        </is>
      </c>
      <c r="L464"/>
      <c r="M464" t="inlineStr">
        <is>
          <t>娜妈爱豆和北北的店</t>
        </is>
      </c>
      <c r="N464">
        <v>21000</v>
      </c>
      <c r="O464">
        <v>4.05</v>
      </c>
      <c r="P464">
        <v>17000</v>
      </c>
      <c r="Q464" t="inlineStr">
        <is>
          <t>653f87c5372cc10001e41de5</t>
        </is>
      </c>
      <c r="R464"/>
      <c r="S464" t="inlineStr">
        <is>
          <t>中小学教辅/教材</t>
        </is>
      </c>
      <c r="T464" t="inlineStr">
        <is>
          <t>0.41</t>
        </is>
      </c>
      <c r="U464" s="3">
        <v>46112.78107638889</v>
      </c>
      <c r="V464" t="inlineStr">
        <is>
          <t>虚拟产品</t>
        </is>
      </c>
      <c r="W464" s="3">
        <v>46032</v>
      </c>
      <c r="X464" t="inlineStr">
        <is>
          <t>01</t>
        </is>
      </c>
      <c r="Y464" t="inlineStr">
        <is>
          <t>2026-Q1</t>
        </is>
      </c>
    </row>
    <row r="465" ht="38.25" customHeight="1">
      <c r="A465" t="inlineStr">
        <is>
          <t>106个英语中考课标不规则动词的过去式和过去分词PDF电子版</t>
        </is>
      </c>
      <c r="B465" t="inlineStr">
        <is>
          <t>recv7RwHF2j66n.jpg</t>
        </is>
      </c>
      <c r="C465" s="2" t="str">
        <f>=HYPERLINK("https://xhslink.com/m/2gMZfkxNfZN", "https://xhslink.com/m/2gMZfkxNfZN")</f>
        <v>https://xhslink.com/m/2gMZfkxNfZN</v>
      </c>
      <c r="D465"/>
      <c r="E465">
        <v>8564</v>
      </c>
      <c r="F465">
        <v>2.7</v>
      </c>
      <c r="G465"/>
      <c r="H465">
        <v>150</v>
      </c>
      <c r="I465"/>
      <c r="J465"/>
      <c r="K465" t="inlineStr">
        <is>
          <t>电子版</t>
        </is>
      </c>
      <c r="L465"/>
      <c r="M465" t="inlineStr">
        <is>
          <t>学子驿站英语站的店</t>
        </is>
      </c>
      <c r="N465">
        <v>42000</v>
      </c>
      <c r="O465">
        <v>4.53</v>
      </c>
      <c r="P465">
        <v>120000</v>
      </c>
      <c r="Q465" t="inlineStr">
        <is>
          <t>67724e255848cb0001bc52a0</t>
        </is>
      </c>
      <c r="R465" t="inlineStr">
        <is>
          <t>🚫重复</t>
        </is>
      </c>
      <c r="S465" t="inlineStr">
        <is>
          <t>中小学教辅/教材</t>
        </is>
      </c>
      <c r="T465" t="inlineStr">
        <is>
          <t>0.20</t>
        </is>
      </c>
      <c r="U465" s="3">
        <v>46112.78107638889</v>
      </c>
      <c r="V465" t="inlineStr">
        <is>
          <t>虚拟产品</t>
        </is>
      </c>
      <c r="W465" s="3">
        <v>46032</v>
      </c>
      <c r="X465" t="inlineStr">
        <is>
          <t>01</t>
        </is>
      </c>
      <c r="Y465" t="inlineStr">
        <is>
          <t>2026-Q1</t>
        </is>
      </c>
    </row>
    <row r="466" ht="38.25" customHeight="1">
      <c r="A466" t="inlineStr">
        <is>
          <t>【五上语文习作】原创~写作指导+支架写作单+范文【PDF电子资料】</t>
        </is>
      </c>
      <c r="B466" t="inlineStr">
        <is>
          <t>recv7RwHF2krzq.jpg</t>
        </is>
      </c>
      <c r="C466" s="2" t="str">
        <f>=HYPERLINK("https://xhslink.com/m/AdqONWG0Ws9", "https://xhslink.com/m/AdqONWG0Ws9")</f>
        <v>https://xhslink.com/m/AdqONWG0Ws9</v>
      </c>
      <c r="D466"/>
      <c r="E466">
        <v>8245</v>
      </c>
      <c r="F466">
        <v>5</v>
      </c>
      <c r="G466"/>
      <c r="H466">
        <v>300</v>
      </c>
      <c r="I466"/>
      <c r="J466"/>
      <c r="K466" t="inlineStr">
        <is>
          <t>电子版</t>
        </is>
      </c>
      <c r="L466"/>
      <c r="M466" t="inlineStr">
        <is>
          <t>青竹的班主任手记的店</t>
        </is>
      </c>
      <c r="N466">
        <v>41000</v>
      </c>
      <c r="O466">
        <v>4.52</v>
      </c>
      <c r="P466">
        <v>42000</v>
      </c>
      <c r="Q466" t="inlineStr">
        <is>
          <t>675b6b445677c90001cbffca</t>
        </is>
      </c>
      <c r="R466" t="inlineStr">
        <is>
          <t>🚫重复</t>
        </is>
      </c>
      <c r="S466" t="inlineStr">
        <is>
          <t>中小学教辅/教材</t>
        </is>
      </c>
      <c r="T466" t="inlineStr">
        <is>
          <t>0.20</t>
        </is>
      </c>
      <c r="U466" s="3">
        <v>46112.78107638889</v>
      </c>
      <c r="V466" t="inlineStr">
        <is>
          <t>虚拟产品</t>
        </is>
      </c>
      <c r="W466" s="3">
        <v>46032</v>
      </c>
      <c r="X466" t="inlineStr">
        <is>
          <t>01</t>
        </is>
      </c>
      <c r="Y466" t="inlineStr">
        <is>
          <t>2026-Q1</t>
        </is>
      </c>
    </row>
    <row r="467" ht="38.25" customHeight="1">
      <c r="A467" t="inlineStr">
        <is>
          <t>2025秋版 ‖ 初中语文古诗词文言文必背内容【电子版】</t>
        </is>
      </c>
      <c r="B467" t="inlineStr">
        <is>
          <t>recv7RwHF2zw3q.jpg</t>
        </is>
      </c>
      <c r="C467" s="2" t="str">
        <f>=HYPERLINK("https://xhslink.com/m/A80NiUrTRXY", "https://xhslink.com/m/A80NiUrTRXY")</f>
        <v>https://xhslink.com/m/A80NiUrTRXY</v>
      </c>
      <c r="D467"/>
      <c r="E467">
        <v>8318</v>
      </c>
      <c r="F467">
        <v>3</v>
      </c>
      <c r="G467"/>
      <c r="H467">
        <v>96</v>
      </c>
      <c r="I467"/>
      <c r="J467"/>
      <c r="K467" t="inlineStr">
        <is>
          <t>电子版</t>
        </is>
      </c>
      <c r="L467"/>
      <c r="M467" t="inlineStr">
        <is>
          <t>小羊同学！的店</t>
        </is>
      </c>
      <c r="N467">
        <v>279000</v>
      </c>
      <c r="O467">
        <v>4.51</v>
      </c>
      <c r="P467">
        <v>209000</v>
      </c>
      <c r="Q467" t="inlineStr">
        <is>
          <t>667572f7f7984c00015a44ad</t>
        </is>
      </c>
      <c r="R467" t="inlineStr">
        <is>
          <t>🚫重复</t>
        </is>
      </c>
      <c r="S467" t="inlineStr">
        <is>
          <t>中小学教辅/教材</t>
        </is>
      </c>
      <c r="T467" t="inlineStr">
        <is>
          <t>0.03</t>
        </is>
      </c>
      <c r="U467" s="3">
        <v>46112.78107638889</v>
      </c>
      <c r="V467" t="inlineStr">
        <is>
          <t>虚拟产品</t>
        </is>
      </c>
      <c r="W467" s="3">
        <v>46032</v>
      </c>
      <c r="X467" t="inlineStr">
        <is>
          <t>01</t>
        </is>
      </c>
      <c r="Y467" t="inlineStr">
        <is>
          <t>2026-Q1</t>
        </is>
      </c>
    </row>
    <row r="468" ht="38.25" customHeight="1">
      <c r="A468" t="inlineStr">
        <is>
          <t>40篇短文3500词，文创产品（电子版发货）</t>
        </is>
      </c>
      <c r="B468" t="inlineStr">
        <is>
          <t>__upload_recv7RwHF2Vr9j.jpg</t>
        </is>
      </c>
      <c r="C468" s="2" t="str">
        <f>=HYPERLINK("https://xhslink.com/m/9HaRFWWlrQy", "https://xhslink.com/m/9HaRFWWlrQy")</f>
        <v>https://xhslink.com/m/9HaRFWWlrQy</v>
      </c>
      <c r="D468"/>
      <c r="E468">
        <v>8057</v>
      </c>
      <c r="F468">
        <v>4.9</v>
      </c>
      <c r="G468"/>
      <c r="H468">
        <v>550</v>
      </c>
      <c r="I468"/>
      <c r="J468"/>
      <c r="K468" t="inlineStr">
        <is>
          <t>电子版</t>
        </is>
      </c>
      <c r="L468"/>
      <c r="M468" t="inlineStr">
        <is>
          <t>梦学姐的店</t>
        </is>
      </c>
      <c r="N468">
        <v>8130</v>
      </c>
      <c r="O468">
        <v>4.48</v>
      </c>
      <c r="P468">
        <v>22000</v>
      </c>
      <c r="Q468" t="inlineStr">
        <is>
          <t>675d3d5a6e529e000151037a</t>
        </is>
      </c>
      <c r="R468" t="inlineStr">
        <is>
          <t>🚫重复</t>
        </is>
      </c>
      <c r="S468" t="inlineStr">
        <is>
          <t>PPT模板</t>
        </is>
      </c>
      <c r="T468" t="inlineStr">
        <is>
          <t>0.99</t>
        </is>
      </c>
      <c r="U468" s="3">
        <v>46112.78107638889</v>
      </c>
      <c r="V468" t="inlineStr">
        <is>
          <t>虚拟产品</t>
        </is>
      </c>
      <c r="W468" s="3">
        <v>46032</v>
      </c>
      <c r="X468" t="inlineStr">
        <is>
          <t>01</t>
        </is>
      </c>
      <c r="Y468" t="inlineStr">
        <is>
          <t>2026-Q1</t>
        </is>
      </c>
    </row>
    <row r="469" ht="38.25" customHeight="1">
      <c r="A469" t="inlineStr">
        <is>
          <t>超全导数知识点题型分类PDF（电子版），拍前一定要看说明</t>
        </is>
      </c>
      <c r="B469" t="inlineStr">
        <is>
          <t>__upload_recv7RwHF2Wzd0.jpg</t>
        </is>
      </c>
      <c r="C469" s="2" t="str">
        <f>=HYPERLINK("https://xhslink.com/m/22VNJ7WWquQ", "https://xhslink.com/m/22VNJ7WWquQ")</f>
        <v>https://xhslink.com/m/22VNJ7WWquQ</v>
      </c>
      <c r="D469"/>
      <c r="E469">
        <v>7911</v>
      </c>
      <c r="F469">
        <v>5</v>
      </c>
      <c r="G469"/>
      <c r="H469">
        <v>92</v>
      </c>
      <c r="I469"/>
      <c r="J469"/>
      <c r="K469" t="inlineStr">
        <is>
          <t>电子版</t>
        </is>
      </c>
      <c r="L469"/>
      <c r="M469" t="inlineStr">
        <is>
          <t>您好，马老师的店</t>
        </is>
      </c>
      <c r="N469">
        <v>19000</v>
      </c>
      <c r="O469">
        <v>4.42</v>
      </c>
      <c r="P469">
        <v>83000</v>
      </c>
      <c r="Q469" t="inlineStr">
        <is>
          <t>65ca3d2ab7b2260001dc3cbd</t>
        </is>
      </c>
      <c r="R469" t="inlineStr">
        <is>
          <t>🚫重复</t>
        </is>
      </c>
      <c r="S469" t="inlineStr">
        <is>
          <t>高中/高考资料</t>
        </is>
      </c>
      <c r="T469" t="inlineStr">
        <is>
          <t>0.42</t>
        </is>
      </c>
      <c r="U469" s="3">
        <v>46112.78107638889</v>
      </c>
      <c r="V469" t="inlineStr">
        <is>
          <t>虚拟产品</t>
        </is>
      </c>
      <c r="W469" s="3">
        <v>46032</v>
      </c>
      <c r="X469" t="inlineStr">
        <is>
          <t>01</t>
        </is>
      </c>
      <c r="Y469" t="inlineStr">
        <is>
          <t>2026-Q1</t>
        </is>
      </c>
    </row>
    <row r="470" ht="38.25" customHeight="1">
      <c r="A470" t="inlineStr">
        <is>
          <t>小学古诗词+文言文+日积月累+必背课文【电子版】002</t>
        </is>
      </c>
      <c r="B470" t="inlineStr">
        <is>
          <t>__upload_recv7RwHF2MSOL.jpg</t>
        </is>
      </c>
      <c r="C470" s="2" t="str">
        <f>=HYPERLINK("https://xhslink.com/m/bq2Uyv4EYb", "https://xhslink.com/m/bq2Uyv4EYb")</f>
        <v>https://xhslink.com/m/bq2Uyv4EYb</v>
      </c>
      <c r="D470"/>
      <c r="E470">
        <v>7969</v>
      </c>
      <c r="F470">
        <v>4</v>
      </c>
      <c r="G470"/>
      <c r="H470">
        <v>150</v>
      </c>
      <c r="I470"/>
      <c r="J470"/>
      <c r="K470" t="inlineStr">
        <is>
          <t>电子版</t>
        </is>
      </c>
      <c r="L470"/>
      <c r="M470" t="inlineStr">
        <is>
          <t>小羊同学！的店</t>
        </is>
      </c>
      <c r="N470">
        <v>279000</v>
      </c>
      <c r="O470">
        <v>4.51</v>
      </c>
      <c r="P470">
        <v>209000</v>
      </c>
      <c r="Q470" t="inlineStr">
        <is>
          <t>69086ee984cf420001767539</t>
        </is>
      </c>
      <c r="R470" t="inlineStr">
        <is>
          <t>🚫重复</t>
        </is>
      </c>
      <c r="S470" t="inlineStr">
        <is>
          <t>中小学教辅/教材</t>
        </is>
      </c>
      <c r="T470" t="inlineStr">
        <is>
          <t>0.03</t>
        </is>
      </c>
      <c r="U470" s="3">
        <v>46112.78107638889</v>
      </c>
      <c r="V470" t="inlineStr">
        <is>
          <t>虚拟产品</t>
        </is>
      </c>
      <c r="W470" s="3">
        <v>46032</v>
      </c>
      <c r="X470" t="inlineStr">
        <is>
          <t>01</t>
        </is>
      </c>
      <c r="Y470" t="inlineStr">
        <is>
          <t>2026-Q1</t>
        </is>
      </c>
    </row>
    <row r="471" ht="38.25" customHeight="1">
      <c r="A471" t="inlineStr">
        <is>
          <t>事业编D类备考包（含网课）</t>
        </is>
      </c>
      <c r="B471" t="inlineStr">
        <is>
          <t>__upload_recv7RwHF20UD3.jpg</t>
        </is>
      </c>
      <c r="C471" s="2" t="str">
        <f>=HYPERLINK("https://xhslink.com/m/A8a3psb6RVi", "https://xhslink.com/m/A8a3psb6RVi")</f>
        <v>https://xhslink.com/m/A8a3psb6RVi</v>
      </c>
      <c r="D471"/>
      <c r="E471">
        <v>7870</v>
      </c>
      <c r="F471">
        <v>8.8</v>
      </c>
      <c r="G471"/>
      <c r="H471">
        <v>300</v>
      </c>
      <c r="I471"/>
      <c r="J471"/>
      <c r="K471" t="inlineStr">
        <is>
          <t>电子版</t>
        </is>
      </c>
      <c r="L471"/>
      <c r="M471" t="inlineStr">
        <is>
          <t>鲁鲁西！的店</t>
        </is>
      </c>
      <c r="N471">
        <v>13000</v>
      </c>
      <c r="O471">
        <v>4.23</v>
      </c>
      <c r="P471">
        <v>9149</v>
      </c>
      <c r="Q471" t="inlineStr">
        <is>
          <t>6910a7960f510b00018db731</t>
        </is>
      </c>
      <c r="R471" t="inlineStr">
        <is>
          <t>🚫重复</t>
        </is>
      </c>
      <c r="S471" t="inlineStr">
        <is>
          <t>无匹配类别</t>
        </is>
      </c>
      <c r="T471" t="inlineStr">
        <is>
          <t>0.61</t>
        </is>
      </c>
      <c r="U471" s="3">
        <v>46112.78107638889</v>
      </c>
      <c r="V471" t="inlineStr">
        <is>
          <t>虚拟产品</t>
        </is>
      </c>
      <c r="W471" s="3">
        <v>46032</v>
      </c>
      <c r="X471" t="inlineStr">
        <is>
          <t>01</t>
        </is>
      </c>
      <c r="Y471" t="inlineStr">
        <is>
          <t>2026-Q1</t>
        </is>
      </c>
    </row>
    <row r="472" ht="38.25" customHeight="1">
      <c r="A472" t="inlineStr">
        <is>
          <t>中考语文阅读理解答题模板+五类文体分类阅读（电子版）</t>
        </is>
      </c>
      <c r="B472" t="inlineStr">
        <is>
          <t>__upload_recv7RwHF2twU0.jpg</t>
        </is>
      </c>
      <c r="C472" s="2" t="str">
        <f>=HYPERLINK("https://xhslink.com/m/8pJ9bQXQ6Bo", "https://xhslink.com/m/8pJ9bQXQ6Bo")</f>
        <v>https://xhslink.com/m/8pJ9bQXQ6Bo</v>
      </c>
      <c r="D472"/>
      <c r="E472">
        <v>7760</v>
      </c>
      <c r="F472">
        <v>13.99</v>
      </c>
      <c r="G472"/>
      <c r="H472">
        <v>100</v>
      </c>
      <c r="I472"/>
      <c r="J472"/>
      <c r="K472" t="inlineStr">
        <is>
          <t>电子版</t>
        </is>
      </c>
      <c r="L472"/>
      <c r="M472" t="inlineStr">
        <is>
          <t>教语文的橙子老师的店</t>
        </is>
      </c>
      <c r="N472">
        <v>3673</v>
      </c>
      <c r="O472">
        <v>3.98</v>
      </c>
      <c r="P472">
        <v>8998</v>
      </c>
      <c r="Q472" t="inlineStr">
        <is>
          <t>6847860e6d1910000176136b</t>
        </is>
      </c>
      <c r="R472" t="inlineStr">
        <is>
          <t>🚫重复</t>
        </is>
      </c>
      <c r="S472" t="inlineStr">
        <is>
          <t>中小学教辅/教材</t>
        </is>
      </c>
      <c r="T472" t="inlineStr">
        <is>
          <t>2.11</t>
        </is>
      </c>
      <c r="U472" s="3">
        <v>46112.78107638889</v>
      </c>
      <c r="V472" t="inlineStr">
        <is>
          <t>虚拟产品</t>
        </is>
      </c>
      <c r="W472" s="3">
        <v>46032</v>
      </c>
      <c r="X472" t="inlineStr">
        <is>
          <t>01</t>
        </is>
      </c>
      <c r="Y472" t="inlineStr">
        <is>
          <t>2026-Q1</t>
        </is>
      </c>
    </row>
    <row r="473" ht="38.25" customHeight="1">
      <c r="A473" t="inlineStr">
        <is>
          <t>2025版 ‖ 字词学习单+单元知识通关练习038【电子版】</t>
        </is>
      </c>
      <c r="B473" t="inlineStr">
        <is>
          <t>__upload_recv7RwHF2jRyK.jpg</t>
        </is>
      </c>
      <c r="C473" s="2" t="str">
        <f>=HYPERLINK("https://xhslink.com/m/6N0YmImZY7w", "https://xhslink.com/m/6N0YmImZY7w")</f>
        <v>https://xhslink.com/m/6N0YmImZY7w</v>
      </c>
      <c r="D473"/>
      <c r="E473">
        <v>7526</v>
      </c>
      <c r="F473">
        <v>4</v>
      </c>
      <c r="G473"/>
      <c r="H473">
        <v>100</v>
      </c>
      <c r="I473"/>
      <c r="J473"/>
      <c r="K473" t="inlineStr">
        <is>
          <t>电子版</t>
        </is>
      </c>
      <c r="L473"/>
      <c r="M473" t="inlineStr">
        <is>
          <t>小羊同学！的店</t>
        </is>
      </c>
      <c r="N473">
        <v>279000</v>
      </c>
      <c r="O473">
        <v>4.51</v>
      </c>
      <c r="P473">
        <v>209000</v>
      </c>
      <c r="Q473" t="inlineStr">
        <is>
          <t>66fa92d0b3c3990001389a07</t>
        </is>
      </c>
      <c r="R473" t="inlineStr">
        <is>
          <t>🚫重复</t>
        </is>
      </c>
      <c r="S473" t="inlineStr">
        <is>
          <t>中小学教辅/教材</t>
        </is>
      </c>
      <c r="T473" t="inlineStr">
        <is>
          <t>0.03</t>
        </is>
      </c>
      <c r="U473" s="3">
        <v>46112.78107638889</v>
      </c>
      <c r="V473" t="inlineStr">
        <is>
          <t>虚拟产品</t>
        </is>
      </c>
      <c r="W473" s="3">
        <v>46032</v>
      </c>
      <c r="X473" t="inlineStr">
        <is>
          <t>01</t>
        </is>
      </c>
      <c r="Y473" t="inlineStr">
        <is>
          <t>2026-Q1</t>
        </is>
      </c>
    </row>
    <row r="474" ht="38.25" customHeight="1">
      <c r="A474" t="inlineStr">
        <is>
          <t>2026中考英语重点短语565个 背诵版+英汉互译默写 PDF电子版-606</t>
        </is>
      </c>
      <c r="B474" t="inlineStr">
        <is>
          <t>__upload_recv7RwHF2FWIc.jpg</t>
        </is>
      </c>
      <c r="C474" s="2" t="str">
        <f>=HYPERLINK("https://xhslink.com/m/4STJT5f0LXO", "https://xhslink.com/m/4STJT5f0LXO")</f>
        <v>https://xhslink.com/m/4STJT5f0LXO</v>
      </c>
      <c r="D474"/>
      <c r="E474">
        <v>7703</v>
      </c>
      <c r="F474">
        <v>5.99</v>
      </c>
      <c r="G474"/>
      <c r="H474">
        <v>100</v>
      </c>
      <c r="I474"/>
      <c r="J474"/>
      <c r="K474" t="inlineStr">
        <is>
          <t>电子版</t>
        </is>
      </c>
      <c r="L474"/>
      <c r="M474" t="inlineStr">
        <is>
          <t>学子驿站英语站的店</t>
        </is>
      </c>
      <c r="N474">
        <v>42000</v>
      </c>
      <c r="O474">
        <v>4.53</v>
      </c>
      <c r="P474">
        <v>120000</v>
      </c>
      <c r="Q474" t="inlineStr">
        <is>
          <t>65e43c8d3f330b0001ebee45</t>
        </is>
      </c>
      <c r="R474" t="inlineStr">
        <is>
          <t>🚫重复</t>
        </is>
      </c>
      <c r="S474" t="inlineStr">
        <is>
          <t>中小学教辅/教材</t>
        </is>
      </c>
      <c r="T474" t="inlineStr">
        <is>
          <t>0.18</t>
        </is>
      </c>
      <c r="U474" s="3">
        <v>46112.78107638889</v>
      </c>
      <c r="V474" t="inlineStr">
        <is>
          <t>虚拟产品</t>
        </is>
      </c>
      <c r="W474" s="3">
        <v>46032</v>
      </c>
      <c r="X474" t="inlineStr">
        <is>
          <t>01</t>
        </is>
      </c>
      <c r="Y474" t="inlineStr">
        <is>
          <t>2026-Q1</t>
        </is>
      </c>
    </row>
    <row r="475" ht="38.25" customHeight="1">
      <c r="A475" t="inlineStr">
        <is>
          <t>急救！雅思口语2026年【1-4月】高分答案+语料库！</t>
        </is>
      </c>
      <c r="B475" t="inlineStr">
        <is>
          <t>__upload_recv7RwHF2y29x.jpg</t>
        </is>
      </c>
      <c r="C475" s="2" t="str">
        <f>=HYPERLINK("https://xhslink.com/m/3BT0YWdn0vz", "https://xhslink.com/m/3BT0YWdn0vz")</f>
        <v>https://xhslink.com/m/3BT0YWdn0vz</v>
      </c>
      <c r="D475"/>
      <c r="E475">
        <v>7388</v>
      </c>
      <c r="F475">
        <v>59</v>
      </c>
      <c r="G475"/>
      <c r="H475">
        <v>86</v>
      </c>
      <c r="I475"/>
      <c r="J475"/>
      <c r="K475" t="inlineStr">
        <is>
          <t>电子版</t>
        </is>
      </c>
      <c r="L475"/>
      <c r="M475" t="inlineStr">
        <is>
          <t>Claire澳洲学姐（雅思口语9分）的店</t>
        </is>
      </c>
      <c r="N475">
        <v>36000</v>
      </c>
      <c r="O475">
        <v>4.58</v>
      </c>
      <c r="P475">
        <v>20000</v>
      </c>
      <c r="Q475" t="inlineStr">
        <is>
          <t>6739fd4c34179e0001a8509d</t>
        </is>
      </c>
      <c r="R475" t="inlineStr">
        <is>
          <t>🚫重复</t>
        </is>
      </c>
      <c r="S475" t="inlineStr">
        <is>
          <t>英语资料</t>
        </is>
      </c>
      <c r="T475" t="inlineStr">
        <is>
          <t>0.21</t>
        </is>
      </c>
      <c r="U475" s="3">
        <v>46112.78107638889</v>
      </c>
      <c r="V475" t="inlineStr">
        <is>
          <t>虚拟产品</t>
        </is>
      </c>
      <c r="W475" s="3">
        <v>46032</v>
      </c>
      <c r="X475" t="inlineStr">
        <is>
          <t>01</t>
        </is>
      </c>
      <c r="Y475" t="inlineStr">
        <is>
          <t>2026-Q1</t>
        </is>
      </c>
    </row>
    <row r="476" ht="38.25" customHeight="1">
      <c r="A476" t="inlineStr">
        <is>
          <t>虚拟定制－考研英语作文模板(英一英二通用)</t>
        </is>
      </c>
      <c r="B476" t="inlineStr">
        <is>
          <t>__upload_recv7RwHF2CcTf.jpg</t>
        </is>
      </c>
      <c r="C476" s="2" t="str">
        <f>=HYPERLINK("https://xhslink.com/m/5h6K6Gbsexs", "https://xhslink.com/m/5h6K6Gbsexs")</f>
        <v>https://xhslink.com/m/5h6K6Gbsexs</v>
      </c>
      <c r="D476"/>
      <c r="E476">
        <v>7092</v>
      </c>
      <c r="F476">
        <v>9.99</v>
      </c>
      <c r="G476"/>
      <c r="H476">
        <v>1000</v>
      </c>
      <c r="I476"/>
      <c r="J476"/>
      <c r="K476" t="inlineStr">
        <is>
          <t>电子版</t>
        </is>
      </c>
      <c r="L476"/>
      <c r="M476" t="inlineStr">
        <is>
          <t>不只是碎片的店</t>
        </is>
      </c>
      <c r="N476">
        <v>13000</v>
      </c>
      <c r="O476">
        <v>4.32</v>
      </c>
      <c r="P476">
        <v>10000</v>
      </c>
      <c r="Q476" t="inlineStr">
        <is>
          <t>670f0b6bd147610001dcf08a</t>
        </is>
      </c>
      <c r="R476" t="inlineStr">
        <is>
          <t>🚫重复</t>
        </is>
      </c>
      <c r="S476" t="inlineStr">
        <is>
          <t>考研资料</t>
        </is>
      </c>
      <c r="T476" t="inlineStr">
        <is>
          <t>0.55</t>
        </is>
      </c>
      <c r="U476" s="3">
        <v>46112.78107638889</v>
      </c>
      <c r="V476" t="inlineStr">
        <is>
          <t>虚拟产品</t>
        </is>
      </c>
      <c r="W476" s="3">
        <v>46032</v>
      </c>
      <c r="X476" t="inlineStr">
        <is>
          <t>01</t>
        </is>
      </c>
      <c r="Y476" t="inlineStr">
        <is>
          <t>2026-Q1</t>
        </is>
      </c>
    </row>
    <row r="477" ht="38.25" customHeight="1">
      <c r="A477" t="inlineStr">
        <is>
          <t>2025年高考语文数学英语物理化学历史地理政治真题分类汇编电子版</t>
        </is>
      </c>
      <c r="B477" t="inlineStr">
        <is>
          <t>__upload_recv7RwHF2ESL3.jpg</t>
        </is>
      </c>
      <c r="C477" s="2" t="str">
        <f>=HYPERLINK("https://xhslink.com/m/AAj0qXdubLL", "https://xhslink.com/m/AAj0qXdubLL")</f>
        <v>https://xhslink.com/m/AAj0qXdubLL</v>
      </c>
      <c r="D477"/>
      <c r="E477">
        <v>7118</v>
      </c>
      <c r="F477">
        <v>29.8</v>
      </c>
      <c r="G477"/>
      <c r="H477">
        <v>150</v>
      </c>
      <c r="I477"/>
      <c r="J477"/>
      <c r="K477" t="inlineStr">
        <is>
          <t>电子版</t>
        </is>
      </c>
      <c r="L477"/>
      <c r="M477" t="inlineStr">
        <is>
          <t>发发的高中资料库的店</t>
        </is>
      </c>
      <c r="N477">
        <v>16000</v>
      </c>
      <c r="O477">
        <v>4.44</v>
      </c>
      <c r="P477">
        <v>50000</v>
      </c>
      <c r="Q477" t="inlineStr">
        <is>
          <t>678f061e96b36c0001e78446</t>
        </is>
      </c>
      <c r="R477" t="inlineStr">
        <is>
          <t>🚫重复</t>
        </is>
      </c>
      <c r="S477" t="inlineStr">
        <is>
          <t>高中/高考资料</t>
        </is>
      </c>
      <c r="T477" t="inlineStr">
        <is>
          <t>0.44</t>
        </is>
      </c>
      <c r="U477" s="3">
        <v>46112.78107638889</v>
      </c>
      <c r="V477" t="inlineStr">
        <is>
          <t>虚拟产品</t>
        </is>
      </c>
      <c r="W477" s="3">
        <v>46032</v>
      </c>
      <c r="X477" t="inlineStr">
        <is>
          <t>01</t>
        </is>
      </c>
      <c r="Y477" t="inlineStr">
        <is>
          <t>2026-Q1</t>
        </is>
      </c>
    </row>
    <row r="478" ht="38.25" customHeight="1">
      <c r="A478" t="inlineStr">
        <is>
          <t>005 幼儿识字1300字 通关检测表（拼音&amp;无拼音），非实物</t>
        </is>
      </c>
      <c r="B478" t="inlineStr">
        <is>
          <t>__upload_recv7RwHF22xss.jpg</t>
        </is>
      </c>
      <c r="C478" s="2" t="str">
        <f>=HYPERLINK("https://xhslink.com/m/4dIl3IZglas", "https://xhslink.com/m/4dIl3IZglas")</f>
        <v>https://xhslink.com/m/4dIl3IZglas</v>
      </c>
      <c r="D478"/>
      <c r="E478">
        <v>6784</v>
      </c>
      <c r="F478">
        <v>2.9</v>
      </c>
      <c r="G478"/>
      <c r="H478">
        <v>500</v>
      </c>
      <c r="I478"/>
      <c r="J478"/>
      <c r="K478" t="inlineStr">
        <is>
          <t>电子版</t>
        </is>
      </c>
      <c r="L478" t="inlineStr">
        <is>
          <t>🔥低粉爆款</t>
        </is>
      </c>
      <c r="M478" t="inlineStr">
        <is>
          <t>东东小屋的店</t>
        </is>
      </c>
      <c r="N478">
        <v>1655</v>
      </c>
      <c r="O478">
        <v>4.71</v>
      </c>
      <c r="P478">
        <v>17000</v>
      </c>
      <c r="Q478" t="inlineStr">
        <is>
          <t>686bee6d80b7300001a9891a</t>
        </is>
      </c>
      <c r="R478"/>
      <c r="S478" t="inlineStr">
        <is>
          <t>幼教资料</t>
        </is>
      </c>
      <c r="T478" t="inlineStr">
        <is>
          <t>4.10</t>
        </is>
      </c>
      <c r="U478" s="3">
        <v>46112.78107638889</v>
      </c>
      <c r="V478" t="inlineStr">
        <is>
          <t>虚拟产品</t>
        </is>
      </c>
      <c r="W478" s="3">
        <v>46032</v>
      </c>
      <c r="X478" t="inlineStr">
        <is>
          <t>01</t>
        </is>
      </c>
      <c r="Y478" t="inlineStr">
        <is>
          <t>2026-Q1</t>
        </is>
      </c>
    </row>
    <row r="479" ht="38.25" customHeight="1">
      <c r="A479" t="inlineStr">
        <is>
          <t>量子与猫 · 2026全年计划日程本|电子手账|Goodnotes模板|Notability学习笔记</t>
        </is>
      </c>
      <c r="B479" t="inlineStr">
        <is>
          <t>__upload_recv7RwHF2nYQj.jpg</t>
        </is>
      </c>
      <c r="C479" s="2" t="str">
        <f>=HYPERLINK("https://xhslink.com/m/6dbSWY9kUFI", "https://xhslink.com/m/6dbSWY9kUFI")</f>
        <v>https://xhslink.com/m/6dbSWY9kUFI</v>
      </c>
      <c r="D479"/>
      <c r="E479">
        <v>6684</v>
      </c>
      <c r="F479">
        <v>30.8</v>
      </c>
      <c r="G479"/>
      <c r="H479">
        <v>250</v>
      </c>
      <c r="I479"/>
      <c r="J479"/>
      <c r="K479" t="inlineStr">
        <is>
          <t>电子版</t>
        </is>
      </c>
      <c r="L479"/>
      <c r="M479" t="inlineStr">
        <is>
          <t>量子与猫的店</t>
        </is>
      </c>
      <c r="N479">
        <v>35000</v>
      </c>
      <c r="O479">
        <v>4.1</v>
      </c>
      <c r="P479">
        <v>11000</v>
      </c>
      <c r="Q479" t="inlineStr">
        <is>
          <t>6554408a2dda1800010a135e</t>
        </is>
      </c>
      <c r="R479" t="inlineStr">
        <is>
          <t>🚫重复</t>
        </is>
      </c>
      <c r="S479" t="inlineStr">
        <is>
          <t>无匹配类别</t>
        </is>
      </c>
      <c r="T479" t="inlineStr">
        <is>
          <t>0.19</t>
        </is>
      </c>
      <c r="U479" s="3">
        <v>46112.78107638889</v>
      </c>
      <c r="V479" t="inlineStr">
        <is>
          <t>虚拟产品</t>
        </is>
      </c>
      <c r="W479" s="3">
        <v>46032</v>
      </c>
      <c r="X479" t="inlineStr">
        <is>
          <t>01</t>
        </is>
      </c>
      <c r="Y479" t="inlineStr">
        <is>
          <t>2026-Q1</t>
        </is>
      </c>
    </row>
    <row r="480" ht="38.25" customHeight="1">
      <c r="A480" t="inlineStr">
        <is>
          <t>初中英语语法小纸条，中考英语语法知识梳理电子版（pdf+word）</t>
        </is>
      </c>
      <c r="B480" t="inlineStr">
        <is>
          <t>__upload_recv7RwHF2ar3u.jpg</t>
        </is>
      </c>
      <c r="C480" s="2" t="str">
        <f>=HYPERLINK("https://xhslink.com/m/6HNY5h25wv4", "https://xhslink.com/m/6HNY5h25wv4")</f>
        <v>https://xhslink.com/m/6HNY5h25wv4</v>
      </c>
      <c r="D480"/>
      <c r="E480">
        <v>6420</v>
      </c>
      <c r="F480">
        <v>3.9</v>
      </c>
      <c r="G480"/>
      <c r="H480">
        <v>900</v>
      </c>
      <c r="I480"/>
      <c r="J480"/>
      <c r="K480" t="inlineStr">
        <is>
          <t>电子版</t>
        </is>
      </c>
      <c r="L480"/>
      <c r="M480" t="inlineStr">
        <is>
          <t>学界小筑的店</t>
        </is>
      </c>
      <c r="N480">
        <v>2754</v>
      </c>
      <c r="O480">
        <v>4.15</v>
      </c>
      <c r="P480">
        <v>12000</v>
      </c>
      <c r="Q480" t="inlineStr">
        <is>
          <t>691d229852eecb000131999b</t>
        </is>
      </c>
      <c r="R480" t="inlineStr">
        <is>
          <t>🚫重复</t>
        </is>
      </c>
      <c r="S480" t="inlineStr">
        <is>
          <t>中小学教辅/教材</t>
        </is>
      </c>
      <c r="T480" t="inlineStr">
        <is>
          <t>2.33</t>
        </is>
      </c>
      <c r="U480" s="3">
        <v>46112.78107638889</v>
      </c>
      <c r="V480" t="inlineStr">
        <is>
          <t>虚拟产品</t>
        </is>
      </c>
      <c r="W480" s="3">
        <v>46032</v>
      </c>
      <c r="X480" t="inlineStr">
        <is>
          <t>01</t>
        </is>
      </c>
      <c r="Y480" t="inlineStr">
        <is>
          <t>2026-Q1</t>
        </is>
      </c>
    </row>
    <row r="481" ht="38.25" customHeight="1">
      <c r="A481" t="inlineStr">
        <is>
          <t>2025版 ‖ 期中考试真题专项练习（考试真题）【电子版】</t>
        </is>
      </c>
      <c r="B481" t="inlineStr">
        <is>
          <t>__upload_recv7RwHF21FwL.jpg</t>
        </is>
      </c>
      <c r="C481" s="2" t="str">
        <f>=HYPERLINK("https://xhslink.com/m/5nH3SObKfAO", "https://xhslink.com/m/5nH3SObKfAO")</f>
        <v>https://xhslink.com/m/5nH3SObKfAO</v>
      </c>
      <c r="D481"/>
      <c r="E481">
        <v>6179</v>
      </c>
      <c r="F481">
        <v>3.5</v>
      </c>
      <c r="G481"/>
      <c r="H481">
        <v>96</v>
      </c>
      <c r="I481"/>
      <c r="J481"/>
      <c r="K481" t="inlineStr">
        <is>
          <t>电子版</t>
        </is>
      </c>
      <c r="L481"/>
      <c r="M481" t="inlineStr">
        <is>
          <t>小羊同学！的店</t>
        </is>
      </c>
      <c r="N481">
        <v>279000</v>
      </c>
      <c r="O481">
        <v>4.51</v>
      </c>
      <c r="P481">
        <v>209000</v>
      </c>
      <c r="Q481" t="inlineStr">
        <is>
          <t>675bf9055677c90001d1151e</t>
        </is>
      </c>
      <c r="R481" t="inlineStr">
        <is>
          <t>🚫重复</t>
        </is>
      </c>
      <c r="S481" t="inlineStr">
        <is>
          <t>中小学教辅/教材</t>
        </is>
      </c>
      <c r="T481" t="inlineStr">
        <is>
          <t>0.02</t>
        </is>
      </c>
      <c r="U481" s="3">
        <v>46112.78107638889</v>
      </c>
      <c r="V481" t="inlineStr">
        <is>
          <t>虚拟产品</t>
        </is>
      </c>
      <c r="W481" s="3">
        <v>46032</v>
      </c>
      <c r="X481" t="inlineStr">
        <is>
          <t>01</t>
        </is>
      </c>
      <c r="Y481" t="inlineStr">
        <is>
          <t>2026-Q1</t>
        </is>
      </c>
    </row>
    <row r="482" ht="38.25" customHeight="1">
      <c r="A482" t="inlineStr">
        <is>
          <t>ppt · WPS超级会员PPT模板PDF格式转换</t>
        </is>
      </c>
      <c r="B482" t="inlineStr">
        <is>
          <t>__upload_recv7RwHF2TohS.jpg</t>
        </is>
      </c>
      <c r="C482" s="2" t="str">
        <f>=HYPERLINK("https://xhslink.com/m/8gwCywFX2N5", "https://xhslink.com/m/8gwCywFX2N5")</f>
        <v>https://xhslink.com/m/8gwCywFX2N5</v>
      </c>
      <c r="D482"/>
      <c r="E482">
        <v>6042</v>
      </c>
      <c r="F482">
        <v>2</v>
      </c>
      <c r="G482"/>
      <c r="H482">
        <v>750</v>
      </c>
      <c r="I482"/>
      <c r="J482"/>
      <c r="K482" t="inlineStr">
        <is>
          <t>电子版</t>
        </is>
      </c>
      <c r="L482" t="inlineStr">
        <is>
          <t>🔥低粉爆款</t>
        </is>
      </c>
      <c r="M482" t="inlineStr">
        <is>
          <t>三金vip的店</t>
        </is>
      </c>
      <c r="N482">
        <v>136</v>
      </c>
      <c r="O482">
        <v>4.15</v>
      </c>
      <c r="P482">
        <v>6268</v>
      </c>
      <c r="Q482" t="inlineStr">
        <is>
          <t>69008141cdf9d6000168fcce</t>
        </is>
      </c>
      <c r="R482" t="inlineStr">
        <is>
          <t>🚫重复</t>
        </is>
      </c>
      <c r="S482" t="inlineStr">
        <is>
          <t>PPT模板</t>
        </is>
      </c>
      <c r="T482" t="inlineStr">
        <is>
          <t>44.43</t>
        </is>
      </c>
      <c r="U482" s="3">
        <v>46112.78107638889</v>
      </c>
      <c r="V482" t="inlineStr">
        <is>
          <t>虚拟产品</t>
        </is>
      </c>
      <c r="W482" s="3">
        <v>46032</v>
      </c>
      <c r="X482" t="inlineStr">
        <is>
          <t>01</t>
        </is>
      </c>
      <c r="Y482" t="inlineStr">
        <is>
          <t>2026-Q1</t>
        </is>
      </c>
    </row>
    <row r="483" ht="38.25" customHeight="1">
      <c r="A483" t="inlineStr">
        <is>
          <t>雅思/考研英语/专四专八/六级单词词根词缀讲义(电子资料，不退换</t>
        </is>
      </c>
      <c r="B483" t="inlineStr">
        <is>
          <t>__upload_recv7RwHF2C2DY.jpg</t>
        </is>
      </c>
      <c r="C483" s="2" t="str">
        <f>=HYPERLINK("https://xhslink.com/m/8UmTV9Hyj9c", "https://xhslink.com/m/8UmTV9Hyj9c")</f>
        <v>https://xhslink.com/m/8UmTV9Hyj9c</v>
      </c>
      <c r="D483"/>
      <c r="E483">
        <v>5838</v>
      </c>
      <c r="F483">
        <v>9.99</v>
      </c>
      <c r="G483"/>
      <c r="H483">
        <v>250</v>
      </c>
      <c r="I483"/>
      <c r="J483"/>
      <c r="K483" t="inlineStr">
        <is>
          <t>电子版</t>
        </is>
      </c>
      <c r="L483"/>
      <c r="M483" t="inlineStr">
        <is>
          <t>炒粉炒面翻译的店</t>
        </is>
      </c>
      <c r="N483">
        <v>30000</v>
      </c>
      <c r="O483">
        <v>4.58</v>
      </c>
      <c r="P483">
        <v>36000</v>
      </c>
      <c r="Q483" t="inlineStr">
        <is>
          <t>678f8b4a29b9f70001e5e2eb</t>
        </is>
      </c>
      <c r="R483"/>
      <c r="S483" t="inlineStr">
        <is>
          <t>英语资料</t>
        </is>
      </c>
      <c r="T483" t="inlineStr">
        <is>
          <t>0.19</t>
        </is>
      </c>
      <c r="U483" s="3">
        <v>46112.78107638889</v>
      </c>
      <c r="V483" t="inlineStr">
        <is>
          <t>虚拟产品</t>
        </is>
      </c>
      <c r="W483" s="3">
        <v>46032</v>
      </c>
      <c r="X483" t="inlineStr">
        <is>
          <t>01</t>
        </is>
      </c>
      <c r="Y483" t="inlineStr">
        <is>
          <t>2026-Q1</t>
        </is>
      </c>
    </row>
    <row r="484" ht="38.25" customHeight="1">
      <c r="A484" t="inlineStr">
        <is>
          <t>电子版线稿【任选一款】购买后联系客服</t>
        </is>
      </c>
      <c r="B484" t="inlineStr">
        <is>
          <t>__upload_recv7RwHF2R8wb.jpg</t>
        </is>
      </c>
      <c r="C484" s="2" t="str">
        <f>=HYPERLINK("https://xhslink.com/m/iaAbsneP3S", "https://xhslink.com/m/iaAbsneP3S")</f>
        <v>https://xhslink.com/m/iaAbsneP3S</v>
      </c>
      <c r="D484"/>
      <c r="E484">
        <v>5803</v>
      </c>
      <c r="F484">
        <v>9.9</v>
      </c>
      <c r="G484"/>
      <c r="H484">
        <v>100</v>
      </c>
      <c r="I484"/>
      <c r="J484"/>
      <c r="K484" t="inlineStr">
        <is>
          <t>电子版</t>
        </is>
      </c>
      <c r="L484"/>
      <c r="M484" t="inlineStr">
        <is>
          <t>涂涂爱画画的店</t>
        </is>
      </c>
      <c r="N484">
        <v>20000</v>
      </c>
      <c r="O484">
        <v>4.16</v>
      </c>
      <c r="P484">
        <v>6047</v>
      </c>
      <c r="Q484" t="inlineStr">
        <is>
          <t>648ede3e64576400011a19e8</t>
        </is>
      </c>
      <c r="R484"/>
      <c r="S484" t="inlineStr">
        <is>
          <t>设计素材</t>
        </is>
      </c>
      <c r="T484" t="inlineStr">
        <is>
          <t>0.29</t>
        </is>
      </c>
      <c r="U484" s="3">
        <v>46112.78107638889</v>
      </c>
      <c r="V484" t="inlineStr">
        <is>
          <t>虚拟产品</t>
        </is>
      </c>
      <c r="W484" s="3">
        <v>46032</v>
      </c>
      <c r="X484" t="inlineStr">
        <is>
          <t>01</t>
        </is>
      </c>
      <c r="Y484" t="inlineStr">
        <is>
          <t>2026-Q1</t>
        </is>
      </c>
    </row>
    <row r="485" ht="38.25" customHeight="1">
      <c r="A485" t="inlineStr">
        <is>
          <t>2025春新人教版初一七年级各科早背晚默小纸条电子版资料</t>
        </is>
      </c>
      <c r="B485" t="inlineStr">
        <is>
          <t>__upload_recv7RwHF27zJ2.jpg</t>
        </is>
      </c>
      <c r="C485" s="2" t="str">
        <f>=HYPERLINK("https://xhslink.com/m/4WHjQ0tTfwd", "https://xhslink.com/m/4WHjQ0tTfwd")</f>
        <v>https://xhslink.com/m/4WHjQ0tTfwd</v>
      </c>
      <c r="D485"/>
      <c r="E485">
        <v>5744</v>
      </c>
      <c r="F485">
        <v>9.9</v>
      </c>
      <c r="G485"/>
      <c r="H485">
        <v>650</v>
      </c>
      <c r="I485"/>
      <c r="J485"/>
      <c r="K485" t="inlineStr">
        <is>
          <t>电子版</t>
        </is>
      </c>
      <c r="L485"/>
      <c r="M485" t="inlineStr">
        <is>
          <t>崔老师的资料库的店</t>
        </is>
      </c>
      <c r="N485">
        <v>2539</v>
      </c>
      <c r="O485">
        <v>4.09</v>
      </c>
      <c r="P485">
        <v>6662</v>
      </c>
      <c r="Q485" t="inlineStr">
        <is>
          <t>683e01be317c900001b5b76c</t>
        </is>
      </c>
      <c r="R485" t="inlineStr">
        <is>
          <t>🚫重复</t>
        </is>
      </c>
      <c r="S485" t="inlineStr">
        <is>
          <t>中小学教辅/教材</t>
        </is>
      </c>
      <c r="T485" t="inlineStr">
        <is>
          <t>2.26</t>
        </is>
      </c>
      <c r="U485" s="3">
        <v>46112.78107638889</v>
      </c>
      <c r="V485" t="inlineStr">
        <is>
          <t>虚拟产品</t>
        </is>
      </c>
      <c r="W485" s="3">
        <v>46032</v>
      </c>
      <c r="X485" t="inlineStr">
        <is>
          <t>01</t>
        </is>
      </c>
      <c r="Y485" t="inlineStr">
        <is>
          <t>2026-Q1</t>
        </is>
      </c>
    </row>
    <row r="486" ht="38.25" customHeight="1">
      <c r="A486" t="inlineStr">
        <is>
          <t>2025版 ‖ 词语闯关表每课一练【电子版】</t>
        </is>
      </c>
      <c r="B486" t="inlineStr">
        <is>
          <t>__upload_recv7RwHF2qykE.jpg</t>
        </is>
      </c>
      <c r="C486" s="2" t="str">
        <f>=HYPERLINK("https://xhslink.com/m/2ghE8LRr2xS", "https://xhslink.com/m/2ghE8LRr2xS")</f>
        <v>https://xhslink.com/m/2ghE8LRr2xS</v>
      </c>
      <c r="D486"/>
      <c r="E486">
        <v>5690</v>
      </c>
      <c r="F486">
        <v>2</v>
      </c>
      <c r="G486"/>
      <c r="H486">
        <v>150</v>
      </c>
      <c r="I486"/>
      <c r="J486"/>
      <c r="K486" t="inlineStr">
        <is>
          <t>电子版</t>
        </is>
      </c>
      <c r="L486"/>
      <c r="M486" t="inlineStr">
        <is>
          <t>小羊同学！的店</t>
        </is>
      </c>
      <c r="N486">
        <v>279000</v>
      </c>
      <c r="O486">
        <v>4.51</v>
      </c>
      <c r="P486">
        <v>209000</v>
      </c>
      <c r="Q486" t="inlineStr">
        <is>
          <t>677b850c771e520001d5e62d</t>
        </is>
      </c>
      <c r="R486" t="inlineStr">
        <is>
          <t>🚫重复</t>
        </is>
      </c>
      <c r="S486" t="inlineStr">
        <is>
          <t>中小学教辅/教材</t>
        </is>
      </c>
      <c r="T486" t="inlineStr">
        <is>
          <t>0.02</t>
        </is>
      </c>
      <c r="U486" s="3">
        <v>46112.78107638889</v>
      </c>
      <c r="V486" t="inlineStr">
        <is>
          <t>虚拟产品</t>
        </is>
      </c>
      <c r="W486" s="3">
        <v>46032</v>
      </c>
      <c r="X486" t="inlineStr">
        <is>
          <t>01</t>
        </is>
      </c>
      <c r="Y486" t="inlineStr">
        <is>
          <t>2026-Q1</t>
        </is>
      </c>
    </row>
    <row r="487" ht="38.25" customHeight="1">
      <c r="A487" t="inlineStr">
        <is>
          <t>荆霄鹏《练字帖》含视频 整套打包 电子版【发百度网盘链接】</t>
        </is>
      </c>
      <c r="B487" t="inlineStr">
        <is>
          <t>__upload_recv7RwHF2H4IP.jpg</t>
        </is>
      </c>
      <c r="C487" s="2" t="str">
        <f>=HYPERLINK("https://xhslink.com/m/1r5fSvA5afY", "https://xhslink.com/m/1r5fSvA5afY")</f>
        <v>https://xhslink.com/m/1r5fSvA5afY</v>
      </c>
      <c r="D487"/>
      <c r="E487">
        <v>5626</v>
      </c>
      <c r="F487">
        <v>6.98</v>
      </c>
      <c r="G487"/>
      <c r="H487">
        <v>150</v>
      </c>
      <c r="I487"/>
      <c r="J487"/>
      <c r="K487" t="inlineStr">
        <is>
          <t>电子版</t>
        </is>
      </c>
      <c r="L487"/>
      <c r="M487" t="inlineStr">
        <is>
          <t>小陈老师分享练字教材呀的店</t>
        </is>
      </c>
      <c r="N487">
        <v>6473</v>
      </c>
      <c r="O487">
        <v>4.2</v>
      </c>
      <c r="P487">
        <v>16000</v>
      </c>
      <c r="Q487" t="inlineStr">
        <is>
          <t>661414ccdf3ddc00012c7651</t>
        </is>
      </c>
      <c r="R487"/>
      <c r="S487" t="inlineStr">
        <is>
          <t>中小学教辅/教材</t>
        </is>
      </c>
      <c r="T487" t="inlineStr">
        <is>
          <t>0.87</t>
        </is>
      </c>
      <c r="U487" s="3">
        <v>46112.78107638889</v>
      </c>
      <c r="V487" t="inlineStr">
        <is>
          <t>虚拟产品</t>
        </is>
      </c>
      <c r="W487" s="3">
        <v>46032</v>
      </c>
      <c r="X487" t="inlineStr">
        <is>
          <t>01</t>
        </is>
      </c>
      <c r="Y487" t="inlineStr">
        <is>
          <t>2026-Q1</t>
        </is>
      </c>
    </row>
    <row r="488" ht="38.25" customHeight="1">
      <c r="A488" t="inlineStr">
        <is>
          <t>英语四级六级历年真题PDF版 1990~2025.6 真题</t>
        </is>
      </c>
      <c r="B488" t="inlineStr">
        <is>
          <t>__upload_recv7RwHF27uLT.jpg</t>
        </is>
      </c>
      <c r="C488" s="2" t="str">
        <f>=HYPERLINK("https://xhslink.com/m/5YLGm9xdeA9", "https://xhslink.com/m/5YLGm9xdeA9")</f>
        <v>https://xhslink.com/m/5YLGm9xdeA9</v>
      </c>
      <c r="D488"/>
      <c r="E488">
        <v>5610</v>
      </c>
      <c r="F488">
        <v>0.99</v>
      </c>
      <c r="G488"/>
      <c r="H488">
        <v>1500</v>
      </c>
      <c r="I488"/>
      <c r="J488"/>
      <c r="K488" t="inlineStr">
        <is>
          <t>电子版</t>
        </is>
      </c>
      <c r="L488" t="inlineStr">
        <is>
          <t>🔥低粉爆款</t>
        </is>
      </c>
      <c r="M488" t="inlineStr">
        <is>
          <t>离雨淬阁的店</t>
        </is>
      </c>
      <c r="N488">
        <v>695</v>
      </c>
      <c r="O488">
        <v>4.58</v>
      </c>
      <c r="P488">
        <v>26000</v>
      </c>
      <c r="Q488" t="inlineStr">
        <is>
          <t>68371138f1a0740001c81ae5</t>
        </is>
      </c>
      <c r="R488" t="inlineStr">
        <is>
          <t>🚫重复</t>
        </is>
      </c>
      <c r="S488" t="inlineStr">
        <is>
          <t>英语资料</t>
        </is>
      </c>
      <c r="T488" t="inlineStr">
        <is>
          <t>8.07</t>
        </is>
      </c>
      <c r="U488" s="3">
        <v>46112.78107638889</v>
      </c>
      <c r="V488" t="inlineStr">
        <is>
          <t>虚拟产品</t>
        </is>
      </c>
      <c r="W488" s="3">
        <v>46032</v>
      </c>
      <c r="X488" t="inlineStr">
        <is>
          <t>01</t>
        </is>
      </c>
      <c r="Y488" t="inlineStr">
        <is>
          <t>2026-Q1</t>
        </is>
      </c>
    </row>
    <row r="489" ht="38.25" customHeight="1">
      <c r="A489" t="inlineStr">
        <is>
          <t>小学语文同步作文范文每单元10篇【电子版】</t>
        </is>
      </c>
      <c r="B489" t="inlineStr">
        <is>
          <t>__upload_recv7RwHF2TVYs.jpg</t>
        </is>
      </c>
      <c r="C489" s="2" t="str">
        <f>=HYPERLINK("https://xhslink.com/m/2ZjAgR6qfxw", "https://xhslink.com/m/2ZjAgR6qfxw")</f>
        <v>https://xhslink.com/m/2ZjAgR6qfxw</v>
      </c>
      <c r="D489"/>
      <c r="E489">
        <v>5350</v>
      </c>
      <c r="F489">
        <v>9.99</v>
      </c>
      <c r="G489"/>
      <c r="H489">
        <v>100</v>
      </c>
      <c r="I489"/>
      <c r="J489"/>
      <c r="K489" t="inlineStr">
        <is>
          <t>电子版</t>
        </is>
      </c>
      <c r="L489"/>
      <c r="M489" t="inlineStr">
        <is>
          <t>小羊同学！的店</t>
        </is>
      </c>
      <c r="N489">
        <v>279000</v>
      </c>
      <c r="O489">
        <v>4.51</v>
      </c>
      <c r="P489">
        <v>209000</v>
      </c>
      <c r="Q489" t="inlineStr">
        <is>
          <t>66b213f4d711cd00014a1e1f</t>
        </is>
      </c>
      <c r="R489" t="inlineStr">
        <is>
          <t>🚫重复</t>
        </is>
      </c>
      <c r="S489" t="inlineStr">
        <is>
          <t>中小学教辅/教材</t>
        </is>
      </c>
      <c r="T489" t="inlineStr">
        <is>
          <t>0.02</t>
        </is>
      </c>
      <c r="U489" s="3">
        <v>46112.78107638889</v>
      </c>
      <c r="V489" t="inlineStr">
        <is>
          <t>虚拟产品</t>
        </is>
      </c>
      <c r="W489" s="3">
        <v>46032</v>
      </c>
      <c r="X489" t="inlineStr">
        <is>
          <t>01</t>
        </is>
      </c>
      <c r="Y489" t="inlineStr">
        <is>
          <t>2026-Q1</t>
        </is>
      </c>
    </row>
    <row r="490" ht="38.25" customHeight="1">
      <c r="A490" t="inlineStr">
        <is>
          <t>电子版手抄报模版</t>
        </is>
      </c>
      <c r="B490" t="inlineStr">
        <is>
          <t>__upload_recv7RwHF2FUBL.jpg</t>
        </is>
      </c>
      <c r="C490" s="2" t="str">
        <f>=HYPERLINK("https://xhslink.com/m/ArNg00qDpe9", "https://xhslink.com/m/ArNg00qDpe9")</f>
        <v>https://xhslink.com/m/ArNg00qDpe9</v>
      </c>
      <c r="D490"/>
      <c r="E490">
        <v>5318</v>
      </c>
      <c r="F490">
        <v>6.6</v>
      </c>
      <c r="G490"/>
      <c r="H490">
        <v>200</v>
      </c>
      <c r="I490"/>
      <c r="J490"/>
      <c r="K490" t="inlineStr">
        <is>
          <t>电子版</t>
        </is>
      </c>
      <c r="L490"/>
      <c r="M490" t="inlineStr">
        <is>
          <t>小桃子姐姐画画吧🎨的店</t>
        </is>
      </c>
      <c r="N490">
        <v>72000</v>
      </c>
      <c r="O490">
        <v>4.47</v>
      </c>
      <c r="P490">
        <v>7310</v>
      </c>
      <c r="Q490" t="inlineStr">
        <is>
          <t>64e9777b6d6d7f0001166d84</t>
        </is>
      </c>
      <c r="R490"/>
      <c r="S490" t="inlineStr">
        <is>
          <t>设计素材</t>
        </is>
      </c>
      <c r="T490" t="inlineStr">
        <is>
          <t>0.07</t>
        </is>
      </c>
      <c r="U490" s="3">
        <v>46112.78107638889</v>
      </c>
      <c r="V490" t="inlineStr">
        <is>
          <t>虚拟产品</t>
        </is>
      </c>
      <c r="W490" s="3">
        <v>46032</v>
      </c>
      <c r="X490" t="inlineStr">
        <is>
          <t>01</t>
        </is>
      </c>
      <c r="Y490" t="inlineStr">
        <is>
          <t>2026-Q1</t>
        </is>
      </c>
    </row>
    <row r="491" ht="38.25" customHeight="1">
      <c r="A491" t="inlineStr">
        <is>
          <t>2025新版七年级上册历史知识点总结（电子版，全册文档）</t>
        </is>
      </c>
      <c r="B491" t="inlineStr">
        <is>
          <t>__upload_recv7RwHF2nXfy.jpg</t>
        </is>
      </c>
      <c r="C491" s="2" t="str">
        <f>=HYPERLINK("https://xhslink.com/m/3S2Aec5l2Hb", "https://xhslink.com/m/3S2Aec5l2Hb")</f>
        <v>https://xhslink.com/m/3S2Aec5l2Hb</v>
      </c>
      <c r="D491"/>
      <c r="E491">
        <v>5325</v>
      </c>
      <c r="F491">
        <v>2.88</v>
      </c>
      <c r="G491"/>
      <c r="H491">
        <v>150</v>
      </c>
      <c r="I491"/>
      <c r="J491"/>
      <c r="K491" t="inlineStr">
        <is>
          <t>电子版</t>
        </is>
      </c>
      <c r="L491"/>
      <c r="M491" t="inlineStr">
        <is>
          <t>历史南南的店</t>
        </is>
      </c>
      <c r="N491">
        <v>13000</v>
      </c>
      <c r="O491">
        <v>4.44</v>
      </c>
      <c r="P491">
        <v>30000</v>
      </c>
      <c r="Q491" t="inlineStr">
        <is>
          <t>64f857902548ed000123ab40</t>
        </is>
      </c>
      <c r="R491" t="inlineStr">
        <is>
          <t>🚫重复</t>
        </is>
      </c>
      <c r="S491" t="inlineStr">
        <is>
          <t>中小学教辅/教材</t>
        </is>
      </c>
      <c r="T491" t="inlineStr">
        <is>
          <t>0.41</t>
        </is>
      </c>
      <c r="U491" s="3">
        <v>46112.78107638889</v>
      </c>
      <c r="V491" t="inlineStr">
        <is>
          <t>虚拟产品</t>
        </is>
      </c>
      <c r="W491" s="3">
        <v>46032</v>
      </c>
      <c r="X491" t="inlineStr">
        <is>
          <t>01</t>
        </is>
      </c>
      <c r="Y491" t="inlineStr">
        <is>
          <t>2026-Q1</t>
        </is>
      </c>
    </row>
    <row r="492" ht="38.25" customHeight="1">
      <c r="A492" t="inlineStr">
        <is>
          <t>2026社区工作者招聘考试题库软件笔记资料社区知识行测公基专业</t>
        </is>
      </c>
      <c r="B492" t="inlineStr">
        <is>
          <t>__upload_recv7RwHF29nRI.jpg</t>
        </is>
      </c>
      <c r="C492" s="2" t="str">
        <f>=HYPERLINK("https://xhslink.com/m/8J1PFMTmNaT", "https://xhslink.com/m/8J1PFMTmNaT")</f>
        <v>https://xhslink.com/m/8J1PFMTmNaT</v>
      </c>
      <c r="D492"/>
      <c r="E492">
        <v>5316</v>
      </c>
      <c r="F492">
        <v>6</v>
      </c>
      <c r="G492"/>
      <c r="H492">
        <v>550</v>
      </c>
      <c r="I492"/>
      <c r="J492"/>
      <c r="K492" t="inlineStr">
        <is>
          <t>电子版</t>
        </is>
      </c>
      <c r="L492" t="inlineStr">
        <is>
          <t>🔥低粉爆款</t>
        </is>
      </c>
      <c r="M492" t="inlineStr">
        <is>
          <t>李喜悦的店铺的店</t>
        </is>
      </c>
      <c r="N492">
        <v>356</v>
      </c>
      <c r="O492">
        <v>3.99</v>
      </c>
      <c r="P492">
        <v>5826</v>
      </c>
      <c r="Q492" t="inlineStr">
        <is>
          <t>6868a4c7c34eef0015133cbc</t>
        </is>
      </c>
      <c r="R492" t="inlineStr">
        <is>
          <t>🚫重复</t>
        </is>
      </c>
      <c r="S492" t="inlineStr">
        <is>
          <t>无匹配类别</t>
        </is>
      </c>
      <c r="T492" t="inlineStr">
        <is>
          <t>14.93</t>
        </is>
      </c>
      <c r="U492" s="3">
        <v>46112.78107638889</v>
      </c>
      <c r="V492" t="inlineStr">
        <is>
          <t>虚拟产品</t>
        </is>
      </c>
      <c r="W492" s="3">
        <v>46032</v>
      </c>
      <c r="X492" t="inlineStr">
        <is>
          <t>01</t>
        </is>
      </c>
      <c r="Y492" t="inlineStr">
        <is>
          <t>2026-Q1</t>
        </is>
      </c>
    </row>
    <row r="493" ht="38.25" customHeight="1">
      <c r="A493" t="inlineStr">
        <is>
          <t>教基思维导图：教育学、心理学、教育心理学以及小三门</t>
        </is>
      </c>
      <c r="B493" t="inlineStr">
        <is>
          <t>__upload_recv7RwHF25KAw.jpg</t>
        </is>
      </c>
      <c r="C493" s="2" t="str">
        <f>=HYPERLINK("https://xhslink.com/m/9wbqSGAxRZ2", "https://xhslink.com/m/9wbqSGAxRZ2")</f>
        <v>https://xhslink.com/m/9wbqSGAxRZ2</v>
      </c>
      <c r="D493"/>
      <c r="E493">
        <v>4965</v>
      </c>
      <c r="F493">
        <v>3.28</v>
      </c>
      <c r="G493"/>
      <c r="H493">
        <v>100</v>
      </c>
      <c r="I493"/>
      <c r="J493"/>
      <c r="K493" t="inlineStr">
        <is>
          <t>电子版</t>
        </is>
      </c>
      <c r="L493" t="inlineStr">
        <is>
          <t>🔥低粉爆款</t>
        </is>
      </c>
      <c r="M493" t="inlineStr">
        <is>
          <t>小红帽当老师的店</t>
        </is>
      </c>
      <c r="N493">
        <v>1056</v>
      </c>
      <c r="O493">
        <v>4.3</v>
      </c>
      <c r="P493">
        <v>5594</v>
      </c>
      <c r="Q493" t="inlineStr">
        <is>
          <t>67e7726050201700018aa338</t>
        </is>
      </c>
      <c r="R493"/>
      <c r="S493" t="inlineStr">
        <is>
          <t>教资资料</t>
        </is>
      </c>
      <c r="T493" t="inlineStr">
        <is>
          <t>4.70</t>
        </is>
      </c>
      <c r="U493" s="3">
        <v>46112.78107638889</v>
      </c>
      <c r="V493" t="inlineStr">
        <is>
          <t>虚拟产品</t>
        </is>
      </c>
      <c r="W493" s="3">
        <v>46032</v>
      </c>
      <c r="X493" t="inlineStr">
        <is>
          <t>01</t>
        </is>
      </c>
      <c r="Y493" t="inlineStr">
        <is>
          <t>2026-Q1</t>
        </is>
      </c>
    </row>
    <row r="494" ht="38.25" customHeight="1">
      <c r="A494" t="inlineStr">
        <is>
          <t>（买一科送一科）思修道德与法治！知识点重点总结含题库电子版</t>
        </is>
      </c>
      <c r="B494" t="inlineStr">
        <is>
          <t>__upload_recv7RwHF2h95M.jpg</t>
        </is>
      </c>
      <c r="C494" s="2" t="str">
        <f>=HYPERLINK("https://xhslink.com/m/5w2Mp5aYYtP", "https://xhslink.com/m/5w2Mp5aYYtP")</f>
        <v>https://xhslink.com/m/5w2Mp5aYYtP</v>
      </c>
      <c r="D494"/>
      <c r="E494">
        <v>4888</v>
      </c>
      <c r="F494">
        <v>7.9</v>
      </c>
      <c r="G494"/>
      <c r="H494">
        <v>350</v>
      </c>
      <c r="I494"/>
      <c r="J494"/>
      <c r="K494" t="inlineStr">
        <is>
          <t>电子版</t>
        </is>
      </c>
      <c r="L494"/>
      <c r="M494" t="inlineStr">
        <is>
          <t>杳筱柒的店</t>
        </is>
      </c>
      <c r="N494">
        <v>5655</v>
      </c>
      <c r="O494">
        <v>4.44</v>
      </c>
      <c r="P494">
        <v>10000</v>
      </c>
      <c r="Q494" t="inlineStr">
        <is>
          <t>672cbb3e10adb50001c46a4d</t>
        </is>
      </c>
      <c r="R494" t="inlineStr">
        <is>
          <t>🚫重复</t>
        </is>
      </c>
      <c r="S494" t="inlineStr">
        <is>
          <t>大学资料</t>
        </is>
      </c>
      <c r="T494" t="inlineStr">
        <is>
          <t>0.86</t>
        </is>
      </c>
      <c r="U494" s="3">
        <v>46112.78107638889</v>
      </c>
      <c r="V494" t="inlineStr">
        <is>
          <t>虚拟产品</t>
        </is>
      </c>
      <c r="W494" s="3">
        <v>46032</v>
      </c>
      <c r="X494" t="inlineStr">
        <is>
          <t>01</t>
        </is>
      </c>
      <c r="Y494" t="inlineStr">
        <is>
          <t>2026-Q1</t>
        </is>
      </c>
    </row>
    <row r="495" ht="38.25" customHeight="1">
      <c r="A495" t="inlineStr">
        <is>
          <t>人教版部编版高中语文数学英语物理化学生物政治历史说课稿电子版</t>
        </is>
      </c>
      <c r="B495" t="inlineStr">
        <is>
          <t>__upload_recv7RwHF2UAkc.jpg</t>
        </is>
      </c>
      <c r="C495" s="2" t="str">
        <f>=HYPERLINK("https://xhslink.com/m/9EdNX7X3pgR", "https://xhslink.com/m/9EdNX7X3pgR")</f>
        <v>https://xhslink.com/m/9EdNX7X3pgR</v>
      </c>
      <c r="D495"/>
      <c r="E495">
        <v>4835</v>
      </c>
      <c r="F495">
        <v>9.9</v>
      </c>
      <c r="G495"/>
      <c r="H495">
        <v>200</v>
      </c>
      <c r="I495"/>
      <c r="J495"/>
      <c r="K495" t="inlineStr">
        <is>
          <t>电子版</t>
        </is>
      </c>
      <c r="L495"/>
      <c r="M495" t="inlineStr">
        <is>
          <t>佛系的曾老师的店</t>
        </is>
      </c>
      <c r="N495">
        <v>6296</v>
      </c>
      <c r="O495">
        <v>4.06</v>
      </c>
      <c r="P495">
        <v>27000</v>
      </c>
      <c r="Q495" t="inlineStr">
        <is>
          <t>6896cecf4daa7100018a6565</t>
        </is>
      </c>
      <c r="R495" t="inlineStr">
        <is>
          <t>🚫重复</t>
        </is>
      </c>
      <c r="S495" t="inlineStr">
        <is>
          <t>高中/高考资料</t>
        </is>
      </c>
      <c r="T495" t="inlineStr">
        <is>
          <t>0.77</t>
        </is>
      </c>
      <c r="U495" s="3">
        <v>46112.78107638889</v>
      </c>
      <c r="V495" t="inlineStr">
        <is>
          <t>虚拟产品</t>
        </is>
      </c>
      <c r="W495" s="3">
        <v>46032</v>
      </c>
      <c r="X495" t="inlineStr">
        <is>
          <t>01</t>
        </is>
      </c>
      <c r="Y495" t="inlineStr">
        <is>
          <t>2026-Q1</t>
        </is>
      </c>
    </row>
    <row r="496" ht="38.25" customHeight="1">
      <c r="A496" t="inlineStr">
        <is>
          <t>高中语文数学英语物理化学生物历史地理政治总结电子版</t>
        </is>
      </c>
      <c r="B496" t="inlineStr">
        <is>
          <t>__upload_recv7RwHF2lG3E.jpg</t>
        </is>
      </c>
      <c r="C496" s="2" t="str">
        <f>=HYPERLINK("https://xhslink.com/m/5CFoNrtum3O", "https://xhslink.com/m/5CFoNrtum3O")</f>
        <v>https://xhslink.com/m/5CFoNrtum3O</v>
      </c>
      <c r="D496"/>
      <c r="E496">
        <v>4789</v>
      </c>
      <c r="F496">
        <v>8.8</v>
      </c>
      <c r="G496"/>
      <c r="H496">
        <v>350</v>
      </c>
      <c r="I496"/>
      <c r="J496"/>
      <c r="K496" t="inlineStr">
        <is>
          <t>电子版</t>
        </is>
      </c>
      <c r="L496"/>
      <c r="M496" t="inlineStr">
        <is>
          <t>发发的高中资料库的店</t>
        </is>
      </c>
      <c r="N496">
        <v>16000</v>
      </c>
      <c r="O496">
        <v>4.44</v>
      </c>
      <c r="P496">
        <v>50000</v>
      </c>
      <c r="Q496" t="inlineStr">
        <is>
          <t>6729efc7175dab000183db3b</t>
        </is>
      </c>
      <c r="R496" t="inlineStr">
        <is>
          <t>🚫重复</t>
        </is>
      </c>
      <c r="S496" t="inlineStr">
        <is>
          <t>高中/高考资料</t>
        </is>
      </c>
      <c r="T496" t="inlineStr">
        <is>
          <t>0.30</t>
        </is>
      </c>
      <c r="U496" s="3">
        <v>46112.78107638889</v>
      </c>
      <c r="V496" t="inlineStr">
        <is>
          <t>虚拟产品</t>
        </is>
      </c>
      <c r="W496" s="3">
        <v>46032</v>
      </c>
      <c r="X496" t="inlineStr">
        <is>
          <t>01</t>
        </is>
      </c>
      <c r="Y496" t="inlineStr">
        <is>
          <t>2026-Q1</t>
        </is>
      </c>
    </row>
    <row r="497" ht="38.25" customHeight="1">
      <c r="A497" t="inlineStr">
        <is>
          <t>考研数学公式默写 数一数二数三 线代 概率（默写+完整版）电子版</t>
        </is>
      </c>
      <c r="B497" t="inlineStr">
        <is>
          <t>__upload_recv7RwHF2iX36.jpg</t>
        </is>
      </c>
      <c r="C497" s="2" t="str">
        <f>=HYPERLINK("https://xhslink.com/m/1ZAQm9yOWnU", "https://xhslink.com/m/1ZAQm9yOWnU")</f>
        <v>https://xhslink.com/m/1ZAQm9yOWnU</v>
      </c>
      <c r="D497"/>
      <c r="E497">
        <v>4768</v>
      </c>
      <c r="F497">
        <v>1</v>
      </c>
      <c r="G497"/>
      <c r="H497">
        <v>700</v>
      </c>
      <c r="I497"/>
      <c r="J497"/>
      <c r="K497" t="inlineStr">
        <is>
          <t>电子版</t>
        </is>
      </c>
      <c r="L497" t="inlineStr">
        <is>
          <t>🔥低粉爆款</t>
        </is>
      </c>
      <c r="M497" t="inlineStr">
        <is>
          <t>小瑾资料的店</t>
        </is>
      </c>
      <c r="N497">
        <v>123</v>
      </c>
      <c r="O497">
        <v>4.03</v>
      </c>
      <c r="P497">
        <v>4794</v>
      </c>
      <c r="Q497" t="inlineStr">
        <is>
          <t>68da85bbce94ee0001ecef73</t>
        </is>
      </c>
      <c r="R497" t="inlineStr">
        <is>
          <t>🚫重复</t>
        </is>
      </c>
      <c r="S497" t="inlineStr">
        <is>
          <t>考研资料</t>
        </is>
      </c>
      <c r="T497" t="inlineStr">
        <is>
          <t>38.76</t>
        </is>
      </c>
      <c r="U497" s="3">
        <v>46112.78107638889</v>
      </c>
      <c r="V497" t="inlineStr">
        <is>
          <t>虚拟产品</t>
        </is>
      </c>
      <c r="W497" s="3">
        <v>46032</v>
      </c>
      <c r="X497" t="inlineStr">
        <is>
          <t>01</t>
        </is>
      </c>
      <c r="Y497" t="inlineStr">
        <is>
          <t>2026-Q1</t>
        </is>
      </c>
    </row>
    <row r="498" ht="38.25" customHeight="1">
      <c r="A498" t="inlineStr">
        <is>
          <t>【北师大版】小学数学必备知识点晨读晚默-电子版</t>
        </is>
      </c>
      <c r="B498" t="inlineStr">
        <is>
          <t>__upload_recv7RwHF2SFJg.jpg</t>
        </is>
      </c>
      <c r="C498" s="2" t="str">
        <f>=HYPERLINK("https://xhslink.com/m/ADtkocLpoy3", "https://xhslink.com/m/ADtkocLpoy3")</f>
        <v>https://xhslink.com/m/ADtkocLpoy3</v>
      </c>
      <c r="D498"/>
      <c r="E498">
        <v>4802</v>
      </c>
      <c r="F498">
        <v>3.9</v>
      </c>
      <c r="G498"/>
      <c r="H498">
        <v>250</v>
      </c>
      <c r="I498"/>
      <c r="J498"/>
      <c r="K498" t="inlineStr">
        <is>
          <t>电子版</t>
        </is>
      </c>
      <c r="L498"/>
      <c r="M498" t="inlineStr">
        <is>
          <t>小林老师在努力的店</t>
        </is>
      </c>
      <c r="N498">
        <v>11000</v>
      </c>
      <c r="O498">
        <v>4.58</v>
      </c>
      <c r="P498">
        <v>8667</v>
      </c>
      <c r="Q498" t="inlineStr">
        <is>
          <t>673f417b00828400015207e6</t>
        </is>
      </c>
      <c r="R498" t="inlineStr">
        <is>
          <t>🚫重复</t>
        </is>
      </c>
      <c r="S498" t="inlineStr">
        <is>
          <t>中小学教辅/教材</t>
        </is>
      </c>
      <c r="T498" t="inlineStr">
        <is>
          <t>0.44</t>
        </is>
      </c>
      <c r="U498" s="3">
        <v>46112.78107638889</v>
      </c>
      <c r="V498" t="inlineStr">
        <is>
          <t>虚拟产品</t>
        </is>
      </c>
      <c r="W498" s="3">
        <v>46032</v>
      </c>
      <c r="X498" t="inlineStr">
        <is>
          <t>01</t>
        </is>
      </c>
      <c r="Y498" t="inlineStr">
        <is>
          <t>2026-Q1</t>
        </is>
      </c>
    </row>
    <row r="499" ht="38.25" customHeight="1">
      <c r="A499" t="inlineStr">
        <is>
          <t>2025秋版 ‖ 词语表+必背内容字帖【电子版】</t>
        </is>
      </c>
      <c r="B499" t="inlineStr">
        <is>
          <t>__upload_recv7RwHF2qUQK.jpg</t>
        </is>
      </c>
      <c r="C499" s="2" t="str">
        <f>=HYPERLINK("https://xhslink.com/m/99d2lfQmjGk", "https://xhslink.com/m/99d2lfQmjGk")</f>
        <v>https://xhslink.com/m/99d2lfQmjGk</v>
      </c>
      <c r="D499"/>
      <c r="E499">
        <v>4823</v>
      </c>
      <c r="F499">
        <v>2</v>
      </c>
      <c r="G499"/>
      <c r="H499">
        <v>100</v>
      </c>
      <c r="I499"/>
      <c r="J499"/>
      <c r="K499" t="inlineStr">
        <is>
          <t>电子版</t>
        </is>
      </c>
      <c r="L499"/>
      <c r="M499" t="inlineStr">
        <is>
          <t>小羊同学！的店</t>
        </is>
      </c>
      <c r="N499">
        <v>279000</v>
      </c>
      <c r="O499">
        <v>4.51</v>
      </c>
      <c r="P499">
        <v>209000</v>
      </c>
      <c r="Q499" t="inlineStr">
        <is>
          <t>687d9bb54f80eb0001e0b6c6</t>
        </is>
      </c>
      <c r="R499" t="inlineStr">
        <is>
          <t>🚫重复</t>
        </is>
      </c>
      <c r="S499" t="inlineStr">
        <is>
          <t>中小学教辅/教材</t>
        </is>
      </c>
      <c r="T499" t="inlineStr">
        <is>
          <t>0.02</t>
        </is>
      </c>
      <c r="U499" s="3">
        <v>46112.78107638889</v>
      </c>
      <c r="V499" t="inlineStr">
        <is>
          <t>虚拟产品</t>
        </is>
      </c>
      <c r="W499" s="3">
        <v>46032</v>
      </c>
      <c r="X499" t="inlineStr">
        <is>
          <t>01</t>
        </is>
      </c>
      <c r="Y499" t="inlineStr">
        <is>
          <t>2026-Q1</t>
        </is>
      </c>
    </row>
    <row r="500" ht="38.25" customHeight="1">
      <c r="A500" t="inlineStr">
        <is>
          <t>【新教材】初中各科学习笔记(电子版）知识点复习-自动发货</t>
        </is>
      </c>
      <c r="B500" t="inlineStr">
        <is>
          <t>__upload_recv7RwHF2AAA3.jpg</t>
        </is>
      </c>
      <c r="C500" s="2" t="str">
        <f>=HYPERLINK("https://xhslink.com/m/51jrydecXsL", "https://xhslink.com/m/51jrydecXsL")</f>
        <v>https://xhslink.com/m/51jrydecXsL</v>
      </c>
      <c r="D500"/>
      <c r="E500">
        <v>4689</v>
      </c>
      <c r="F500">
        <v>9.9</v>
      </c>
      <c r="G500"/>
      <c r="H500">
        <v>100</v>
      </c>
      <c r="I500"/>
      <c r="J500"/>
      <c r="K500" t="inlineStr">
        <is>
          <t>电子版</t>
        </is>
      </c>
      <c r="L500"/>
      <c r="M500" t="inlineStr">
        <is>
          <t>三水爱学习的店</t>
        </is>
      </c>
      <c r="N500">
        <v>11000</v>
      </c>
      <c r="O500">
        <v>4.43</v>
      </c>
      <c r="P500">
        <v>20000</v>
      </c>
      <c r="Q500" t="inlineStr">
        <is>
          <t>681c7831794ce20001b6c9f3</t>
        </is>
      </c>
      <c r="R500" t="inlineStr">
        <is>
          <t>🚫重复</t>
        </is>
      </c>
      <c r="S500" t="inlineStr">
        <is>
          <t>中小学教辅/教材</t>
        </is>
      </c>
      <c r="T500" t="inlineStr">
        <is>
          <t>0.43</t>
        </is>
      </c>
      <c r="U500" s="3">
        <v>46112.78107638889</v>
      </c>
      <c r="V500" t="inlineStr">
        <is>
          <t>虚拟产品</t>
        </is>
      </c>
      <c r="W500" s="3">
        <v>46032</v>
      </c>
      <c r="X500" t="inlineStr">
        <is>
          <t>01</t>
        </is>
      </c>
      <c r="Y500" t="inlineStr">
        <is>
          <t>2026-Q1</t>
        </is>
      </c>
    </row>
    <row r="501" ht="38.25" customHeight="1">
      <c r="A501" t="inlineStr">
        <is>
          <t>2025秋版 ‖ 课后生字词-看拼音写词语【电子版】</t>
        </is>
      </c>
      <c r="B501" t="inlineStr">
        <is>
          <t>__upload_recv7RwHF2c0cZ.jpg</t>
        </is>
      </c>
      <c r="C501" s="2" t="str">
        <f>=HYPERLINK("https://xhslink.com/m/1XydbonXN6w", "https://xhslink.com/m/1XydbonXN6w")</f>
        <v>https://xhslink.com/m/1XydbonXN6w</v>
      </c>
      <c r="D501"/>
      <c r="E501">
        <v>4682</v>
      </c>
      <c r="F501">
        <v>2.5</v>
      </c>
      <c r="G501"/>
      <c r="H501">
        <v>700</v>
      </c>
      <c r="I501"/>
      <c r="J501"/>
      <c r="K501" t="inlineStr">
        <is>
          <t>电子版</t>
        </is>
      </c>
      <c r="L501"/>
      <c r="M501" t="inlineStr">
        <is>
          <t>小羊同学！的店</t>
        </is>
      </c>
      <c r="N501">
        <v>279000</v>
      </c>
      <c r="O501">
        <v>4.51</v>
      </c>
      <c r="P501">
        <v>209000</v>
      </c>
      <c r="Q501" t="inlineStr">
        <is>
          <t>66e26c242f65c70001a55340</t>
        </is>
      </c>
      <c r="R501" t="inlineStr">
        <is>
          <t>🚫重复</t>
        </is>
      </c>
      <c r="S501" t="inlineStr">
        <is>
          <t>中小学教辅/教材</t>
        </is>
      </c>
      <c r="T501" t="inlineStr">
        <is>
          <t>0.02</t>
        </is>
      </c>
      <c r="U501" s="3">
        <v>46112.78107638889</v>
      </c>
      <c r="V501" t="inlineStr">
        <is>
          <t>虚拟产品</t>
        </is>
      </c>
      <c r="W501" s="3">
        <v>46032</v>
      </c>
      <c r="X501" t="inlineStr">
        <is>
          <t>01</t>
        </is>
      </c>
      <c r="Y501" t="inlineStr">
        <is>
          <t>2026-Q1</t>
        </is>
      </c>
    </row>
    <row r="502" ht="38.25" customHeight="1">
      <c r="A502" t="inlineStr">
        <is>
          <t>班主任基本功大赛资料打包实录+赠送大量模版（电子版）</t>
        </is>
      </c>
      <c r="B502" t="inlineStr">
        <is>
          <t>__upload_recv7RwHF2puJd.jpg</t>
        </is>
      </c>
      <c r="C502" s="2" t="str">
        <f>=HYPERLINK("https://xhslink.com/m/6nfuoZiICVA", "https://xhslink.com/m/6nfuoZiICVA")</f>
        <v>https://xhslink.com/m/6nfuoZiICVA</v>
      </c>
      <c r="D502"/>
      <c r="E502">
        <v>4622</v>
      </c>
      <c r="F502">
        <v>18.8</v>
      </c>
      <c r="G502"/>
      <c r="H502">
        <v>150</v>
      </c>
      <c r="I502"/>
      <c r="J502"/>
      <c r="K502" t="inlineStr">
        <is>
          <t>电子版</t>
        </is>
      </c>
      <c r="L502"/>
      <c r="M502" t="inlineStr">
        <is>
          <t>备课娃哈哈的店</t>
        </is>
      </c>
      <c r="N502">
        <v>6102</v>
      </c>
      <c r="O502">
        <v>4.36</v>
      </c>
      <c r="P502">
        <v>12000</v>
      </c>
      <c r="Q502" t="inlineStr">
        <is>
          <t>661794ad7b574500015061f3</t>
        </is>
      </c>
      <c r="R502"/>
      <c r="S502" t="inlineStr">
        <is>
          <t>老师资料</t>
        </is>
      </c>
      <c r="T502" t="inlineStr">
        <is>
          <t>0.76</t>
        </is>
      </c>
      <c r="U502" s="3">
        <v>46112.78107638889</v>
      </c>
      <c r="V502" t="inlineStr">
        <is>
          <t>虚拟产品</t>
        </is>
      </c>
      <c r="W502" s="3">
        <v>46032</v>
      </c>
      <c r="X502" t="inlineStr">
        <is>
          <t>01</t>
        </is>
      </c>
      <c r="Y502" t="inlineStr">
        <is>
          <t>2026-Q1</t>
        </is>
      </c>
    </row>
    <row r="503" ht="38.25" customHeight="1">
      <c r="A503" t="inlineStr">
        <is>
          <t>081超爸带娃：幼儿园小班数学启蒙数物对应共60页pdf素材，非实物</t>
        </is>
      </c>
      <c r="B503" t="inlineStr">
        <is>
          <t>__upload_recv7RwHF21TaQ.jpg</t>
        </is>
      </c>
      <c r="C503" s="2" t="str">
        <f>=HYPERLINK("https://xhslink.com/m/3mjHGwPY3T8", "https://xhslink.com/m/3mjHGwPY3T8")</f>
        <v>https://xhslink.com/m/3mjHGwPY3T8</v>
      </c>
      <c r="D503"/>
      <c r="E503">
        <v>4592</v>
      </c>
      <c r="F503">
        <v>4.9</v>
      </c>
      <c r="G503"/>
      <c r="H503">
        <v>250</v>
      </c>
      <c r="I503"/>
      <c r="J503"/>
      <c r="K503" t="inlineStr">
        <is>
          <t>电子版</t>
        </is>
      </c>
      <c r="L503"/>
      <c r="M503" t="inlineStr">
        <is>
          <t>来宝早教资源的店</t>
        </is>
      </c>
      <c r="N503">
        <v>24000</v>
      </c>
      <c r="O503">
        <v>4.5</v>
      </c>
      <c r="P503">
        <v>67000</v>
      </c>
      <c r="Q503" t="inlineStr">
        <is>
          <t>660bb8a84dfdbd00014225ea</t>
        </is>
      </c>
      <c r="R503" t="inlineStr">
        <is>
          <t>🚫重复</t>
        </is>
      </c>
      <c r="S503" t="inlineStr">
        <is>
          <t>幼教资料</t>
        </is>
      </c>
      <c r="T503" t="inlineStr">
        <is>
          <t>0.19</t>
        </is>
      </c>
      <c r="U503" s="3">
        <v>46112.78107638889</v>
      </c>
      <c r="V503" t="inlineStr">
        <is>
          <t>虚拟产品</t>
        </is>
      </c>
      <c r="W503" s="3">
        <v>46032</v>
      </c>
      <c r="X503" t="inlineStr">
        <is>
          <t>01</t>
        </is>
      </c>
      <c r="Y503" t="inlineStr">
        <is>
          <t>2026-Q1</t>
        </is>
      </c>
    </row>
    <row r="504" ht="38.25" customHeight="1">
      <c r="A504" t="inlineStr">
        <is>
          <t>初中语文数学英语物理化生物史地道法知识点总结电子版素材多版本</t>
        </is>
      </c>
      <c r="B504" t="inlineStr">
        <is>
          <t>__upload_recv7XBWcYRfcH.jpg</t>
        </is>
      </c>
      <c r="C504" s="2" t="str">
        <f>=HYPERLINK("https://xhslink.com/m/6ucuRESTpQd", "https://xhslink.com/m/6ucuRESTpQd")</f>
        <v>https://xhslink.com/m/6ucuRESTpQd</v>
      </c>
      <c r="D504"/>
      <c r="E504">
        <v>24000</v>
      </c>
      <c r="F504">
        <v>4.9</v>
      </c>
      <c r="G504"/>
      <c r="H504">
        <v>2500</v>
      </c>
      <c r="I504"/>
      <c r="J504"/>
      <c r="K504" t="inlineStr">
        <is>
          <t>pdf</t>
        </is>
      </c>
      <c r="L504"/>
      <c r="M504" t="inlineStr">
        <is>
          <t>赵老师的资料库的店</t>
        </is>
      </c>
      <c r="N504">
        <v>14000</v>
      </c>
      <c r="O504">
        <v>4.43</v>
      </c>
      <c r="P504">
        <v>46000</v>
      </c>
      <c r="Q504" t="inlineStr">
        <is>
          <t>672cd74310adb50001c5721a</t>
        </is>
      </c>
      <c r="R504" t="inlineStr">
        <is>
          <t>🚫重复</t>
        </is>
      </c>
      <c r="S504" t="inlineStr">
        <is>
          <t>中小学教辅/教材</t>
        </is>
      </c>
      <c r="T504" t="inlineStr">
        <is>
          <t>1.71</t>
        </is>
      </c>
      <c r="U504" s="3">
        <v>46112.78107638889</v>
      </c>
      <c r="V504" t="inlineStr">
        <is>
          <t>虚拟产品</t>
        </is>
      </c>
      <c r="W504" s="3">
        <v>46033</v>
      </c>
      <c r="X504" t="inlineStr">
        <is>
          <t>01</t>
        </is>
      </c>
      <c r="Y504" t="inlineStr">
        <is>
          <t>2026-Q1</t>
        </is>
      </c>
    </row>
    <row r="505" ht="38.25" customHeight="1">
      <c r="A505" t="inlineStr">
        <is>
          <t>（初中/高中）英语教资面试/笔试（逐字稿+知识点+思维导图）PDF</t>
        </is>
      </c>
      <c r="B505" t="inlineStr">
        <is>
          <t>__upload_recv7XBWcYFae1.jpg</t>
        </is>
      </c>
      <c r="C505" s="2" t="str">
        <f>=HYPERLINK("https://xhslink.com/m/4Bu5QHbNZnq", "https://xhslink.com/m/4Bu5QHbNZnq")</f>
        <v>https://xhslink.com/m/4Bu5QHbNZnq</v>
      </c>
      <c r="D505"/>
      <c r="E505">
        <v>12000</v>
      </c>
      <c r="F505">
        <v>0.1</v>
      </c>
      <c r="G505"/>
      <c r="H505">
        <v>2000</v>
      </c>
      <c r="I505"/>
      <c r="J505"/>
      <c r="K505" t="inlineStr">
        <is>
          <t>pdf</t>
        </is>
      </c>
      <c r="L505"/>
      <c r="M505" t="inlineStr">
        <is>
          <t>藕泥没有酱（教资＋MTI🍀）的店</t>
        </is>
      </c>
      <c r="N505">
        <v>50000</v>
      </c>
      <c r="O505">
        <v>4.6</v>
      </c>
      <c r="P505">
        <v>14000</v>
      </c>
      <c r="Q505" t="inlineStr">
        <is>
          <t>67ca4c67bffe4d0001ba6a70</t>
        </is>
      </c>
      <c r="R505" t="inlineStr">
        <is>
          <t>🚫重复</t>
        </is>
      </c>
      <c r="S505" t="inlineStr">
        <is>
          <t>教资资料</t>
        </is>
      </c>
      <c r="T505" t="inlineStr">
        <is>
          <t>0.24</t>
        </is>
      </c>
      <c r="U505" s="3">
        <v>46112.78107638889</v>
      </c>
      <c r="V505" t="inlineStr">
        <is>
          <t>虚拟产品</t>
        </is>
      </c>
      <c r="W505" s="3">
        <v>46033</v>
      </c>
      <c r="X505" t="inlineStr">
        <is>
          <t>01</t>
        </is>
      </c>
      <c r="Y505" t="inlineStr">
        <is>
          <t>2026-Q1</t>
        </is>
      </c>
    </row>
    <row r="506" ht="38.25" customHeight="1">
      <c r="A506" t="inlineStr">
        <is>
          <t>四六级历年真题电子版 1989-2025.6 真题+解析+听力+单词+作文</t>
        </is>
      </c>
      <c r="B506" t="inlineStr">
        <is>
          <t>__upload_recv7XBWcY5nmy.jpg</t>
        </is>
      </c>
      <c r="C506" s="2" t="str">
        <f>=HYPERLINK("https://xhslink.com/m/8mlHBKuDUQ0", "https://xhslink.com/m/8mlHBKuDUQ0")</f>
        <v>https://xhslink.com/m/8mlHBKuDUQ0</v>
      </c>
      <c r="D506"/>
      <c r="E506">
        <v>8482</v>
      </c>
      <c r="F506">
        <v>3.99</v>
      </c>
      <c r="G506"/>
      <c r="H506">
        <v>4000</v>
      </c>
      <c r="I506"/>
      <c r="J506"/>
      <c r="K506" t="inlineStr">
        <is>
          <t>pdf</t>
        </is>
      </c>
      <c r="L506" t="inlineStr">
        <is>
          <t>🔥低粉爆款</t>
        </is>
      </c>
      <c r="M506" t="inlineStr">
        <is>
          <t>圆饼资料库的店</t>
        </is>
      </c>
      <c r="N506">
        <v>1854</v>
      </c>
      <c r="O506">
        <v>4.4</v>
      </c>
      <c r="P506">
        <v>9583</v>
      </c>
      <c r="Q506" t="inlineStr">
        <is>
          <t>68c95e4334db2a00015c8c3e</t>
        </is>
      </c>
      <c r="R506" t="inlineStr">
        <is>
          <t>🚫重复</t>
        </is>
      </c>
      <c r="S506" t="inlineStr">
        <is>
          <t>英语资料</t>
        </is>
      </c>
      <c r="T506" t="inlineStr">
        <is>
          <t>4.57</t>
        </is>
      </c>
      <c r="U506" s="3">
        <v>46112.78107638889</v>
      </c>
      <c r="V506" t="inlineStr">
        <is>
          <t>虚拟产品</t>
        </is>
      </c>
      <c r="W506" s="3">
        <v>46033</v>
      </c>
      <c r="X506" t="inlineStr">
        <is>
          <t>01</t>
        </is>
      </c>
      <c r="Y506" t="inlineStr">
        <is>
          <t>2026-Q1</t>
        </is>
      </c>
    </row>
    <row r="507" ht="38.25" customHeight="1">
      <c r="A507" t="inlineStr">
        <is>
          <t>事业编D类备考包（含网课）</t>
        </is>
      </c>
      <c r="B507" t="inlineStr">
        <is>
          <t>__upload_recv7XBWcYvEC9.jpg</t>
        </is>
      </c>
      <c r="C507" s="2" t="str">
        <f>=HYPERLINK("https://xhslink.com/m/7SK1JUfXqvn", "https://xhslink.com/m/7SK1JUfXqvn")</f>
        <v>https://xhslink.com/m/7SK1JUfXqvn</v>
      </c>
      <c r="D507"/>
      <c r="E507">
        <v>7882</v>
      </c>
      <c r="F507">
        <v>29.9</v>
      </c>
      <c r="G507"/>
      <c r="H507">
        <v>300</v>
      </c>
      <c r="I507"/>
      <c r="J507"/>
      <c r="K507" t="inlineStr">
        <is>
          <t>pdf</t>
        </is>
      </c>
      <c r="L507"/>
      <c r="M507" t="inlineStr">
        <is>
          <t>鲁鲁西！的店</t>
        </is>
      </c>
      <c r="N507">
        <v>13000</v>
      </c>
      <c r="O507">
        <v>4.23</v>
      </c>
      <c r="P507">
        <v>9160</v>
      </c>
      <c r="Q507" t="inlineStr">
        <is>
          <t>67bb19c149f1f10001514795</t>
        </is>
      </c>
      <c r="R507" t="inlineStr">
        <is>
          <t>🚫重复</t>
        </is>
      </c>
      <c r="S507" t="inlineStr">
        <is>
          <t>无匹配类别</t>
        </is>
      </c>
      <c r="T507" t="inlineStr">
        <is>
          <t>0.61</t>
        </is>
      </c>
      <c r="U507" s="3">
        <v>46112.78107638889</v>
      </c>
      <c r="V507" t="inlineStr">
        <is>
          <t>虚拟产品</t>
        </is>
      </c>
      <c r="W507" s="3">
        <v>46033</v>
      </c>
      <c r="X507" t="inlineStr">
        <is>
          <t>01</t>
        </is>
      </c>
      <c r="Y507" t="inlineStr">
        <is>
          <t>2026-Q1</t>
        </is>
      </c>
    </row>
    <row r="508" ht="38.25" customHeight="1">
      <c r="A508" t="inlineStr">
        <is>
          <t>中考语文阅读理解答题模板+五类文体分类阅读（电子版）</t>
        </is>
      </c>
      <c r="B508" t="inlineStr">
        <is>
          <t>__upload_recv7XBWcYeeBO.jpg</t>
        </is>
      </c>
      <c r="C508" s="2" t="str">
        <f>=HYPERLINK("https://xhslink.com/m/9n4bawMTzu8", "https://xhslink.com/m/9n4bawMTzu8")</f>
        <v>https://xhslink.com/m/9n4bawMTzu8</v>
      </c>
      <c r="D508"/>
      <c r="E508">
        <v>7768</v>
      </c>
      <c r="F508">
        <v>4.9</v>
      </c>
      <c r="G508"/>
      <c r="H508">
        <v>100</v>
      </c>
      <c r="I508"/>
      <c r="J508"/>
      <c r="K508" t="inlineStr">
        <is>
          <t>pdf</t>
        </is>
      </c>
      <c r="L508"/>
      <c r="M508" t="inlineStr">
        <is>
          <t>教语文的橙子老师的店</t>
        </is>
      </c>
      <c r="N508">
        <v>3674</v>
      </c>
      <c r="O508">
        <v>3.94</v>
      </c>
      <c r="P508">
        <v>9026</v>
      </c>
      <c r="Q508" t="inlineStr">
        <is>
          <t>6602305a431844000192b358</t>
        </is>
      </c>
      <c r="R508" t="inlineStr">
        <is>
          <t>🚫重复</t>
        </is>
      </c>
      <c r="S508" t="inlineStr">
        <is>
          <t>中小学教辅/教材</t>
        </is>
      </c>
      <c r="T508" t="inlineStr">
        <is>
          <t>2.11</t>
        </is>
      </c>
      <c r="U508" s="3">
        <v>46112.78107638889</v>
      </c>
      <c r="V508" t="inlineStr">
        <is>
          <t>虚拟产品</t>
        </is>
      </c>
      <c r="W508" s="3">
        <v>46033</v>
      </c>
      <c r="X508" t="inlineStr">
        <is>
          <t>01</t>
        </is>
      </c>
      <c r="Y508" t="inlineStr">
        <is>
          <t>2026-Q1</t>
        </is>
      </c>
    </row>
    <row r="509" ht="38.25" customHeight="1">
      <c r="A509" t="inlineStr">
        <is>
          <t>【毛毛同款】考研英语历年真题阅读词汇（05-25）PDF英一、英</t>
        </is>
      </c>
      <c r="B509" t="inlineStr">
        <is>
          <t>__upload_recv7XBWcYGsmm.jpg</t>
        </is>
      </c>
      <c r="C509" s="2" t="str">
        <f>=HYPERLINK("https://xhslink.com/m/4LsDZ0V0egH", "https://xhslink.com/m/4LsDZ0V0egH")</f>
        <v>https://xhslink.com/m/4LsDZ0V0egH</v>
      </c>
      <c r="D509"/>
      <c r="E509">
        <v>7167</v>
      </c>
      <c r="F509">
        <v>14.9</v>
      </c>
      <c r="G509"/>
      <c r="H509">
        <v>5000</v>
      </c>
      <c r="I509"/>
      <c r="J509"/>
      <c r="K509" t="inlineStr">
        <is>
          <t>pdf</t>
        </is>
      </c>
      <c r="L509"/>
      <c r="M509" t="inlineStr">
        <is>
          <t>时空考研的店</t>
        </is>
      </c>
      <c r="N509">
        <v>6291</v>
      </c>
      <c r="O509">
        <v>4.23</v>
      </c>
      <c r="P509">
        <v>28000</v>
      </c>
      <c r="Q509" t="inlineStr">
        <is>
          <t>682b6aade60e770001810373</t>
        </is>
      </c>
      <c r="R509" t="inlineStr">
        <is>
          <t>🚫重复</t>
        </is>
      </c>
      <c r="S509" t="inlineStr">
        <is>
          <t>考研资料</t>
        </is>
      </c>
      <c r="T509" t="inlineStr">
        <is>
          <t>1.14</t>
        </is>
      </c>
      <c r="U509" s="3">
        <v>46112.78107638889</v>
      </c>
      <c r="V509" t="inlineStr">
        <is>
          <t>虚拟产品</t>
        </is>
      </c>
      <c r="W509" s="3">
        <v>46033</v>
      </c>
      <c r="X509" t="inlineStr">
        <is>
          <t>01</t>
        </is>
      </c>
      <c r="Y509" t="inlineStr">
        <is>
          <t>2026-Q1</t>
        </is>
      </c>
    </row>
    <row r="510" ht="38.25" customHeight="1">
      <c r="A510" t="inlineStr">
        <is>
          <t>2025年高考语文数学英语物理化学历史地理政治真题分类汇编电子版</t>
        </is>
      </c>
      <c r="B510" t="inlineStr">
        <is>
          <t>__upload_recv7XBWcY90tp.jpg</t>
        </is>
      </c>
      <c r="C510" s="2" t="str">
        <f>=HYPERLINK("https://xhslink.com/m/5ZxyqJb2kdH", "https://xhslink.com/m/5ZxyqJb2kdH")</f>
        <v>https://xhslink.com/m/5ZxyqJb2kdH</v>
      </c>
      <c r="D510"/>
      <c r="E510">
        <v>7122</v>
      </c>
      <c r="F510">
        <v>29.8</v>
      </c>
      <c r="G510"/>
      <c r="H510">
        <v>150</v>
      </c>
      <c r="I510"/>
      <c r="J510"/>
      <c r="K510" t="inlineStr">
        <is>
          <t>pdf</t>
        </is>
      </c>
      <c r="L510"/>
      <c r="M510" t="inlineStr">
        <is>
          <t>发发的高中资料库的店</t>
        </is>
      </c>
      <c r="N510">
        <v>16000</v>
      </c>
      <c r="O510">
        <v>4.43</v>
      </c>
      <c r="P510">
        <v>50000</v>
      </c>
      <c r="Q510" t="inlineStr">
        <is>
          <t>678f061e96b36c0001e78449</t>
        </is>
      </c>
      <c r="R510" t="inlineStr">
        <is>
          <t>🚫重复</t>
        </is>
      </c>
      <c r="S510" t="inlineStr">
        <is>
          <t>高中/高考资料</t>
        </is>
      </c>
      <c r="T510" t="inlineStr">
        <is>
          <t>0.45</t>
        </is>
      </c>
      <c r="U510" s="3">
        <v>46112.78107638889</v>
      </c>
      <c r="V510" t="inlineStr">
        <is>
          <t>虚拟产品</t>
        </is>
      </c>
      <c r="W510" s="3">
        <v>46033</v>
      </c>
      <c r="X510" t="inlineStr">
        <is>
          <t>01</t>
        </is>
      </c>
      <c r="Y510" t="inlineStr">
        <is>
          <t>2026-Q1</t>
        </is>
      </c>
    </row>
    <row r="511" ht="38.25" customHeight="1">
      <c r="A511" t="inlineStr">
        <is>
          <t>初中单元期中期末月考检测卷初一初二初三人教版电子版</t>
        </is>
      </c>
      <c r="B511" t="inlineStr">
        <is>
          <t>__upload_recv7XBWcYkTr1.jpg</t>
        </is>
      </c>
      <c r="C511" s="2" t="str">
        <f>=HYPERLINK("https://xhslink.com/m/35r9tqChQRX", "https://xhslink.com/m/35r9tqChQRX")</f>
        <v>https://xhslink.com/m/35r9tqChQRX</v>
      </c>
      <c r="D511"/>
      <c r="E511">
        <v>6819</v>
      </c>
      <c r="F511">
        <v>7.8</v>
      </c>
      <c r="G511"/>
      <c r="H511">
        <v>300</v>
      </c>
      <c r="I511"/>
      <c r="J511"/>
      <c r="K511" t="inlineStr">
        <is>
          <t>pdf</t>
        </is>
      </c>
      <c r="L511"/>
      <c r="M511" t="inlineStr">
        <is>
          <t>中考提分宝库的店</t>
        </is>
      </c>
      <c r="N511">
        <v>21000</v>
      </c>
      <c r="O511">
        <v>4.44</v>
      </c>
      <c r="P511">
        <v>73000</v>
      </c>
      <c r="Q511" t="inlineStr">
        <is>
          <t>67167588edb7ca00012ca5f5</t>
        </is>
      </c>
      <c r="R511" t="inlineStr">
        <is>
          <t>🚫重复</t>
        </is>
      </c>
      <c r="S511" t="inlineStr">
        <is>
          <t>中小学教辅/教材</t>
        </is>
      </c>
      <c r="T511" t="inlineStr">
        <is>
          <t>0.32</t>
        </is>
      </c>
      <c r="U511" s="3">
        <v>46112.78107638889</v>
      </c>
      <c r="V511" t="inlineStr">
        <is>
          <t>虚拟产品</t>
        </is>
      </c>
      <c r="W511" s="3">
        <v>46033</v>
      </c>
      <c r="X511" t="inlineStr">
        <is>
          <t>01</t>
        </is>
      </c>
      <c r="Y511" t="inlineStr">
        <is>
          <t>2026-Q1</t>
        </is>
      </c>
    </row>
    <row r="512" ht="38.25" customHeight="1">
      <c r="A512" t="inlineStr">
        <is>
          <t>三年级上册语文全册重点知识点期中期末复习字词古诗必背内容专项</t>
        </is>
      </c>
      <c r="B512" t="inlineStr">
        <is>
          <t>__upload_recv7XBWcYdUgA.jpg</t>
        </is>
      </c>
      <c r="C512" s="2" t="str">
        <f>=HYPERLINK("https://xhslink.com/m/67sVCxACcub", "https://xhslink.com/m/67sVCxACcub")</f>
        <v>https://xhslink.com/m/67sVCxACcub</v>
      </c>
      <c r="D512"/>
      <c r="E512">
        <v>6795</v>
      </c>
      <c r="F512">
        <v>22.9</v>
      </c>
      <c r="G512"/>
      <c r="H512">
        <v>950</v>
      </c>
      <c r="I512"/>
      <c r="J512"/>
      <c r="K512" t="inlineStr">
        <is>
          <t>pdf</t>
        </is>
      </c>
      <c r="L512"/>
      <c r="M512" t="inlineStr">
        <is>
          <t>时小逗的店</t>
        </is>
      </c>
      <c r="N512">
        <v>5727</v>
      </c>
      <c r="O512">
        <v>4.42</v>
      </c>
      <c r="P512">
        <v>28000</v>
      </c>
      <c r="Q512" t="inlineStr">
        <is>
          <t>68e93271002e7e0001285fdc</t>
        </is>
      </c>
      <c r="R512" t="inlineStr">
        <is>
          <t>🚫重复</t>
        </is>
      </c>
      <c r="S512" t="inlineStr">
        <is>
          <t>中小学教辅/教材</t>
        </is>
      </c>
      <c r="T512" t="inlineStr">
        <is>
          <t>1.19</t>
        </is>
      </c>
      <c r="U512" s="3">
        <v>46112.78107638889</v>
      </c>
      <c r="V512" t="inlineStr">
        <is>
          <t>虚拟产品</t>
        </is>
      </c>
      <c r="W512" s="3">
        <v>46033</v>
      </c>
      <c r="X512" t="inlineStr">
        <is>
          <t>01</t>
        </is>
      </c>
      <c r="Y512" t="inlineStr">
        <is>
          <t>2026-Q1</t>
        </is>
      </c>
    </row>
    <row r="513" ht="38.25" customHeight="1">
      <c r="A513" t="inlineStr">
        <is>
          <t>沉浸式翻译Pro会员 AI翻译PDF翻译网页翻译插件 论文文献文档翻译</t>
        </is>
      </c>
      <c r="B513" t="inlineStr">
        <is>
          <t>__upload_recv7XBWcYLrjY.jpg</t>
        </is>
      </c>
      <c r="C513" s="2" t="str">
        <f>=HYPERLINK("https://xhslink.com/m/99BgDNNDi0F", "https://xhslink.com/m/99BgDNNDi0F")</f>
        <v>https://xhslink.com/m/99BgDNNDi0F</v>
      </c>
      <c r="D513"/>
      <c r="E513">
        <v>5886</v>
      </c>
      <c r="F513">
        <v>8.8</v>
      </c>
      <c r="G513"/>
      <c r="H513">
        <v>550</v>
      </c>
      <c r="I513"/>
      <c r="J513"/>
      <c r="K513" t="inlineStr">
        <is>
          <t>pdf</t>
        </is>
      </c>
      <c r="L513"/>
      <c r="M513" t="inlineStr">
        <is>
          <t>沉浸式翻译的店</t>
        </is>
      </c>
      <c r="N513">
        <v>35000</v>
      </c>
      <c r="O513">
        <v>3.98</v>
      </c>
      <c r="P513">
        <v>6588</v>
      </c>
      <c r="Q513" t="inlineStr">
        <is>
          <t>677e294f041cf30001dd1b1f</t>
        </is>
      </c>
      <c r="R513" t="inlineStr">
        <is>
          <t>🚫重复</t>
        </is>
      </c>
      <c r="S513" t="inlineStr">
        <is>
          <t>软件应用</t>
        </is>
      </c>
      <c r="T513" t="inlineStr">
        <is>
          <t>0.17</t>
        </is>
      </c>
      <c r="U513" s="3">
        <v>46112.78107638889</v>
      </c>
      <c r="V513" t="inlineStr">
        <is>
          <t>虚拟产品</t>
        </is>
      </c>
      <c r="W513" s="3">
        <v>46033</v>
      </c>
      <c r="X513" t="inlineStr">
        <is>
          <t>01</t>
        </is>
      </c>
      <c r="Y513" t="inlineStr">
        <is>
          <t>2026-Q1</t>
        </is>
      </c>
    </row>
    <row r="514" ht="38.25" customHeight="1">
      <c r="A514" t="inlineStr">
        <is>
          <t>2025春新人教版初一七年级各科早背晚默小纸条电子版资料</t>
        </is>
      </c>
      <c r="B514" t="inlineStr">
        <is>
          <t>__upload_recv7XBWcYi2XJ.jpg</t>
        </is>
      </c>
      <c r="C514" s="2" t="str">
        <f>=HYPERLINK("https://xhslink.com/m/24oaOIL2XU9", "https://xhslink.com/m/24oaOIL2XU9")</f>
        <v>https://xhslink.com/m/24oaOIL2XU9</v>
      </c>
      <c r="D514"/>
      <c r="E514">
        <v>5763</v>
      </c>
      <c r="F514">
        <v>9.9</v>
      </c>
      <c r="G514"/>
      <c r="H514">
        <v>600</v>
      </c>
      <c r="I514"/>
      <c r="J514"/>
      <c r="K514" t="inlineStr">
        <is>
          <t>pdf</t>
        </is>
      </c>
      <c r="L514"/>
      <c r="M514" t="inlineStr">
        <is>
          <t>崔老师的资料库的店</t>
        </is>
      </c>
      <c r="N514">
        <v>2542</v>
      </c>
      <c r="O514">
        <v>4.05</v>
      </c>
      <c r="P514">
        <v>6681</v>
      </c>
      <c r="Q514" t="inlineStr">
        <is>
          <t>683e01be317c900001b5b77b</t>
        </is>
      </c>
      <c r="R514" t="inlineStr">
        <is>
          <t>🚫重复</t>
        </is>
      </c>
      <c r="S514" t="inlineStr">
        <is>
          <t>中小学教辅/教材</t>
        </is>
      </c>
      <c r="T514" t="inlineStr">
        <is>
          <t>2.27</t>
        </is>
      </c>
      <c r="U514" s="3">
        <v>46112.78107638889</v>
      </c>
      <c r="V514" t="inlineStr">
        <is>
          <t>虚拟产品</t>
        </is>
      </c>
      <c r="W514" s="3">
        <v>46033</v>
      </c>
      <c r="X514" t="inlineStr">
        <is>
          <t>01</t>
        </is>
      </c>
      <c r="Y514" t="inlineStr">
        <is>
          <t>2026-Q1</t>
        </is>
      </c>
    </row>
    <row r="515" ht="38.25" customHeight="1">
      <c r="A515" t="inlineStr">
        <is>
          <t>专业P图修图ps批图改字无痕修改图片处理换背景设计PDF扣图去水印</t>
        </is>
      </c>
      <c r="B515" t="inlineStr">
        <is>
          <t>__upload_recv7XBWcYYad1.jpg</t>
        </is>
      </c>
      <c r="C515" s="2" t="str">
        <f>=HYPERLINK("https://xhslink.com/m/2VN1KfU455G", "https://xhslink.com/m/2VN1KfU455G")</f>
        <v>https://xhslink.com/m/2VN1KfU455G</v>
      </c>
      <c r="D515"/>
      <c r="E515">
        <v>5648</v>
      </c>
      <c r="F515">
        <v>5</v>
      </c>
      <c r="G515"/>
      <c r="H515">
        <v>43</v>
      </c>
      <c r="I515"/>
      <c r="J515"/>
      <c r="K515" t="inlineStr">
        <is>
          <t>pdf</t>
        </is>
      </c>
      <c r="L515" t="inlineStr">
        <is>
          <t>🔥低粉爆款</t>
        </is>
      </c>
      <c r="M515" t="inlineStr">
        <is>
          <t>灵风设计的店</t>
        </is>
      </c>
      <c r="N515">
        <v>854</v>
      </c>
      <c r="O515">
        <v>3.9</v>
      </c>
      <c r="P515">
        <v>6419</v>
      </c>
      <c r="Q515" t="inlineStr">
        <is>
          <t>6800ee9f61684d0001020e4c</t>
        </is>
      </c>
      <c r="R515"/>
      <c r="S515" t="inlineStr">
        <is>
          <t>设计素材</t>
        </is>
      </c>
      <c r="T515" t="inlineStr">
        <is>
          <t>6.61</t>
        </is>
      </c>
      <c r="U515" s="3">
        <v>46112.78107638889</v>
      </c>
      <c r="V515" t="inlineStr">
        <is>
          <t>虚拟产品</t>
        </is>
      </c>
      <c r="W515" s="3">
        <v>46033</v>
      </c>
      <c r="X515" t="inlineStr">
        <is>
          <t>01</t>
        </is>
      </c>
      <c r="Y515" t="inlineStr">
        <is>
          <t>2026-Q1</t>
        </is>
      </c>
    </row>
    <row r="516" ht="38.25" customHeight="1">
      <c r="A516" t="inlineStr">
        <is>
          <t>三角函数知识点+题型分类电子档PDF</t>
        </is>
      </c>
      <c r="B516" t="inlineStr">
        <is>
          <t>__upload_recv7XBWcYnKvu.jpg</t>
        </is>
      </c>
      <c r="C516" s="2" t="str">
        <f>=HYPERLINK("https://xhslink.com/m/2TuhSkA8EvZ", "https://xhslink.com/m/2TuhSkA8EvZ")</f>
        <v>https://xhslink.com/m/2TuhSkA8EvZ</v>
      </c>
      <c r="D516"/>
      <c r="E516">
        <v>5181</v>
      </c>
      <c r="F516">
        <v>5</v>
      </c>
      <c r="G516"/>
      <c r="H516">
        <v>200</v>
      </c>
      <c r="I516"/>
      <c r="J516"/>
      <c r="K516" t="inlineStr">
        <is>
          <t>pdf</t>
        </is>
      </c>
      <c r="L516"/>
      <c r="M516" t="inlineStr">
        <is>
          <t>您好，马老师的店</t>
        </is>
      </c>
      <c r="N516">
        <v>19000</v>
      </c>
      <c r="O516">
        <v>4.39</v>
      </c>
      <c r="P516">
        <v>83000</v>
      </c>
      <c r="Q516" t="inlineStr">
        <is>
          <t>65cee42fb7b2260001e30b56</t>
        </is>
      </c>
      <c r="R516" t="inlineStr">
        <is>
          <t>🚫重复</t>
        </is>
      </c>
      <c r="S516" t="inlineStr">
        <is>
          <t>中小学教辅/教材</t>
        </is>
      </c>
      <c r="T516" t="inlineStr">
        <is>
          <t>0.27</t>
        </is>
      </c>
      <c r="U516" s="3">
        <v>46112.78107638889</v>
      </c>
      <c r="V516" t="inlineStr">
        <is>
          <t>虚拟产品</t>
        </is>
      </c>
      <c r="W516" s="3">
        <v>46033</v>
      </c>
      <c r="X516" t="inlineStr">
        <is>
          <t>01</t>
        </is>
      </c>
      <c r="Y516" t="inlineStr">
        <is>
          <t>2026-Q1</t>
        </is>
      </c>
    </row>
    <row r="517" ht="38.25" customHeight="1">
      <c r="A517" t="inlineStr">
        <is>
          <t>立体几何初步知识点+题型分类电子档（PDF版）</t>
        </is>
      </c>
      <c r="B517" t="inlineStr">
        <is>
          <t>__upload_recv7XBWcY6St4.jpg</t>
        </is>
      </c>
      <c r="C517" s="2" t="str">
        <f>=HYPERLINK("https://xhslink.com/m/bXQ3J1CP1C", "https://xhslink.com/m/bXQ3J1CP1C")</f>
        <v>https://xhslink.com/m/bXQ3J1CP1C</v>
      </c>
      <c r="D517"/>
      <c r="E517">
        <v>5167</v>
      </c>
      <c r="F517">
        <v>5</v>
      </c>
      <c r="G517"/>
      <c r="H517">
        <v>72</v>
      </c>
      <c r="I517"/>
      <c r="J517"/>
      <c r="K517" t="inlineStr">
        <is>
          <t>pdf</t>
        </is>
      </c>
      <c r="L517"/>
      <c r="M517" t="inlineStr">
        <is>
          <t>您好，马老师的店</t>
        </is>
      </c>
      <c r="N517">
        <v>19000</v>
      </c>
      <c r="O517">
        <v>4.39</v>
      </c>
      <c r="P517">
        <v>83000</v>
      </c>
      <c r="Q517" t="inlineStr">
        <is>
          <t>6620d828d0ec9c00012da342</t>
        </is>
      </c>
      <c r="R517" t="inlineStr">
        <is>
          <t>🚫重复</t>
        </is>
      </c>
      <c r="S517" t="inlineStr">
        <is>
          <t>中小学教辅/教材</t>
        </is>
      </c>
      <c r="T517" t="inlineStr">
        <is>
          <t>0.27</t>
        </is>
      </c>
      <c r="U517" s="3">
        <v>46112.78107638889</v>
      </c>
      <c r="V517" t="inlineStr">
        <is>
          <t>虚拟产品</t>
        </is>
      </c>
      <c r="W517" s="3">
        <v>46033</v>
      </c>
      <c r="X517" t="inlineStr">
        <is>
          <t>01</t>
        </is>
      </c>
      <c r="Y517" t="inlineStr">
        <is>
          <t>2026-Q1</t>
        </is>
      </c>
    </row>
    <row r="518" ht="38.25" customHeight="1">
      <c r="A518" t="inlineStr">
        <is>
          <t>【国考省考真题集】近25年的公务员考试真题PDF电子版可打印</t>
        </is>
      </c>
      <c r="B518" t="inlineStr">
        <is>
          <t>__upload_recv7XBWcYLzxF.jpg</t>
        </is>
      </c>
      <c r="C518" s="2" t="str">
        <f>=HYPERLINK("https://xhslink.com/m/DGFZnY0BSW", "https://xhslink.com/m/DGFZnY0BSW")</f>
        <v>https://xhslink.com/m/DGFZnY0BSW</v>
      </c>
      <c r="D518"/>
      <c r="E518">
        <v>5160</v>
      </c>
      <c r="F518">
        <v>0.5</v>
      </c>
      <c r="G518"/>
      <c r="H518">
        <v>2500</v>
      </c>
      <c r="I518"/>
      <c r="J518"/>
      <c r="K518" t="inlineStr">
        <is>
          <t>pdf</t>
        </is>
      </c>
      <c r="L518" t="inlineStr">
        <is>
          <t>🔥低粉爆款</t>
        </is>
      </c>
      <c r="M518" t="inlineStr">
        <is>
          <t>财经冯学长（考公考研考证）的店</t>
        </is>
      </c>
      <c r="N518">
        <v>691</v>
      </c>
      <c r="O518">
        <v>4.77</v>
      </c>
      <c r="P518">
        <v>18000</v>
      </c>
      <c r="Q518" t="inlineStr">
        <is>
          <t>68f62582c4f891000195c666</t>
        </is>
      </c>
      <c r="R518" t="inlineStr">
        <is>
          <t>🚫重复</t>
        </is>
      </c>
      <c r="S518" t="inlineStr">
        <is>
          <t>考公资料</t>
        </is>
      </c>
      <c r="T518" t="inlineStr">
        <is>
          <t>7.47</t>
        </is>
      </c>
      <c r="U518" s="3">
        <v>46112.78107638889</v>
      </c>
      <c r="V518" t="inlineStr">
        <is>
          <t>虚拟产品</t>
        </is>
      </c>
      <c r="W518" s="3">
        <v>46033</v>
      </c>
      <c r="X518" t="inlineStr">
        <is>
          <t>01</t>
        </is>
      </c>
      <c r="Y518" t="inlineStr">
        <is>
          <t>2026-Q1</t>
        </is>
      </c>
    </row>
    <row r="519" ht="38.25" customHeight="1">
      <c r="A519" t="inlineStr">
        <is>
          <t>27考研26考研腿姐keywords电子版pdf/腿姐八页纸政治关键词</t>
        </is>
      </c>
      <c r="B519" t="inlineStr">
        <is>
          <t>__upload_recv7XBWcYxMjq.jpg</t>
        </is>
      </c>
      <c r="C519" s="2" t="str">
        <f>=HYPERLINK("https://xhslink.com/m/tGd8mXKmhX", "https://xhslink.com/m/tGd8mXKmhX")</f>
        <v>https://xhslink.com/m/tGd8mXKmhX</v>
      </c>
      <c r="D519"/>
      <c r="E519">
        <v>4766</v>
      </c>
      <c r="F519">
        <v>2.99</v>
      </c>
      <c r="G519"/>
      <c r="H519">
        <v>2500</v>
      </c>
      <c r="I519"/>
      <c r="J519"/>
      <c r="K519" t="inlineStr">
        <is>
          <t>pdf</t>
        </is>
      </c>
      <c r="L519" t="inlineStr">
        <is>
          <t>🔥低粉爆款</t>
        </is>
      </c>
      <c r="M519" t="inlineStr">
        <is>
          <t>好好爱学的店</t>
        </is>
      </c>
      <c r="N519">
        <v>277</v>
      </c>
      <c r="O519">
        <v>4.25</v>
      </c>
      <c r="P519">
        <v>14000</v>
      </c>
      <c r="Q519" t="inlineStr">
        <is>
          <t>68b89a702773df0001c27a67</t>
        </is>
      </c>
      <c r="R519" t="inlineStr">
        <is>
          <t>🚫重复</t>
        </is>
      </c>
      <c r="S519" t="inlineStr">
        <is>
          <t>考研资料</t>
        </is>
      </c>
      <c r="T519" t="inlineStr">
        <is>
          <t>17.21</t>
        </is>
      </c>
      <c r="U519" s="3">
        <v>46112.78107638889</v>
      </c>
      <c r="V519" t="inlineStr">
        <is>
          <t>虚拟产品</t>
        </is>
      </c>
      <c r="W519" s="3">
        <v>46033</v>
      </c>
      <c r="X519" t="inlineStr">
        <is>
          <t>01</t>
        </is>
      </c>
      <c r="Y519" t="inlineStr">
        <is>
          <t>2026-Q1</t>
        </is>
      </c>
    </row>
    <row r="520" ht="38.25" customHeight="1">
      <c r="A520" t="inlineStr">
        <is>
          <t>总结Java后端八股文! 含面试高频重点，语雀和PDF，宜实习和校招</t>
        </is>
      </c>
      <c r="B520" t="inlineStr">
        <is>
          <t>__upload_recv7XBWcYCkH0.jpg</t>
        </is>
      </c>
      <c r="C520" s="2" t="str">
        <f>=HYPERLINK("https://xhslink.com/m/ALTM3cQWmnh", "https://xhslink.com/m/ALTM3cQWmnh")</f>
        <v>https://xhslink.com/m/ALTM3cQWmnh</v>
      </c>
      <c r="D520"/>
      <c r="E520">
        <v>4512</v>
      </c>
      <c r="F520">
        <v>19.9</v>
      </c>
      <c r="G520"/>
      <c r="H520">
        <v>450</v>
      </c>
      <c r="I520"/>
      <c r="J520"/>
      <c r="K520" t="inlineStr">
        <is>
          <t>pdf</t>
        </is>
      </c>
      <c r="L520"/>
      <c r="M520" t="inlineStr">
        <is>
          <t>月如风的店</t>
        </is>
      </c>
      <c r="N520">
        <v>9959</v>
      </c>
      <c r="O520">
        <v>4.01</v>
      </c>
      <c r="P520">
        <v>7078</v>
      </c>
      <c r="Q520" t="inlineStr">
        <is>
          <t>67beba83cb5e4200013de8b3</t>
        </is>
      </c>
      <c r="R520"/>
      <c r="S520" t="inlineStr">
        <is>
          <t>求职面试/职场</t>
        </is>
      </c>
      <c r="T520" t="inlineStr">
        <is>
          <t>0.45</t>
        </is>
      </c>
      <c r="U520" s="3">
        <v>46112.78107638889</v>
      </c>
      <c r="V520" t="inlineStr">
        <is>
          <t>虚拟产品</t>
        </is>
      </c>
      <c r="W520" s="3">
        <v>46033</v>
      </c>
      <c r="X520" t="inlineStr">
        <is>
          <t>01</t>
        </is>
      </c>
      <c r="Y520" t="inlineStr">
        <is>
          <t>2026-Q1</t>
        </is>
      </c>
    </row>
    <row r="521" ht="38.25" customHeight="1">
      <c r="A521" t="inlineStr">
        <is>
          <t>PDF文件解密 人工在线解除编辑打印权限 PDF解锁签名密码去除限制</t>
        </is>
      </c>
      <c r="B521" t="inlineStr">
        <is>
          <t>__upload_recv7XBWcYlYsL.jpg</t>
        </is>
      </c>
      <c r="C521" s="2" t="str">
        <f>=HYPERLINK("https://xhslink.com/m/1RBNlGKgIhv", "https://xhslink.com/m/1RBNlGKgIhv")</f>
        <v>https://xhslink.com/m/1RBNlGKgIhv</v>
      </c>
      <c r="D521"/>
      <c r="E521">
        <v>4314</v>
      </c>
      <c r="F521">
        <v>2</v>
      </c>
      <c r="G521"/>
      <c r="H521">
        <v>200</v>
      </c>
      <c r="I521"/>
      <c r="J521"/>
      <c r="K521" t="inlineStr">
        <is>
          <t>pdf</t>
        </is>
      </c>
      <c r="L521" t="inlineStr">
        <is>
          <t>🔥低粉爆款</t>
        </is>
      </c>
      <c r="M521" t="inlineStr">
        <is>
          <t>快通驾考会员的店</t>
        </is>
      </c>
      <c r="N521">
        <v>469</v>
      </c>
      <c r="O521">
        <v>4.6</v>
      </c>
      <c r="P521">
        <v>5657</v>
      </c>
      <c r="Q521" t="inlineStr">
        <is>
          <t>6741b3b8f2609400015083a9</t>
        </is>
      </c>
      <c r="R521"/>
      <c r="S521" t="inlineStr">
        <is>
          <t>咨询服务</t>
        </is>
      </c>
      <c r="T521" t="inlineStr">
        <is>
          <t>9.20</t>
        </is>
      </c>
      <c r="U521" s="3">
        <v>46112.78107638889</v>
      </c>
      <c r="V521" t="inlineStr">
        <is>
          <t>虚拟产品</t>
        </is>
      </c>
      <c r="W521" s="3">
        <v>46033</v>
      </c>
      <c r="X521" t="inlineStr">
        <is>
          <t>01</t>
        </is>
      </c>
      <c r="Y521" t="inlineStr">
        <is>
          <t>2026-Q1</t>
        </is>
      </c>
    </row>
    <row r="522" ht="38.25" customHeight="1">
      <c r="A522" t="inlineStr">
        <is>
          <t>高中数学《圆锥曲线》知识点+题型分类电子档PDF版，拍前要看说明</t>
        </is>
      </c>
      <c r="B522" t="inlineStr">
        <is>
          <t>__upload_recv7XBWcYTOi1.jpg</t>
        </is>
      </c>
      <c r="C522" s="2" t="str">
        <f>=HYPERLINK("https://xhslink.com/m/58uPBuUPM2V", "https://xhslink.com/m/58uPBuUPM2V")</f>
        <v>https://xhslink.com/m/58uPBuUPM2V</v>
      </c>
      <c r="D522"/>
      <c r="E522">
        <v>4312</v>
      </c>
      <c r="F522">
        <v>5</v>
      </c>
      <c r="G522"/>
      <c r="H522">
        <v>250</v>
      </c>
      <c r="I522"/>
      <c r="J522"/>
      <c r="K522" t="inlineStr">
        <is>
          <t>pdf</t>
        </is>
      </c>
      <c r="L522"/>
      <c r="M522" t="inlineStr">
        <is>
          <t>您好，马老师的店</t>
        </is>
      </c>
      <c r="N522">
        <v>19000</v>
      </c>
      <c r="O522">
        <v>4.39</v>
      </c>
      <c r="P522">
        <v>83000</v>
      </c>
      <c r="Q522" t="inlineStr">
        <is>
          <t>66bc4531f816720001ef1ad5</t>
        </is>
      </c>
      <c r="R522" t="inlineStr">
        <is>
          <t>🚫重复</t>
        </is>
      </c>
      <c r="S522" t="inlineStr">
        <is>
          <t>高中/高考资料</t>
        </is>
      </c>
      <c r="T522" t="inlineStr">
        <is>
          <t>0.23</t>
        </is>
      </c>
      <c r="U522" s="3">
        <v>46112.78107638889</v>
      </c>
      <c r="V522" t="inlineStr">
        <is>
          <t>虚拟产品</t>
        </is>
      </c>
      <c r="W522" s="3">
        <v>46033</v>
      </c>
      <c r="X522" t="inlineStr">
        <is>
          <t>01</t>
        </is>
      </c>
      <c r="Y522" t="inlineStr">
        <is>
          <t>2026-Q1</t>
        </is>
      </c>
    </row>
    <row r="523" ht="38.25" customHeight="1">
      <c r="A523" t="inlineStr">
        <is>
          <t>【编号04~229号】参考通用word模板（可导出pdf）规划书</t>
        </is>
      </c>
      <c r="B523" t="inlineStr">
        <is>
          <t>__upload_recv7XBWcY9Yy3.jpg</t>
        </is>
      </c>
      <c r="C523" s="2" t="str">
        <f>=HYPERLINK("https://xhslink.com/m/1PhXpAtyKkH", "https://xhslink.com/m/1PhXpAtyKkH")</f>
        <v>https://xhslink.com/m/1PhXpAtyKkH</v>
      </c>
      <c r="D523"/>
      <c r="E523">
        <v>4304</v>
      </c>
      <c r="F523">
        <v>5.9</v>
      </c>
      <c r="G523"/>
      <c r="H523">
        <v>100</v>
      </c>
      <c r="I523"/>
      <c r="J523"/>
      <c r="K523" t="inlineStr">
        <is>
          <t>pdf</t>
        </is>
      </c>
      <c r="L523"/>
      <c r="M523" t="inlineStr">
        <is>
          <t>小渔Eudora的店</t>
        </is>
      </c>
      <c r="N523">
        <v>24000</v>
      </c>
      <c r="O523">
        <v>4.34</v>
      </c>
      <c r="P523">
        <v>42000</v>
      </c>
      <c r="Q523" t="inlineStr">
        <is>
          <t>6667ce3a0f78be0001e29cc3</t>
        </is>
      </c>
      <c r="R523" t="inlineStr">
        <is>
          <t>🚫重复</t>
        </is>
      </c>
      <c r="S523" t="inlineStr">
        <is>
          <t>PPT模板</t>
        </is>
      </c>
      <c r="T523" t="inlineStr">
        <is>
          <t>0.18</t>
        </is>
      </c>
      <c r="U523" s="3">
        <v>46112.78107638889</v>
      </c>
      <c r="V523" t="inlineStr">
        <is>
          <t>虚拟产品</t>
        </is>
      </c>
      <c r="W523" s="3">
        <v>46033</v>
      </c>
      <c r="X523" t="inlineStr">
        <is>
          <t>01</t>
        </is>
      </c>
      <c r="Y523" t="inlineStr">
        <is>
          <t>2026-Q1</t>
        </is>
      </c>
    </row>
    <row r="524" ht="38.25" customHeight="1">
      <c r="A524" t="inlineStr">
        <is>
          <t>医学影像学医学影像诊断笔记重难点知识点学习背诵</t>
        </is>
      </c>
      <c r="B524" t="inlineStr">
        <is>
          <t>__upload_recv7XBWcY9rbD.jpg</t>
        </is>
      </c>
      <c r="C524" s="2" t="str">
        <f>=HYPERLINK("https://xhslink.com/m/1yVXVvGGsFr", "https://xhslink.com/m/1yVXVvGGsFr")</f>
        <v>https://xhslink.com/m/1yVXVvGGsFr</v>
      </c>
      <c r="D524"/>
      <c r="E524">
        <v>4223</v>
      </c>
      <c r="F524">
        <v>9.9</v>
      </c>
      <c r="G524"/>
      <c r="H524">
        <v>150</v>
      </c>
      <c r="I524"/>
      <c r="J524"/>
      <c r="K524" t="inlineStr">
        <is>
          <t>pdf</t>
        </is>
      </c>
      <c r="L524"/>
      <c r="M524" t="inlineStr">
        <is>
          <t>是湘雅小刘的店</t>
        </is>
      </c>
      <c r="N524">
        <v>20000</v>
      </c>
      <c r="O524">
        <v>4.17</v>
      </c>
      <c r="P524">
        <v>34000</v>
      </c>
      <c r="Q524" t="inlineStr">
        <is>
          <t>6637cf39f7752c00014260b7</t>
        </is>
      </c>
      <c r="R524"/>
      <c r="S524" t="inlineStr">
        <is>
          <t>PPT模板</t>
        </is>
      </c>
      <c r="T524" t="inlineStr">
        <is>
          <t>0.21</t>
        </is>
      </c>
      <c r="U524" s="3">
        <v>46112.78107638889</v>
      </c>
      <c r="V524" t="inlineStr">
        <is>
          <t>虚拟产品</t>
        </is>
      </c>
      <c r="W524" s="3">
        <v>46033</v>
      </c>
      <c r="X524" t="inlineStr">
        <is>
          <t>01</t>
        </is>
      </c>
      <c r="Y524" t="inlineStr">
        <is>
          <t>2026-Q1</t>
        </is>
      </c>
    </row>
    <row r="525" ht="38.25" customHeight="1">
      <c r="A525" t="inlineStr">
        <is>
          <t>主页所有论说文笔记完整版PDF（含26更新+送论效和英二作文笔记）</t>
        </is>
      </c>
      <c r="B525" t="inlineStr">
        <is>
          <t>__upload_recv7XBWcYpRkw.jpg</t>
        </is>
      </c>
      <c r="C525" s="2" t="str">
        <f>=HYPERLINK("https://xhslink.com/m/3mf8V1uc2mi", "https://xhslink.com/m/3mf8V1uc2mi")</f>
        <v>https://xhslink.com/m/3mf8V1uc2mi</v>
      </c>
      <c r="D525"/>
      <c r="E525">
        <v>4105</v>
      </c>
      <c r="F525">
        <v>9.9</v>
      </c>
      <c r="G525"/>
      <c r="H525">
        <v>1000</v>
      </c>
      <c r="I525"/>
      <c r="J525"/>
      <c r="K525" t="inlineStr">
        <is>
          <t>pdf</t>
        </is>
      </c>
      <c r="L525"/>
      <c r="M525" t="inlineStr">
        <is>
          <t>小薇论说文专项汇总的店</t>
        </is>
      </c>
      <c r="N525">
        <v>11000</v>
      </c>
      <c r="O525">
        <v>4.06</v>
      </c>
      <c r="P525">
        <v>4139</v>
      </c>
      <c r="Q525" t="inlineStr">
        <is>
          <t>67380ab5bf5b2400011eaa8a</t>
        </is>
      </c>
      <c r="R525"/>
      <c r="S525" t="inlineStr">
        <is>
          <t>考研资料</t>
        </is>
      </c>
      <c r="T525" t="inlineStr">
        <is>
          <t>0.37</t>
        </is>
      </c>
      <c r="U525" s="3">
        <v>46112.78107638889</v>
      </c>
      <c r="V525" t="inlineStr">
        <is>
          <t>虚拟产品</t>
        </is>
      </c>
      <c r="W525" s="3">
        <v>46033</v>
      </c>
      <c r="X525" t="inlineStr">
        <is>
          <t>01</t>
        </is>
      </c>
      <c r="Y525" t="inlineStr">
        <is>
          <t>2026-Q1</t>
        </is>
      </c>
    </row>
    <row r="526" ht="38.25" customHeight="1">
      <c r="A526" t="inlineStr">
        <is>
          <t>26高照资料分析+数量关系系列笔记-PDF电子版-下单先看详情页</t>
        </is>
      </c>
      <c r="B526" t="inlineStr">
        <is>
          <t>__upload_recv7XBWcYNHz4.jpg</t>
        </is>
      </c>
      <c r="C526" s="2" t="str">
        <f>=HYPERLINK("https://xhslink.com/m/4kfQvXfU76d", "https://xhslink.com/m/4kfQvXfU76d")</f>
        <v>https://xhslink.com/m/4kfQvXfU76d</v>
      </c>
      <c r="D526"/>
      <c r="E526">
        <v>4098</v>
      </c>
      <c r="F526">
        <v>9.9</v>
      </c>
      <c r="G526"/>
      <c r="H526">
        <v>350</v>
      </c>
      <c r="I526"/>
      <c r="J526"/>
      <c r="K526" t="inlineStr">
        <is>
          <t>pdf</t>
        </is>
      </c>
      <c r="L526"/>
      <c r="M526" t="inlineStr">
        <is>
          <t>软抱熊熊（考公版）的店</t>
        </is>
      </c>
      <c r="N526">
        <v>25000</v>
      </c>
      <c r="O526">
        <v>4.46</v>
      </c>
      <c r="P526">
        <v>10000</v>
      </c>
      <c r="Q526" t="inlineStr">
        <is>
          <t>67f8ac573d8f3800018b9331</t>
        </is>
      </c>
      <c r="R526"/>
      <c r="S526" t="inlineStr">
        <is>
          <t>考研资料</t>
        </is>
      </c>
      <c r="T526" t="inlineStr">
        <is>
          <t>0.16</t>
        </is>
      </c>
      <c r="U526" s="3">
        <v>46112.78107638889</v>
      </c>
      <c r="V526" t="inlineStr">
        <is>
          <t>虚拟产品</t>
        </is>
      </c>
      <c r="W526" s="3">
        <v>46033</v>
      </c>
      <c r="X526" t="inlineStr">
        <is>
          <t>01</t>
        </is>
      </c>
      <c r="Y526" t="inlineStr">
        <is>
          <t>2026-Q1</t>
        </is>
      </c>
    </row>
    <row r="527" ht="38.25" customHeight="1">
      <c r="A527" t="inlineStr">
        <is>
          <t>初中语文数学英语生物化史地道法知识点【电子版】</t>
        </is>
      </c>
      <c r="B527" t="inlineStr">
        <is>
          <t>__upload_recv7XBWcYMY9B.jpg</t>
        </is>
      </c>
      <c r="C527" s="2" t="str">
        <f>=HYPERLINK("https://xhslink.com/m/BaEnJIO88b", "https://xhslink.com/m/BaEnJIO88b")</f>
        <v>https://xhslink.com/m/BaEnJIO88b</v>
      </c>
      <c r="D527"/>
      <c r="E527">
        <v>4122</v>
      </c>
      <c r="F527">
        <v>4.9</v>
      </c>
      <c r="G527"/>
      <c r="H527">
        <v>350</v>
      </c>
      <c r="I527"/>
      <c r="J527"/>
      <c r="K527" t="inlineStr">
        <is>
          <t>pdf</t>
        </is>
      </c>
      <c r="L527"/>
      <c r="M527" t="inlineStr">
        <is>
          <t>周老师的资料库的店</t>
        </is>
      </c>
      <c r="N527">
        <v>1467</v>
      </c>
      <c r="O527">
        <v>4.11</v>
      </c>
      <c r="P527">
        <v>10000</v>
      </c>
      <c r="Q527" t="inlineStr">
        <is>
          <t>6821b8672f87160015e79de1</t>
        </is>
      </c>
      <c r="R527" t="inlineStr">
        <is>
          <t>🚫重复</t>
        </is>
      </c>
      <c r="S527" t="inlineStr">
        <is>
          <t>中小学教辅/教材</t>
        </is>
      </c>
      <c r="T527" t="inlineStr">
        <is>
          <t>2.81</t>
        </is>
      </c>
      <c r="U527" s="3">
        <v>46112.78107638889</v>
      </c>
      <c r="V527" t="inlineStr">
        <is>
          <t>虚拟产品</t>
        </is>
      </c>
      <c r="W527" s="3">
        <v>46033</v>
      </c>
      <c r="X527" t="inlineStr">
        <is>
          <t>01</t>
        </is>
      </c>
      <c r="Y527" t="inlineStr">
        <is>
          <t>2026-Q1</t>
        </is>
      </c>
    </row>
    <row r="528" ht="38.25" customHeight="1">
      <c r="A528" t="inlineStr">
        <is>
          <t>外刊精读中英双语手帐笔记｜词汇解析+配套练习【PDF电子版】</t>
        </is>
      </c>
      <c r="B528" t="inlineStr">
        <is>
          <t>__upload_recv7XBWcY5eQ2.jpg</t>
        </is>
      </c>
      <c r="C528" s="2" t="str">
        <f>=HYPERLINK("https://xhslink.com/m/5oTEroRJv99", "https://xhslink.com/m/5oTEroRJv99")</f>
        <v>https://xhslink.com/m/5oTEroRJv99</v>
      </c>
      <c r="D528"/>
      <c r="E528">
        <v>4056</v>
      </c>
      <c r="F528">
        <v>15</v>
      </c>
      <c r="G528"/>
      <c r="H528">
        <v>350</v>
      </c>
      <c r="I528"/>
      <c r="J528"/>
      <c r="K528" t="inlineStr">
        <is>
          <t>pdf</t>
        </is>
      </c>
      <c r="L528"/>
      <c r="M528" t="inlineStr">
        <is>
          <t>慕慕学英语✨的店</t>
        </is>
      </c>
      <c r="N528">
        <v>3931</v>
      </c>
      <c r="O528">
        <v>4.14</v>
      </c>
      <c r="P528">
        <v>20000</v>
      </c>
      <c r="Q528" t="inlineStr">
        <is>
          <t>694a71d9ef368800012d60d4</t>
        </is>
      </c>
      <c r="R528" t="inlineStr">
        <is>
          <t>🚫重复</t>
        </is>
      </c>
      <c r="S528" t="inlineStr">
        <is>
          <t>英语资料</t>
        </is>
      </c>
      <c r="T528" t="inlineStr">
        <is>
          <t>1.03</t>
        </is>
      </c>
      <c r="U528" s="3">
        <v>46112.78107638889</v>
      </c>
      <c r="V528" t="inlineStr">
        <is>
          <t>虚拟产品</t>
        </is>
      </c>
      <c r="W528" s="3">
        <v>46033</v>
      </c>
      <c r="X528" t="inlineStr">
        <is>
          <t>01</t>
        </is>
      </c>
      <c r="Y528" t="inlineStr">
        <is>
          <t>2026-Q1</t>
        </is>
      </c>
    </row>
    <row r="529" ht="38.25" customHeight="1">
      <c r="A529" t="inlineStr">
        <is>
          <t>还在为阅读理解烦心？这份电子攻略请查收</t>
        </is>
      </c>
      <c r="B529" t="inlineStr">
        <is>
          <t>__upload_recv7XBWcY5FM4.jpg</t>
        </is>
      </c>
      <c r="C529" s="2" t="str">
        <f>=HYPERLINK("https://xhslink.com/m/8bSFLFAXGAT", "https://xhslink.com/m/8bSFLFAXGAT")</f>
        <v>https://xhslink.com/m/8bSFLFAXGAT</v>
      </c>
      <c r="D529"/>
      <c r="E529">
        <v>3867</v>
      </c>
      <c r="F529">
        <v>3</v>
      </c>
      <c r="G529"/>
      <c r="H529">
        <v>700</v>
      </c>
      <c r="I529"/>
      <c r="J529"/>
      <c r="K529" t="inlineStr">
        <is>
          <t>pdf</t>
        </is>
      </c>
      <c r="L529"/>
      <c r="M529" t="inlineStr">
        <is>
          <t>白杨墨语的店</t>
        </is>
      </c>
      <c r="N529">
        <v>1988</v>
      </c>
      <c r="O529">
        <v>4.14</v>
      </c>
      <c r="P529">
        <v>4161</v>
      </c>
      <c r="Q529" t="inlineStr">
        <is>
          <t>6912dfdc1b0ce80001a04b9e</t>
        </is>
      </c>
      <c r="R529"/>
      <c r="S529" t="inlineStr">
        <is>
          <t>中小学教辅/教材</t>
        </is>
      </c>
      <c r="T529" t="inlineStr">
        <is>
          <t>1.95</t>
        </is>
      </c>
      <c r="U529" s="3">
        <v>46112.78107638889</v>
      </c>
      <c r="V529" t="inlineStr">
        <is>
          <t>虚拟产品</t>
        </is>
      </c>
      <c r="W529" s="3">
        <v>46033</v>
      </c>
      <c r="X529" t="inlineStr">
        <is>
          <t>01</t>
        </is>
      </c>
      <c r="Y529" t="inlineStr">
        <is>
          <t>2026-Q1</t>
        </is>
      </c>
    </row>
    <row r="530" ht="38.25" customHeight="1">
      <c r="A530" t="inlineStr">
        <is>
          <t>2025新版初一初二初三语文数学英语生物化史地道法知识点电子版</t>
        </is>
      </c>
      <c r="B530" t="inlineStr">
        <is>
          <t>__upload_recv7XBWcYrO5G.jpg</t>
        </is>
      </c>
      <c r="C530" s="2" t="str">
        <f>=HYPERLINK("https://xhslink.com/m/8nxGuLixeUv", "https://xhslink.com/m/8nxGuLixeUv")</f>
        <v>https://xhslink.com/m/8nxGuLixeUv</v>
      </c>
      <c r="D530"/>
      <c r="E530">
        <v>3801</v>
      </c>
      <c r="F530">
        <v>4.99</v>
      </c>
      <c r="G530"/>
      <c r="H530">
        <v>650</v>
      </c>
      <c r="I530"/>
      <c r="J530"/>
      <c r="K530" t="inlineStr">
        <is>
          <t>pdf</t>
        </is>
      </c>
      <c r="L530"/>
      <c r="M530" t="inlineStr">
        <is>
          <t>任老师学习资料库的店</t>
        </is>
      </c>
      <c r="N530">
        <v>1588</v>
      </c>
      <c r="O530">
        <v>4.14</v>
      </c>
      <c r="P530">
        <v>4544</v>
      </c>
      <c r="Q530" t="inlineStr">
        <is>
          <t>68518fcac5d1b4000143bff0</t>
        </is>
      </c>
      <c r="R530" t="inlineStr">
        <is>
          <t>🚫重复</t>
        </is>
      </c>
      <c r="S530" t="inlineStr">
        <is>
          <t>中小学教辅/教材</t>
        </is>
      </c>
      <c r="T530" t="inlineStr">
        <is>
          <t>2.39</t>
        </is>
      </c>
      <c r="U530" s="3">
        <v>46112.78107638889</v>
      </c>
      <c r="V530" t="inlineStr">
        <is>
          <t>虚拟产品</t>
        </is>
      </c>
      <c r="W530" s="3">
        <v>46033</v>
      </c>
      <c r="X530" t="inlineStr">
        <is>
          <t>01</t>
        </is>
      </c>
      <c r="Y530" t="inlineStr">
        <is>
          <t>2026-Q1</t>
        </is>
      </c>
    </row>
    <row r="531" ht="38.25" customHeight="1">
      <c r="A531" t="inlineStr">
        <is>
          <t>高中数学数列知识点+题型分类PDF(电子版)，拍前一定要看说明</t>
        </is>
      </c>
      <c r="B531" t="inlineStr">
        <is>
          <t>__upload_recv7XBWcY32uD.jpg</t>
        </is>
      </c>
      <c r="C531" s="2" t="str">
        <f>=HYPERLINK("https://xhslink.com/m/7zwnbihpfQ", "https://xhslink.com/m/7zwnbihpfQ")</f>
        <v>https://xhslink.com/m/7zwnbihpfQ</v>
      </c>
      <c r="D531"/>
      <c r="E531">
        <v>3806</v>
      </c>
      <c r="F531">
        <v>5</v>
      </c>
      <c r="G531"/>
      <c r="H531">
        <v>150</v>
      </c>
      <c r="I531"/>
      <c r="J531"/>
      <c r="K531" t="inlineStr">
        <is>
          <t>pdf</t>
        </is>
      </c>
      <c r="L531"/>
      <c r="M531" t="inlineStr">
        <is>
          <t>您好，马老师的店</t>
        </is>
      </c>
      <c r="N531">
        <v>19000</v>
      </c>
      <c r="O531">
        <v>4.39</v>
      </c>
      <c r="P531">
        <v>83000</v>
      </c>
      <c r="Q531" t="inlineStr">
        <is>
          <t>65d480d95a314d0001c6c185</t>
        </is>
      </c>
      <c r="R531" t="inlineStr">
        <is>
          <t>🚫重复</t>
        </is>
      </c>
      <c r="S531" t="inlineStr">
        <is>
          <t>高中/高考资料</t>
        </is>
      </c>
      <c r="T531" t="inlineStr">
        <is>
          <t>0.20</t>
        </is>
      </c>
      <c r="U531" s="3">
        <v>46112.78107638889</v>
      </c>
      <c r="V531" t="inlineStr">
        <is>
          <t>虚拟产品</t>
        </is>
      </c>
      <c r="W531" s="3">
        <v>46033</v>
      </c>
      <c r="X531" t="inlineStr">
        <is>
          <t>01</t>
        </is>
      </c>
      <c r="Y531" t="inlineStr">
        <is>
          <t>2026-Q1</t>
        </is>
      </c>
    </row>
    <row r="532" ht="38.25" customHeight="1">
      <c r="A532" t="inlineStr">
        <is>
          <t>四级核心1500词 2025年完整版 pdf电子版可打印 备考资料必备</t>
        </is>
      </c>
      <c r="B532" t="inlineStr">
        <is>
          <t>__upload_recv7XBWcYK4pZ.jpg</t>
        </is>
      </c>
      <c r="C532" s="2" t="str">
        <f>=HYPERLINK("https://xhslink.com/m/9qG9TJsK0JY", "https://xhslink.com/m/9qG9TJsK0JY")</f>
        <v>https://xhslink.com/m/9qG9TJsK0JY</v>
      </c>
      <c r="D532"/>
      <c r="E532">
        <v>3700</v>
      </c>
      <c r="F532">
        <v>1</v>
      </c>
      <c r="G532"/>
      <c r="H532">
        <v>99</v>
      </c>
      <c r="I532"/>
      <c r="J532"/>
      <c r="K532" t="inlineStr">
        <is>
          <t>pdf</t>
        </is>
      </c>
      <c r="L532"/>
      <c r="M532" t="inlineStr">
        <is>
          <t>梦学姐的店</t>
        </is>
      </c>
      <c r="N532">
        <v>8138</v>
      </c>
      <c r="O532">
        <v>4.49</v>
      </c>
      <c r="P532">
        <v>22000</v>
      </c>
      <c r="Q532" t="inlineStr">
        <is>
          <t>6811fcd14dac330001ee1328</t>
        </is>
      </c>
      <c r="R532" t="inlineStr">
        <is>
          <t>🚫重复</t>
        </is>
      </c>
      <c r="S532" t="inlineStr">
        <is>
          <t>英语资料</t>
        </is>
      </c>
      <c r="T532" t="inlineStr">
        <is>
          <t>0.45</t>
        </is>
      </c>
      <c r="U532" s="3">
        <v>46112.78107638889</v>
      </c>
      <c r="V532" t="inlineStr">
        <is>
          <t>虚拟产品</t>
        </is>
      </c>
      <c r="W532" s="3">
        <v>46033</v>
      </c>
      <c r="X532" t="inlineStr">
        <is>
          <t>01</t>
        </is>
      </c>
      <c r="Y532" t="inlineStr">
        <is>
          <t>2026-Q1</t>
        </is>
      </c>
    </row>
    <row r="533" ht="38.25" customHeight="1">
      <c r="A533" t="inlineStr">
        <is>
          <t>【六上语文习作】原创~写作指导+支架写作单+范文【PDF电子资料】</t>
        </is>
      </c>
      <c r="B533" t="inlineStr">
        <is>
          <t>__upload_recv7XBWcYEtXf.jpg</t>
        </is>
      </c>
      <c r="C533" s="2" t="str">
        <f>=HYPERLINK("https://xhslink.com/m/2urdZhRgt55", "https://xhslink.com/m/2urdZhRgt55")</f>
        <v>https://xhslink.com/m/2urdZhRgt55</v>
      </c>
      <c r="D533"/>
      <c r="E533">
        <v>3653</v>
      </c>
      <c r="F533">
        <v>5</v>
      </c>
      <c r="G533"/>
      <c r="H533">
        <v>1000</v>
      </c>
      <c r="I533"/>
      <c r="J533"/>
      <c r="K533" t="inlineStr">
        <is>
          <t>pdf</t>
        </is>
      </c>
      <c r="L533"/>
      <c r="M533" t="inlineStr">
        <is>
          <t>青竹的班主任手记的店</t>
        </is>
      </c>
      <c r="N533">
        <v>41000</v>
      </c>
      <c r="O533">
        <v>4.52</v>
      </c>
      <c r="P533">
        <v>42000</v>
      </c>
      <c r="Q533" t="inlineStr">
        <is>
          <t>68c6ce38bf5d360001d3e2b4</t>
        </is>
      </c>
      <c r="R533" t="inlineStr">
        <is>
          <t>🚫重复</t>
        </is>
      </c>
      <c r="S533" t="inlineStr">
        <is>
          <t>中小学教辅/教材</t>
        </is>
      </c>
      <c r="T533" t="inlineStr">
        <is>
          <t>0.09</t>
        </is>
      </c>
      <c r="U533" s="3">
        <v>46112.78107638889</v>
      </c>
      <c r="V533" t="inlineStr">
        <is>
          <t>虚拟产品</t>
        </is>
      </c>
      <c r="W533" s="3">
        <v>46033</v>
      </c>
      <c r="X533" t="inlineStr">
        <is>
          <t>01</t>
        </is>
      </c>
      <c r="Y533" t="inlineStr">
        <is>
          <t>2026-Q1</t>
        </is>
      </c>
    </row>
    <row r="534" ht="38.25" customHeight="1">
      <c r="A534" t="inlineStr">
        <is>
          <t>B045-2-6年级上册语文课后字、词默写【PDF电子版/有答案】</t>
        </is>
      </c>
      <c r="B534" t="inlineStr">
        <is>
          <t>__upload_recv7XBWcY19wJ.jpg</t>
        </is>
      </c>
      <c r="C534" s="2" t="str">
        <f>=HYPERLINK("https://xhslink.com/m/5v4uxBnLiY9", "https://xhslink.com/m/5v4uxBnLiY9")</f>
        <v>https://xhslink.com/m/5v4uxBnLiY9</v>
      </c>
      <c r="D534"/>
      <c r="E534">
        <v>3598</v>
      </c>
      <c r="F534">
        <v>6.8</v>
      </c>
      <c r="G534"/>
      <c r="H534">
        <v>100</v>
      </c>
      <c r="I534"/>
      <c r="J534"/>
      <c r="K534" t="inlineStr">
        <is>
          <t>pdf</t>
        </is>
      </c>
      <c r="L534"/>
      <c r="M534" t="inlineStr">
        <is>
          <t>小宋宋Nice的店</t>
        </is>
      </c>
      <c r="N534">
        <v>10000</v>
      </c>
      <c r="O534">
        <v>4.52</v>
      </c>
      <c r="P534">
        <v>40000</v>
      </c>
      <c r="Q534" t="inlineStr">
        <is>
          <t>687c9b72448546000128cd1f</t>
        </is>
      </c>
      <c r="R534" t="inlineStr">
        <is>
          <t>🚫重复</t>
        </is>
      </c>
      <c r="S534" t="inlineStr">
        <is>
          <t>中小学教辅/教材</t>
        </is>
      </c>
      <c r="T534" t="inlineStr">
        <is>
          <t>0.36</t>
        </is>
      </c>
      <c r="U534" s="3">
        <v>46112.78107638889</v>
      </c>
      <c r="V534" t="inlineStr">
        <is>
          <t>虚拟产品</t>
        </is>
      </c>
      <c r="W534" s="3">
        <v>46033</v>
      </c>
      <c r="X534" t="inlineStr">
        <is>
          <t>01</t>
        </is>
      </c>
      <c r="Y534" t="inlineStr">
        <is>
          <t>2026-Q1</t>
        </is>
      </c>
    </row>
    <row r="535" ht="38.25" customHeight="1">
      <c r="A535" t="inlineStr">
        <is>
          <t>2025秋季新人教版八上英语语法总结表+语法每日一练 PDF电子版</t>
        </is>
      </c>
      <c r="B535" t="inlineStr">
        <is>
          <t>__upload_recv7XBWcYZHTF.jpg</t>
        </is>
      </c>
      <c r="C535" s="2" t="str">
        <f>=HYPERLINK("https://xhslink.com/m/4Apuigp48d4", "https://xhslink.com/m/4Apuigp48d4")</f>
        <v>https://xhslink.com/m/4Apuigp48d4</v>
      </c>
      <c r="D535"/>
      <c r="E535">
        <v>3450</v>
      </c>
      <c r="F535">
        <v>13.9</v>
      </c>
      <c r="G535"/>
      <c r="H535">
        <v>150</v>
      </c>
      <c r="I535"/>
      <c r="J535"/>
      <c r="K535" t="inlineStr">
        <is>
          <t>pdf</t>
        </is>
      </c>
      <c r="L535"/>
      <c r="M535" t="inlineStr">
        <is>
          <t>教英语的谢老师的店</t>
        </is>
      </c>
      <c r="N535">
        <v>36000</v>
      </c>
      <c r="O535">
        <v>4.61</v>
      </c>
      <c r="P535">
        <v>140000</v>
      </c>
      <c r="Q535" t="inlineStr">
        <is>
          <t>6851469d93d0780001edc7f0</t>
        </is>
      </c>
      <c r="R535" t="inlineStr">
        <is>
          <t>🚫重复</t>
        </is>
      </c>
      <c r="S535" t="inlineStr">
        <is>
          <t>中小学教辅/教材</t>
        </is>
      </c>
      <c r="T535" t="inlineStr">
        <is>
          <t>0.10</t>
        </is>
      </c>
      <c r="U535" s="3">
        <v>46112.78107638889</v>
      </c>
      <c r="V535" t="inlineStr">
        <is>
          <t>虚拟产品</t>
        </is>
      </c>
      <c r="W535" s="3">
        <v>46033</v>
      </c>
      <c r="X535" t="inlineStr">
        <is>
          <t>01</t>
        </is>
      </c>
      <c r="Y535" t="inlineStr">
        <is>
          <t>2026-Q1</t>
        </is>
      </c>
    </row>
    <row r="536" ht="38.25" customHeight="1">
      <c r="A536" t="inlineStr">
        <is>
          <t>【原创自制】二年级上册口语交际+写话（pdf电子版）</t>
        </is>
      </c>
      <c r="B536" t="inlineStr">
        <is>
          <t>__upload_recv7XBWcYyLSS.jpg</t>
        </is>
      </c>
      <c r="C536" s="2" t="str">
        <f>=HYPERLINK("https://xhslink.com/m/7HRKoUNkO9J", "https://xhslink.com/m/7HRKoUNkO9J")</f>
        <v>https://xhslink.com/m/7HRKoUNkO9J</v>
      </c>
      <c r="D536"/>
      <c r="E536">
        <v>3453</v>
      </c>
      <c r="F536">
        <v>2</v>
      </c>
      <c r="G536"/>
      <c r="H536">
        <v>250</v>
      </c>
      <c r="I536"/>
      <c r="J536"/>
      <c r="K536" t="inlineStr">
        <is>
          <t>pdf</t>
        </is>
      </c>
      <c r="L536"/>
      <c r="M536" t="inlineStr">
        <is>
          <t>喜欢薄荷奶绿的文文老师的店</t>
        </is>
      </c>
      <c r="N536">
        <v>59000</v>
      </c>
      <c r="O536">
        <v>3.99</v>
      </c>
      <c r="P536">
        <v>26000</v>
      </c>
      <c r="Q536" t="inlineStr">
        <is>
          <t>68aadde795220f00015cbaca</t>
        </is>
      </c>
      <c r="R536"/>
      <c r="S536" t="inlineStr">
        <is>
          <t>中小学教辅/教材</t>
        </is>
      </c>
      <c r="T536" t="inlineStr">
        <is>
          <t>0.06</t>
        </is>
      </c>
      <c r="U536" s="3">
        <v>46112.78107638889</v>
      </c>
      <c r="V536" t="inlineStr">
        <is>
          <t>虚拟产品</t>
        </is>
      </c>
      <c r="W536" s="3">
        <v>46033</v>
      </c>
      <c r="X536" t="inlineStr">
        <is>
          <t>01</t>
        </is>
      </c>
      <c r="Y536" t="inlineStr">
        <is>
          <t>2026-Q1</t>
        </is>
      </c>
    </row>
    <row r="537" ht="38.25" customHeight="1">
      <c r="A537" t="inlineStr">
        <is>
          <t>2025新人教版八上英语单词 背诵版+汉译英+英译汉 PDF电子版资料</t>
        </is>
      </c>
      <c r="B537" t="inlineStr">
        <is>
          <t>__upload_recv7XBWcYcSOl.jpg</t>
        </is>
      </c>
      <c r="C537" s="2" t="str">
        <f>=HYPERLINK("https://xhslink.com/m/3E4BBRjqfff", "https://xhslink.com/m/3E4BBRjqfff")</f>
        <v>https://xhslink.com/m/3E4BBRjqfff</v>
      </c>
      <c r="D537"/>
      <c r="E537">
        <v>3315</v>
      </c>
      <c r="F537">
        <v>3.9</v>
      </c>
      <c r="G537"/>
      <c r="H537">
        <v>86</v>
      </c>
      <c r="I537"/>
      <c r="J537"/>
      <c r="K537" t="inlineStr">
        <is>
          <t>pdf</t>
        </is>
      </c>
      <c r="L537"/>
      <c r="M537" t="inlineStr">
        <is>
          <t>教英语的谢老师的店</t>
        </is>
      </c>
      <c r="N537">
        <v>36000</v>
      </c>
      <c r="O537">
        <v>4.61</v>
      </c>
      <c r="P537">
        <v>140000</v>
      </c>
      <c r="Q537" t="inlineStr">
        <is>
          <t>6832c373d9a0a40001dd93ad</t>
        </is>
      </c>
      <c r="R537" t="inlineStr">
        <is>
          <t>🚫重复</t>
        </is>
      </c>
      <c r="S537" t="inlineStr">
        <is>
          <t>中小学教辅/教材</t>
        </is>
      </c>
      <c r="T537" t="inlineStr">
        <is>
          <t>0.09</t>
        </is>
      </c>
      <c r="U537" s="3">
        <v>46112.78107638889</v>
      </c>
      <c r="V537" t="inlineStr">
        <is>
          <t>虚拟产品</t>
        </is>
      </c>
      <c r="W537" s="3">
        <v>46033</v>
      </c>
      <c r="X537" t="inlineStr">
        <is>
          <t>01</t>
        </is>
      </c>
      <c r="Y537" t="inlineStr">
        <is>
          <t>2026-Q1</t>
        </is>
      </c>
    </row>
    <row r="538" ht="38.25" customHeight="1">
      <c r="A538" t="inlineStr">
        <is>
          <t>资料分析題型公式识别空白格+默写版（PDF电子版发网盘）</t>
        </is>
      </c>
      <c r="B538" t="inlineStr">
        <is>
          <t>__upload_recv7XBWcYjL1Z.jpg</t>
        </is>
      </c>
      <c r="C538" s="2" t="str">
        <f>=HYPERLINK("https://xhslink.com/m/6y8gDDSYySK", "https://xhslink.com/m/6y8gDDSYySK")</f>
        <v>https://xhslink.com/m/6y8gDDSYySK</v>
      </c>
      <c r="D538"/>
      <c r="E538">
        <v>3308</v>
      </c>
      <c r="F538">
        <v>4.99</v>
      </c>
      <c r="G538"/>
      <c r="H538">
        <v>850</v>
      </c>
      <c r="I538"/>
      <c r="J538"/>
      <c r="K538" t="inlineStr">
        <is>
          <t>pdf</t>
        </is>
      </c>
      <c r="L538" t="inlineStr">
        <is>
          <t>🔥低粉爆款</t>
        </is>
      </c>
      <c r="M538" t="inlineStr">
        <is>
          <t>阿诗不摆烂的店</t>
        </is>
      </c>
      <c r="N538">
        <v>813</v>
      </c>
      <c r="O538">
        <v>4.25</v>
      </c>
      <c r="P538">
        <v>15000</v>
      </c>
      <c r="Q538" t="inlineStr">
        <is>
          <t>68c812d394797600014b99b9</t>
        </is>
      </c>
      <c r="R538"/>
      <c r="S538" t="inlineStr">
        <is>
          <t>无匹配类别</t>
        </is>
      </c>
      <c r="T538" t="inlineStr">
        <is>
          <t>4.07</t>
        </is>
      </c>
      <c r="U538" s="3">
        <v>46112.78107638889</v>
      </c>
      <c r="V538" t="inlineStr">
        <is>
          <t>虚拟产品</t>
        </is>
      </c>
      <c r="W538" s="3">
        <v>46033</v>
      </c>
      <c r="X538" t="inlineStr">
        <is>
          <t>01</t>
        </is>
      </c>
      <c r="Y538" t="inlineStr">
        <is>
          <t>2026-Q1</t>
        </is>
      </c>
    </row>
    <row r="539" ht="38.25" customHeight="1">
      <c r="A539" t="inlineStr">
        <is>
          <t>199_管理类综合真题及解析电子版 PDF高清无水印</t>
        </is>
      </c>
      <c r="B539" t="inlineStr">
        <is>
          <t>__upload_recv7XBWcYojK5.jpg</t>
        </is>
      </c>
      <c r="C539" s="2" t="str">
        <f>=HYPERLINK("https://xhslink.com/m/3w1cL1VaDLr", "https://xhslink.com/m/3w1cL1VaDLr")</f>
        <v>https://xhslink.com/m/3w1cL1VaDLr</v>
      </c>
      <c r="D539"/>
      <c r="E539">
        <v>2863</v>
      </c>
      <c r="F539">
        <v>0.99</v>
      </c>
      <c r="G539"/>
      <c r="H539">
        <v>1000</v>
      </c>
      <c r="I539"/>
      <c r="J539"/>
      <c r="K539" t="inlineStr">
        <is>
          <t>pdf</t>
        </is>
      </c>
      <c r="L539" t="inlineStr">
        <is>
          <t>🔥低粉爆款</t>
        </is>
      </c>
      <c r="M539" t="inlineStr">
        <is>
          <t>离雨淬阁的店</t>
        </is>
      </c>
      <c r="N539">
        <v>696</v>
      </c>
      <c r="O539">
        <v>4.58</v>
      </c>
      <c r="P539">
        <v>26000</v>
      </c>
      <c r="Q539" t="inlineStr">
        <is>
          <t>68de47177d3b3f0001d3dbb9</t>
        </is>
      </c>
      <c r="R539" t="inlineStr">
        <is>
          <t>🚫重复</t>
        </is>
      </c>
      <c r="S539" t="inlineStr">
        <is>
          <t>考研资料</t>
        </is>
      </c>
      <c r="T539" t="inlineStr">
        <is>
          <t>4.11</t>
        </is>
      </c>
      <c r="U539" s="3">
        <v>46112.78107638889</v>
      </c>
      <c r="V539" t="inlineStr">
        <is>
          <t>虚拟产品</t>
        </is>
      </c>
      <c r="W539" s="3">
        <v>46033</v>
      </c>
      <c r="X539" t="inlineStr">
        <is>
          <t>01</t>
        </is>
      </c>
      <c r="Y539" t="inlineStr">
        <is>
          <t>2026-Q1</t>
        </is>
      </c>
    </row>
    <row r="540" ht="38.25" customHeight="1">
      <c r="A540" t="inlineStr">
        <is>
          <t>2025年英语四六级备考资料全电子版真题试卷解析专题训练词汇阅读</t>
        </is>
      </c>
      <c r="B540" t="inlineStr">
        <is>
          <t>__upload_recv7XBWcYh0ka.jpg</t>
        </is>
      </c>
      <c r="C540" s="2" t="str">
        <f>=HYPERLINK("https://xhslink.com/m/19so0Amzzoz", "https://xhslink.com/m/19so0Amzzoz")</f>
        <v>https://xhslink.com/m/19so0Amzzoz</v>
      </c>
      <c r="D540"/>
      <c r="E540">
        <v>3273</v>
      </c>
      <c r="F540">
        <v>3.98</v>
      </c>
      <c r="G540"/>
      <c r="H540">
        <v>200</v>
      </c>
      <c r="I540"/>
      <c r="J540"/>
      <c r="K540" t="inlineStr">
        <is>
          <t>pdf</t>
        </is>
      </c>
      <c r="L540"/>
      <c r="M540" t="inlineStr">
        <is>
          <t>桃桃老师a的店</t>
        </is>
      </c>
      <c r="N540">
        <v>1145</v>
      </c>
      <c r="O540">
        <v>4.32</v>
      </c>
      <c r="P540">
        <v>10000</v>
      </c>
      <c r="Q540" t="inlineStr">
        <is>
          <t>674320719d499900010dd786</t>
        </is>
      </c>
      <c r="R540"/>
      <c r="S540" t="inlineStr">
        <is>
          <t>英语资料</t>
        </is>
      </c>
      <c r="T540" t="inlineStr">
        <is>
          <t>2.86</t>
        </is>
      </c>
      <c r="U540" s="3">
        <v>46112.78107638889</v>
      </c>
      <c r="V540" t="inlineStr">
        <is>
          <t>虚拟产品</t>
        </is>
      </c>
      <c r="W540" s="3">
        <v>46033</v>
      </c>
      <c r="X540" t="inlineStr">
        <is>
          <t>01</t>
        </is>
      </c>
      <c r="Y540" t="inlineStr">
        <is>
          <t>2026-Q1</t>
        </is>
      </c>
    </row>
    <row r="541" ht="38.25" customHeight="1">
      <c r="A541" t="inlineStr">
        <is>
          <t>【高中英语单词默写】人教版/北师大版/外研版/译林版（Excel+PDF</t>
        </is>
      </c>
      <c r="B541" t="inlineStr">
        <is>
          <t>__upload_recv7XBWcYxamn.jpg</t>
        </is>
      </c>
      <c r="C541" s="2" t="str">
        <f>=HYPERLINK("https://xhslink.com/m/AbjMXcXfhJF", "https://xhslink.com/m/AbjMXcXfhJF")</f>
        <v>https://xhslink.com/m/AbjMXcXfhJF</v>
      </c>
      <c r="D541"/>
      <c r="E541">
        <v>3219</v>
      </c>
      <c r="F541">
        <v>3.6</v>
      </c>
      <c r="G541"/>
      <c r="H541">
        <v>200</v>
      </c>
      <c r="I541"/>
      <c r="J541"/>
      <c r="K541" t="inlineStr">
        <is>
          <t>pdf</t>
        </is>
      </c>
      <c r="L541"/>
      <c r="M541" t="inlineStr">
        <is>
          <t>元宝团子呀的店</t>
        </is>
      </c>
      <c r="N541">
        <v>1275</v>
      </c>
      <c r="O541">
        <v>4.44</v>
      </c>
      <c r="P541">
        <v>9104</v>
      </c>
      <c r="Q541" t="inlineStr">
        <is>
          <t>67de2f4329b9f70001ea468b</t>
        </is>
      </c>
      <c r="R541" t="inlineStr">
        <is>
          <t>🚫重复</t>
        </is>
      </c>
      <c r="S541" t="inlineStr">
        <is>
          <t>高中/高考资料</t>
        </is>
      </c>
      <c r="T541" t="inlineStr">
        <is>
          <t>2.52</t>
        </is>
      </c>
      <c r="U541" s="3">
        <v>46112.78107638889</v>
      </c>
      <c r="V541" t="inlineStr">
        <is>
          <t>虚拟产品</t>
        </is>
      </c>
      <c r="W541" s="3">
        <v>46033</v>
      </c>
      <c r="X541" t="inlineStr">
        <is>
          <t>01</t>
        </is>
      </c>
      <c r="Y541" t="inlineStr">
        <is>
          <t>2026-Q1</t>
        </is>
      </c>
    </row>
    <row r="542" ht="38.25" customHeight="1">
      <c r="A542" t="inlineStr">
        <is>
          <t>大学生职业生涯规划PPT 送配套规划书pdf/word 含内容 选编号下单</t>
        </is>
      </c>
      <c r="B542" t="inlineStr">
        <is>
          <t>__upload_recv7XBWcYTjoW.jpg</t>
        </is>
      </c>
      <c r="C542" s="2" t="str">
        <f>=HYPERLINK("https://xhslink.com/m/gXCRtJgY9Z", "https://xhslink.com/m/gXCRtJgY9Z")</f>
        <v>https://xhslink.com/m/gXCRtJgY9Z</v>
      </c>
      <c r="D542"/>
      <c r="E542">
        <v>2068</v>
      </c>
      <c r="F542">
        <v>4.99</v>
      </c>
      <c r="G542"/>
      <c r="H542">
        <v>450</v>
      </c>
      <c r="I542"/>
      <c r="J542"/>
      <c r="K542" t="inlineStr">
        <is>
          <t>pdf</t>
        </is>
      </c>
      <c r="L542"/>
      <c r="M542" t="inlineStr">
        <is>
          <t>麦子小姐ppt的店</t>
        </is>
      </c>
      <c r="N542">
        <v>23000</v>
      </c>
      <c r="O542">
        <v>4.47</v>
      </c>
      <c r="P542">
        <v>80000</v>
      </c>
      <c r="Q542" t="inlineStr">
        <is>
          <t>6916ce3f390e4c0001785aa3</t>
        </is>
      </c>
      <c r="R542" t="inlineStr">
        <is>
          <t>🚫重复</t>
        </is>
      </c>
      <c r="S542" t="inlineStr">
        <is>
          <t>PPT模板</t>
        </is>
      </c>
      <c r="T542" t="inlineStr">
        <is>
          <t>0.09</t>
        </is>
      </c>
      <c r="U542" s="3">
        <v>46112.78107638889</v>
      </c>
      <c r="V542" t="inlineStr">
        <is>
          <t>虚拟产品</t>
        </is>
      </c>
      <c r="W542" s="3">
        <v>46033</v>
      </c>
      <c r="X542" t="inlineStr">
        <is>
          <t>01</t>
        </is>
      </c>
      <c r="Y542" t="inlineStr">
        <is>
          <t>2026-Q1</t>
        </is>
      </c>
    </row>
    <row r="543" ht="38.25" customHeight="1">
      <c r="A543" t="inlineStr">
        <is>
          <t>社区工作者居委会面试话术素材,逐字稿答案电子版PDF</t>
        </is>
      </c>
      <c r="B543" t="inlineStr">
        <is>
          <t>__upload_recv7XBWcYfM4e.jpg</t>
        </is>
      </c>
      <c r="C543" s="2" t="str">
        <f>=HYPERLINK("https://xhslink.com/m/5WiKR7JuPTh", "https://xhslink.com/m/5WiKR7JuPTh")</f>
        <v>https://xhslink.com/m/5WiKR7JuPTh</v>
      </c>
      <c r="D543"/>
      <c r="E543">
        <v>3191</v>
      </c>
      <c r="F543">
        <v>9.9</v>
      </c>
      <c r="G543"/>
      <c r="H543">
        <v>300</v>
      </c>
      <c r="I543"/>
      <c r="J543"/>
      <c r="K543" t="inlineStr">
        <is>
          <t>pdf</t>
        </is>
      </c>
      <c r="L543"/>
      <c r="M543" t="inlineStr">
        <is>
          <t>公考蔡文姬的店</t>
        </is>
      </c>
      <c r="N543">
        <v>14000</v>
      </c>
      <c r="O543">
        <v>4.5</v>
      </c>
      <c r="P543">
        <v>44000</v>
      </c>
      <c r="Q543" t="inlineStr">
        <is>
          <t>67e2267f79c93d000184ec75</t>
        </is>
      </c>
      <c r="R543" t="inlineStr">
        <is>
          <t>🚫重复</t>
        </is>
      </c>
      <c r="S543" t="inlineStr">
        <is>
          <t>求职面试/职场</t>
        </is>
      </c>
      <c r="T543" t="inlineStr">
        <is>
          <t>0.23</t>
        </is>
      </c>
      <c r="U543" s="3">
        <v>46112.78107638889</v>
      </c>
      <c r="V543" t="inlineStr">
        <is>
          <t>虚拟产品</t>
        </is>
      </c>
      <c r="W543" s="3">
        <v>46033</v>
      </c>
      <c r="X543" t="inlineStr">
        <is>
          <t>01</t>
        </is>
      </c>
      <c r="Y543" t="inlineStr">
        <is>
          <t>2026-Q1</t>
        </is>
      </c>
    </row>
    <row r="544" ht="38.25" customHeight="1">
      <c r="A544" t="inlineStr">
        <is>
          <t>最新86个教育热点大汇总！pdf.（自动发货）</t>
        </is>
      </c>
      <c r="B544" t="inlineStr">
        <is>
          <t>__upload_recv7XBWcYvot1.jpg</t>
        </is>
      </c>
      <c r="C544" s="2" t="str">
        <f>=HYPERLINK("https://xhslink.com/m/8J3Gn3sOUKz", "https://xhslink.com/m/8J3Gn3sOUKz")</f>
        <v>https://xhslink.com/m/8J3Gn3sOUKz</v>
      </c>
      <c r="D544"/>
      <c r="E544">
        <v>1999</v>
      </c>
      <c r="F544">
        <v>4.99</v>
      </c>
      <c r="G544"/>
      <c r="H544">
        <v>150</v>
      </c>
      <c r="I544"/>
      <c r="J544"/>
      <c r="K544" t="inlineStr">
        <is>
          <t>pdf</t>
        </is>
      </c>
      <c r="L544"/>
      <c r="M544" t="inlineStr">
        <is>
          <t>锦鲤附体！的店</t>
        </is>
      </c>
      <c r="N544">
        <v>2622</v>
      </c>
      <c r="O544">
        <v>4.21</v>
      </c>
      <c r="P544">
        <v>13000</v>
      </c>
      <c r="Q544" t="inlineStr">
        <is>
          <t>6854d36a674e880001732f9b</t>
        </is>
      </c>
      <c r="R544"/>
      <c r="S544" t="inlineStr">
        <is>
          <t>无匹配类别</t>
        </is>
      </c>
      <c r="T544" t="inlineStr">
        <is>
          <t>0.76</t>
        </is>
      </c>
      <c r="U544" s="3">
        <v>46112.78107638889</v>
      </c>
      <c r="V544" t="inlineStr">
        <is>
          <t>虚拟产品</t>
        </is>
      </c>
      <c r="W544" s="3">
        <v>46033</v>
      </c>
      <c r="X544" t="inlineStr">
        <is>
          <t>01</t>
        </is>
      </c>
      <c r="Y544" t="inlineStr">
        <is>
          <t>2026-Q1</t>
        </is>
      </c>
    </row>
    <row r="545" ht="38.25" customHeight="1">
      <c r="A545" t="inlineStr">
        <is>
          <t>英语专项题型 pdf电子版</t>
        </is>
      </c>
      <c r="B545" t="inlineStr">
        <is>
          <t>__upload_recv7XBWcY9bgv.jpg</t>
        </is>
      </c>
      <c r="C545" s="2" t="str">
        <f>=HYPERLINK("https://xhslink.com/m/2BOkkf1nqRU", "https://xhslink.com/m/2BOkkf1nqRU")</f>
        <v>https://xhslink.com/m/2BOkkf1nqRU</v>
      </c>
      <c r="D545"/>
      <c r="E545">
        <v>1567</v>
      </c>
      <c r="F545">
        <v>2.88</v>
      </c>
      <c r="G545"/>
      <c r="H545">
        <v>250</v>
      </c>
      <c r="I545"/>
      <c r="J545"/>
      <c r="K545" t="inlineStr">
        <is>
          <t>pdf</t>
        </is>
      </c>
      <c r="L545"/>
      <c r="M545" t="inlineStr">
        <is>
          <t>落雪资料的店</t>
        </is>
      </c>
      <c r="N545">
        <v>2412</v>
      </c>
      <c r="O545">
        <v>4.38</v>
      </c>
      <c r="P545">
        <v>33000</v>
      </c>
      <c r="Q545" t="inlineStr">
        <is>
          <t>684e34499d4a5500010e544c</t>
        </is>
      </c>
      <c r="R545" t="inlineStr">
        <is>
          <t>🚫重复</t>
        </is>
      </c>
      <c r="S545" t="inlineStr">
        <is>
          <t>英语资料</t>
        </is>
      </c>
      <c r="T545" t="inlineStr">
        <is>
          <t>0.65</t>
        </is>
      </c>
      <c r="U545" s="3">
        <v>46112.78107638889</v>
      </c>
      <c r="V545" t="inlineStr">
        <is>
          <t>虚拟产品</t>
        </is>
      </c>
      <c r="W545" s="3">
        <v>46033</v>
      </c>
      <c r="X545" t="inlineStr">
        <is>
          <t>01</t>
        </is>
      </c>
      <c r="Y545" t="inlineStr">
        <is>
          <t>2026-Q1</t>
        </is>
      </c>
    </row>
    <row r="546" ht="38.25" customHeight="1">
      <c r="A546" t="inlineStr">
        <is>
          <t>如图/pdf电子档/详细梳理/皎皎白驹定制版</t>
        </is>
      </c>
      <c r="B546" t="inlineStr">
        <is>
          <t>__upload_recv7XBWcYPvfB.jpg</t>
        </is>
      </c>
      <c r="C546" s="2" t="str">
        <f>=HYPERLINK("https://xhslink.com/m/3aNtcfz8Zf7", "https://xhslink.com/m/3aNtcfz8Zf7")</f>
        <v>https://xhslink.com/m/3aNtcfz8Zf7</v>
      </c>
      <c r="D546"/>
      <c r="E546">
        <v>1298</v>
      </c>
      <c r="F546">
        <v>9.9</v>
      </c>
      <c r="G546"/>
      <c r="H546">
        <v>100</v>
      </c>
      <c r="I546"/>
      <c r="J546"/>
      <c r="K546" t="inlineStr">
        <is>
          <t>pdf</t>
        </is>
      </c>
      <c r="L546"/>
      <c r="M546" t="inlineStr">
        <is>
          <t>皎皎白驹的店</t>
        </is>
      </c>
      <c r="N546">
        <v>20000</v>
      </c>
      <c r="O546">
        <v>4.7</v>
      </c>
      <c r="P546">
        <v>3959</v>
      </c>
      <c r="Q546" t="inlineStr">
        <is>
          <t>68ce446cbf5d3600010295eb</t>
        </is>
      </c>
      <c r="R546"/>
      <c r="S546" t="inlineStr">
        <is>
          <t>PPT模板</t>
        </is>
      </c>
      <c r="T546" t="inlineStr">
        <is>
          <t>0.06</t>
        </is>
      </c>
      <c r="U546" s="3">
        <v>46112.78107638889</v>
      </c>
      <c r="V546" t="inlineStr">
        <is>
          <t>虚拟产品</t>
        </is>
      </c>
      <c r="W546" s="3">
        <v>46033</v>
      </c>
      <c r="X546" t="inlineStr">
        <is>
          <t>01</t>
        </is>
      </c>
      <c r="Y546" t="inlineStr">
        <is>
          <t>2026-Q1</t>
        </is>
      </c>
    </row>
    <row r="547" ht="38.25" customHeight="1">
      <c r="A547" t="inlineStr">
        <is>
          <t>2025新中特PDF及课后答案复习资料</t>
        </is>
      </c>
      <c r="B547" t="inlineStr">
        <is>
          <t>__upload_recv7XBWcYq7bN.jpg</t>
        </is>
      </c>
      <c r="C547" s="2" t="str">
        <f>=HYPERLINK("https://xhslink.com/m/30GH3zyNXXw", "https://xhslink.com/m/30GH3zyNXXw")</f>
        <v>https://xhslink.com/m/30GH3zyNXXw</v>
      </c>
      <c r="D547"/>
      <c r="E547">
        <v>836</v>
      </c>
      <c r="F547">
        <v>3.9</v>
      </c>
      <c r="G547"/>
      <c r="H547">
        <v>200</v>
      </c>
      <c r="I547"/>
      <c r="J547"/>
      <c r="K547" t="inlineStr">
        <is>
          <t>pdf</t>
        </is>
      </c>
      <c r="L547" t="inlineStr">
        <is>
          <t>🔥低粉爆款</t>
        </is>
      </c>
      <c r="M547" t="inlineStr">
        <is>
          <t>多芒小丸子的店</t>
        </is>
      </c>
      <c r="N547">
        <v>36</v>
      </c>
      <c r="O547">
        <v>3.99</v>
      </c>
      <c r="P547">
        <v>886</v>
      </c>
      <c r="Q547" t="inlineStr">
        <is>
          <t>67fe18c4b2c30c0001b4c0ef</t>
        </is>
      </c>
      <c r="R547"/>
      <c r="S547" t="inlineStr">
        <is>
          <t>无匹配类别</t>
        </is>
      </c>
      <c r="T547" t="inlineStr">
        <is>
          <t>23.22</t>
        </is>
      </c>
      <c r="U547" s="3">
        <v>46112.78107638889</v>
      </c>
      <c r="V547" t="inlineStr">
        <is>
          <t>虚拟产品</t>
        </is>
      </c>
      <c r="W547" s="3">
        <v>46033</v>
      </c>
      <c r="X547" t="inlineStr">
        <is>
          <t>01</t>
        </is>
      </c>
      <c r="Y547" t="inlineStr">
        <is>
          <t>2026-Q1</t>
        </is>
      </c>
    </row>
    <row r="548" ht="38.25" customHeight="1">
      <c r="A548" t="inlineStr">
        <is>
          <t>初中语文数学英语物理化生物史地道法知识点总结电子版素材多版本</t>
        </is>
      </c>
      <c r="B548" t="inlineStr">
        <is>
          <t>__upload_recv7XBWcYULKv.jpg</t>
        </is>
      </c>
      <c r="C548" s="2" t="str">
        <f>=HYPERLINK("https://xhslink.com/m/AD2fmqUdqJ", "https://xhslink.com/m/AD2fmqUdqJ")</f>
        <v>https://xhslink.com/m/AD2fmqUdqJ</v>
      </c>
      <c r="D548"/>
      <c r="E548">
        <v>24000</v>
      </c>
      <c r="F548">
        <v>25.8</v>
      </c>
      <c r="G548"/>
      <c r="H548">
        <v>2500</v>
      </c>
      <c r="I548"/>
      <c r="J548"/>
      <c r="K548" t="inlineStr">
        <is>
          <t>素材</t>
        </is>
      </c>
      <c r="L548"/>
      <c r="M548" t="inlineStr">
        <is>
          <t>赵老师的资料库的店</t>
        </is>
      </c>
      <c r="N548">
        <v>14000</v>
      </c>
      <c r="O548">
        <v>4.43</v>
      </c>
      <c r="P548">
        <v>46000</v>
      </c>
      <c r="Q548" t="inlineStr">
        <is>
          <t>672cd74310adb50001c57244</t>
        </is>
      </c>
      <c r="R548" t="inlineStr">
        <is>
          <t>🚫重复</t>
        </is>
      </c>
      <c r="S548" t="inlineStr">
        <is>
          <t>中小学教辅/教材</t>
        </is>
      </c>
      <c r="T548" t="inlineStr">
        <is>
          <t>1.71</t>
        </is>
      </c>
      <c r="U548" s="3">
        <v>46112.78107638889</v>
      </c>
      <c r="V548" t="inlineStr">
        <is>
          <t>虚拟产品</t>
        </is>
      </c>
      <c r="W548" s="3">
        <v>46033</v>
      </c>
      <c r="X548" t="inlineStr">
        <is>
          <t>01</t>
        </is>
      </c>
      <c r="Y548" t="inlineStr">
        <is>
          <t>2026-Q1</t>
        </is>
      </c>
    </row>
    <row r="549" ht="38.25" customHeight="1">
      <c r="A549" t="inlineStr">
        <is>
          <t>人教版高中语文数学英语物化生政史地知识点总结电子版Word素材</t>
        </is>
      </c>
      <c r="B549" t="inlineStr">
        <is>
          <t>__upload_recv7XBWcY4OUx.jpg</t>
        </is>
      </c>
      <c r="C549" s="2" t="str">
        <f>=HYPERLINK("https://xhslink.com/m/As2RQP1zhai", "https://xhslink.com/m/As2RQP1zhai")</f>
        <v>https://xhslink.com/m/As2RQP1zhai</v>
      </c>
      <c r="D549"/>
      <c r="E549">
        <v>11000</v>
      </c>
      <c r="F549">
        <v>4.9</v>
      </c>
      <c r="G549"/>
      <c r="H549">
        <v>400</v>
      </c>
      <c r="I549"/>
      <c r="J549"/>
      <c r="K549" t="inlineStr">
        <is>
          <t>素材</t>
        </is>
      </c>
      <c r="L549"/>
      <c r="M549" t="inlineStr">
        <is>
          <t>高分资料库的店</t>
        </is>
      </c>
      <c r="N549">
        <v>8707</v>
      </c>
      <c r="O549">
        <v>4.45</v>
      </c>
      <c r="P549">
        <v>29000</v>
      </c>
      <c r="Q549" t="inlineStr">
        <is>
          <t>671281b5fe85310001094a37</t>
        </is>
      </c>
      <c r="R549" t="inlineStr">
        <is>
          <t>🚫重复</t>
        </is>
      </c>
      <c r="S549" t="inlineStr">
        <is>
          <t>高中/高考资料</t>
        </is>
      </c>
      <c r="T549" t="inlineStr">
        <is>
          <t>1.26</t>
        </is>
      </c>
      <c r="U549" s="3">
        <v>46112.78107638889</v>
      </c>
      <c r="V549" t="inlineStr">
        <is>
          <t>虚拟产品</t>
        </is>
      </c>
      <c r="W549" s="3">
        <v>46033</v>
      </c>
      <c r="X549" t="inlineStr">
        <is>
          <t>01</t>
        </is>
      </c>
      <c r="Y549" t="inlineStr">
        <is>
          <t>2026-Q1</t>
        </is>
      </c>
    </row>
    <row r="550" ht="38.25" customHeight="1">
      <c r="A550" t="inlineStr">
        <is>
          <t>凑单专用0.1元虚拟定制  图片素材手机壁纸，虚拟发货不支持退款</t>
        </is>
      </c>
      <c r="B550" t="inlineStr">
        <is>
          <t>__upload_recv7XBWcYMEYc.jpg</t>
        </is>
      </c>
      <c r="C550" s="2" t="str">
        <f>=HYPERLINK("https://xhslink.com/m/81JRAoZaREe", "https://xhslink.com/m/81JRAoZaREe")</f>
        <v>https://xhslink.com/m/81JRAoZaREe</v>
      </c>
      <c r="D550"/>
      <c r="E550">
        <v>7280</v>
      </c>
      <c r="F550">
        <v>0.18</v>
      </c>
      <c r="G550"/>
      <c r="H550">
        <v>250</v>
      </c>
      <c r="I550"/>
      <c r="J550"/>
      <c r="K550" t="inlineStr">
        <is>
          <t>素材</t>
        </is>
      </c>
      <c r="L550" t="inlineStr">
        <is>
          <t>🔥低粉爆款</t>
        </is>
      </c>
      <c r="M550" t="inlineStr">
        <is>
          <t>创翼大学生资料的店</t>
        </is>
      </c>
      <c r="N550">
        <v>700</v>
      </c>
      <c r="O550">
        <v>4.01</v>
      </c>
      <c r="P550">
        <v>12000</v>
      </c>
      <c r="Q550" t="inlineStr">
        <is>
          <t>6784e2e2f825240001543075</t>
        </is>
      </c>
      <c r="R550"/>
      <c r="S550" t="inlineStr">
        <is>
          <t>头像壁纸</t>
        </is>
      </c>
      <c r="T550" t="inlineStr">
        <is>
          <t>10.40</t>
        </is>
      </c>
      <c r="U550" s="3">
        <v>46112.78107638889</v>
      </c>
      <c r="V550" t="inlineStr">
        <is>
          <t>虚拟产品</t>
        </is>
      </c>
      <c r="W550" s="3">
        <v>46033</v>
      </c>
      <c r="X550" t="inlineStr">
        <is>
          <t>01</t>
        </is>
      </c>
      <c r="Y550" t="inlineStr">
        <is>
          <t>2026-Q1</t>
        </is>
      </c>
    </row>
    <row r="551" ht="38.25" customHeight="1">
      <c r="A551" t="inlineStr">
        <is>
          <t>50款混排字体安装包文字混排可编辑源文件模板Ai/psd格式(可选)</t>
        </is>
      </c>
      <c r="B551" t="inlineStr">
        <is>
          <t>__upload_recv7XBWcYjg7e.jpg</t>
        </is>
      </c>
      <c r="C551" s="2" t="str">
        <f>=HYPERLINK("https://xhslink.com/m/65QAw5eDu92", "https://xhslink.com/m/65QAw5eDu92")</f>
        <v>https://xhslink.com/m/65QAw5eDu92</v>
      </c>
      <c r="D551"/>
      <c r="E551">
        <v>7168</v>
      </c>
      <c r="F551">
        <v>9.9</v>
      </c>
      <c r="G551"/>
      <c r="H551">
        <v>200</v>
      </c>
      <c r="I551"/>
      <c r="J551"/>
      <c r="K551" t="inlineStr">
        <is>
          <t>素材</t>
        </is>
      </c>
      <c r="L551"/>
      <c r="M551" t="inlineStr">
        <is>
          <t>大汤姆叔叔的店</t>
        </is>
      </c>
      <c r="N551">
        <v>16000</v>
      </c>
      <c r="O551">
        <v>4.43</v>
      </c>
      <c r="P551">
        <v>25000</v>
      </c>
      <c r="Q551" t="inlineStr">
        <is>
          <t>67cef61452503c00015b0b9e</t>
        </is>
      </c>
      <c r="R551" t="inlineStr">
        <is>
          <t>🚫重复</t>
        </is>
      </c>
      <c r="S551" t="inlineStr">
        <is>
          <t>设计素材</t>
        </is>
      </c>
      <c r="T551" t="inlineStr">
        <is>
          <t>0.45</t>
        </is>
      </c>
      <c r="U551" s="3">
        <v>46112.78107638889</v>
      </c>
      <c r="V551" t="inlineStr">
        <is>
          <t>虚拟产品</t>
        </is>
      </c>
      <c r="W551" s="3">
        <v>46033</v>
      </c>
      <c r="X551" t="inlineStr">
        <is>
          <t>01</t>
        </is>
      </c>
      <c r="Y551" t="inlineStr">
        <is>
          <t>2026-Q1</t>
        </is>
      </c>
    </row>
    <row r="552" ht="38.25" customHeight="1">
      <c r="A552" t="inlineStr">
        <is>
          <t>视频同款语音盒+更多90多款热梗搞笑语音包素材包创意网红爆款语</t>
        </is>
      </c>
      <c r="B552" t="inlineStr">
        <is>
          <t>__upload_recv7XBWcYO1V1.jpg</t>
        </is>
      </c>
      <c r="C552" s="2" t="str">
        <f>=HYPERLINK("https://xhslink.com/m/3QHMifgK9Gw", "https://xhslink.com/m/3QHMifgK9Gw")</f>
        <v>https://xhslink.com/m/3QHMifgK9Gw</v>
      </c>
      <c r="D552"/>
      <c r="E552">
        <v>6956</v>
      </c>
      <c r="F552">
        <v>9.9</v>
      </c>
      <c r="G552"/>
      <c r="H552">
        <v>1000</v>
      </c>
      <c r="I552"/>
      <c r="J552"/>
      <c r="K552" t="inlineStr">
        <is>
          <t>素材</t>
        </is>
      </c>
      <c r="L552"/>
      <c r="M552" t="inlineStr">
        <is>
          <t>喵喵过冬的店</t>
        </is>
      </c>
      <c r="N552">
        <v>11000</v>
      </c>
      <c r="O552">
        <v>3.63</v>
      </c>
      <c r="P552">
        <v>7552</v>
      </c>
      <c r="Q552" t="inlineStr">
        <is>
          <t>692e06103dc536000185ab67</t>
        </is>
      </c>
      <c r="R552"/>
      <c r="S552" t="inlineStr">
        <is>
          <t>无匹配类别</t>
        </is>
      </c>
      <c r="T552" t="inlineStr">
        <is>
          <t>0.63</t>
        </is>
      </c>
      <c r="U552" s="3">
        <v>46112.78107638889</v>
      </c>
      <c r="V552" t="inlineStr">
        <is>
          <t>虚拟产品</t>
        </is>
      </c>
      <c r="W552" s="3">
        <v>46033</v>
      </c>
      <c r="X552" t="inlineStr">
        <is>
          <t>01</t>
        </is>
      </c>
      <c r="Y552" t="inlineStr">
        <is>
          <t>2026-Q1</t>
        </is>
      </c>
    </row>
    <row r="553" ht="38.25" customHeight="1">
      <c r="A553" t="inlineStr">
        <is>
          <t>医疗结构化面试话术素材狂背电子版PDF</t>
        </is>
      </c>
      <c r="B553" t="inlineStr">
        <is>
          <t>__upload_recv7XBWcYqw47.jpg</t>
        </is>
      </c>
      <c r="C553" s="2" t="str">
        <f>=HYPERLINK("https://xhslink.com/m/AvLOHMDa0Gw", "https://xhslink.com/m/AvLOHMDa0Gw")</f>
        <v>https://xhslink.com/m/AvLOHMDa0Gw</v>
      </c>
      <c r="D553"/>
      <c r="E553">
        <v>6095</v>
      </c>
      <c r="F553">
        <v>35.9</v>
      </c>
      <c r="G553"/>
      <c r="H553">
        <v>800</v>
      </c>
      <c r="I553"/>
      <c r="J553"/>
      <c r="K553" t="inlineStr">
        <is>
          <t>素材</t>
        </is>
      </c>
      <c r="L553"/>
      <c r="M553" t="inlineStr">
        <is>
          <t>公考蔡文姬的店</t>
        </is>
      </c>
      <c r="N553">
        <v>14000</v>
      </c>
      <c r="O553">
        <v>4.5</v>
      </c>
      <c r="P553">
        <v>44000</v>
      </c>
      <c r="Q553" t="inlineStr">
        <is>
          <t>6844f96ec20086000187103b</t>
        </is>
      </c>
      <c r="R553" t="inlineStr">
        <is>
          <t>🚫重复</t>
        </is>
      </c>
      <c r="S553" t="inlineStr">
        <is>
          <t>求职面试/职场</t>
        </is>
      </c>
      <c r="T553" t="inlineStr">
        <is>
          <t>0.44</t>
        </is>
      </c>
      <c r="U553" s="3">
        <v>46112.78107638889</v>
      </c>
      <c r="V553" t="inlineStr">
        <is>
          <t>虚拟产品</t>
        </is>
      </c>
      <c r="W553" s="3">
        <v>46033</v>
      </c>
      <c r="X553" t="inlineStr">
        <is>
          <t>01</t>
        </is>
      </c>
      <c r="Y553" t="inlineStr">
        <is>
          <t>2026-Q1</t>
        </is>
      </c>
    </row>
    <row r="554" ht="38.25" customHeight="1">
      <c r="A554" t="inlineStr">
        <is>
          <t>文创样机素材合集海报周边包装盒手机手提袋vi作品展示ps贴图模版</t>
        </is>
      </c>
      <c r="B554" t="inlineStr">
        <is>
          <t>__upload_recv7XBWcYhuxJ.jpg</t>
        </is>
      </c>
      <c r="C554" s="2" t="str">
        <f>=HYPERLINK("https://xhslink.com/m/4Jk0zTlnzM8", "https://xhslink.com/m/4Jk0zTlnzM8")</f>
        <v>https://xhslink.com/m/4Jk0zTlnzM8</v>
      </c>
      <c r="D554"/>
      <c r="E554">
        <v>5958</v>
      </c>
      <c r="F554">
        <v>4.2</v>
      </c>
      <c r="G554"/>
      <c r="H554">
        <v>550</v>
      </c>
      <c r="I554"/>
      <c r="J554"/>
      <c r="K554" t="inlineStr">
        <is>
          <t>素材</t>
        </is>
      </c>
      <c r="L554" t="inlineStr">
        <is>
          <t>🔥低粉爆款</t>
        </is>
      </c>
      <c r="M554" t="inlineStr">
        <is>
          <t>好设计素材库的店</t>
        </is>
      </c>
      <c r="N554">
        <v>1080</v>
      </c>
      <c r="O554">
        <v>4.12</v>
      </c>
      <c r="P554">
        <v>10000</v>
      </c>
      <c r="Q554" t="inlineStr">
        <is>
          <t>65f059e0ab9fce00014b0747</t>
        </is>
      </c>
      <c r="R554"/>
      <c r="S554" t="inlineStr">
        <is>
          <t>设计素材</t>
        </is>
      </c>
      <c r="T554" t="inlineStr">
        <is>
          <t>5.52</t>
        </is>
      </c>
      <c r="U554" s="3">
        <v>46112.78107638889</v>
      </c>
      <c r="V554" t="inlineStr">
        <is>
          <t>虚拟产品</t>
        </is>
      </c>
      <c r="W554" s="3">
        <v>46033</v>
      </c>
      <c r="X554" t="inlineStr">
        <is>
          <t>01</t>
        </is>
      </c>
      <c r="Y554" t="inlineStr">
        <is>
          <t>2026-Q1</t>
        </is>
      </c>
    </row>
    <row r="555" ht="38.25" customHeight="1">
      <c r="A555" t="inlineStr">
        <is>
          <t>生日朋友圈九宫格素材｜纪念日素材｜自动秒发｜可定制</t>
        </is>
      </c>
      <c r="B555" t="inlineStr">
        <is>
          <t>__upload_recv7XBWcY78fm.jpg</t>
        </is>
      </c>
      <c r="C555" s="2" t="str">
        <f>=HYPERLINK("https://xhslink.com/m/11MoPRHgYVk", "https://xhslink.com/m/11MoPRHgYVk")</f>
        <v>https://xhslink.com/m/11MoPRHgYVk</v>
      </c>
      <c r="D555"/>
      <c r="E555">
        <v>5807</v>
      </c>
      <c r="F555">
        <v>5.9</v>
      </c>
      <c r="G555"/>
      <c r="H555">
        <v>2500</v>
      </c>
      <c r="I555"/>
      <c r="J555"/>
      <c r="K555" t="inlineStr">
        <is>
          <t>素材</t>
        </is>
      </c>
      <c r="L555" t="inlineStr">
        <is>
          <t>🔥低粉爆款</t>
        </is>
      </c>
      <c r="M555" t="inlineStr">
        <is>
          <t>野生设计师黄小姐的店</t>
        </is>
      </c>
      <c r="N555">
        <v>1021</v>
      </c>
      <c r="O555">
        <v>4.42</v>
      </c>
      <c r="P555">
        <v>6459</v>
      </c>
      <c r="Q555" t="inlineStr">
        <is>
          <t>69080c805c4f19000184b809</t>
        </is>
      </c>
      <c r="R555"/>
      <c r="S555" t="inlineStr">
        <is>
          <t>设计素材</t>
        </is>
      </c>
      <c r="T555" t="inlineStr">
        <is>
          <t>5.69</t>
        </is>
      </c>
      <c r="U555" s="3">
        <v>46112.78107638889</v>
      </c>
      <c r="V555" t="inlineStr">
        <is>
          <t>虚拟产品</t>
        </is>
      </c>
      <c r="W555" s="3">
        <v>46033</v>
      </c>
      <c r="X555" t="inlineStr">
        <is>
          <t>01</t>
        </is>
      </c>
      <c r="Y555" t="inlineStr">
        <is>
          <t>2026-Q1</t>
        </is>
      </c>
    </row>
    <row r="556" ht="38.25" customHeight="1">
      <c r="A556" t="inlineStr">
        <is>
          <t>手写创意涂鸦装饰水印｜个性必备｜追星防盗图手写水印（网盘发）</t>
        </is>
      </c>
      <c r="B556" t="inlineStr">
        <is>
          <t>__upload_recv7XBWcYfdaI.jpg</t>
        </is>
      </c>
      <c r="C556" s="2" t="str">
        <f>=HYPERLINK("https://xhslink.com/m/7Qw1z3T1oT3", "https://xhslink.com/m/7Qw1z3T1oT3")</f>
        <v>https://xhslink.com/m/7Qw1z3T1oT3</v>
      </c>
      <c r="D556"/>
      <c r="E556">
        <v>5670</v>
      </c>
      <c r="F556">
        <v>0.6</v>
      </c>
      <c r="G556"/>
      <c r="H556">
        <v>600</v>
      </c>
      <c r="I556"/>
      <c r="J556"/>
      <c r="K556" t="inlineStr">
        <is>
          <t>素材</t>
        </is>
      </c>
      <c r="L556"/>
      <c r="M556" t="inlineStr">
        <is>
          <t>肉酱拌手写｜24H内出的店</t>
        </is>
      </c>
      <c r="N556">
        <v>8406</v>
      </c>
      <c r="O556">
        <v>4.6</v>
      </c>
      <c r="P556">
        <v>7152</v>
      </c>
      <c r="Q556" t="inlineStr">
        <is>
          <t>69145b94e3156e00015edac7</t>
        </is>
      </c>
      <c r="R556"/>
      <c r="S556" t="inlineStr">
        <is>
          <t>设计素材</t>
        </is>
      </c>
      <c r="T556" t="inlineStr">
        <is>
          <t>0.67</t>
        </is>
      </c>
      <c r="U556" s="3">
        <v>46112.78107638889</v>
      </c>
      <c r="V556" t="inlineStr">
        <is>
          <t>虚拟产品</t>
        </is>
      </c>
      <c r="W556" s="3">
        <v>46033</v>
      </c>
      <c r="X556" t="inlineStr">
        <is>
          <t>01</t>
        </is>
      </c>
      <c r="Y556" t="inlineStr">
        <is>
          <t>2026-Q1</t>
        </is>
      </c>
    </row>
    <row r="557" ht="38.25" customHeight="1">
      <c r="A557" t="inlineStr">
        <is>
          <t>【自制emoji素材】100+张含教程｜发货看图二｜虚拟资料发出不退</t>
        </is>
      </c>
      <c r="B557" t="inlineStr">
        <is>
          <t>__upload_recv7XBWcYkHDN.jpg</t>
        </is>
      </c>
      <c r="C557" s="2" t="str">
        <f>=HYPERLINK("https://xhslink.com/m/A97jNzGTl2v", "https://xhslink.com/m/A97jNzGTl2v")</f>
        <v>https://xhslink.com/m/A97jNzGTl2v</v>
      </c>
      <c r="D557"/>
      <c r="E557">
        <v>5285</v>
      </c>
      <c r="F557">
        <v>9.99</v>
      </c>
      <c r="G557"/>
      <c r="H557">
        <v>450</v>
      </c>
      <c r="I557"/>
      <c r="J557"/>
      <c r="K557" t="inlineStr">
        <is>
          <t>素材</t>
        </is>
      </c>
      <c r="L557"/>
      <c r="M557" t="inlineStr">
        <is>
          <t>Shi.6（努力日更版）的店</t>
        </is>
      </c>
      <c r="N557">
        <v>6573</v>
      </c>
      <c r="O557">
        <v>4.01</v>
      </c>
      <c r="P557">
        <v>5540</v>
      </c>
      <c r="Q557" t="inlineStr">
        <is>
          <t>685e10b447fd8b000122fcdb</t>
        </is>
      </c>
      <c r="R557" t="inlineStr">
        <is>
          <t>🚫重复</t>
        </is>
      </c>
      <c r="S557" t="inlineStr">
        <is>
          <t>设计素材</t>
        </is>
      </c>
      <c r="T557" t="inlineStr">
        <is>
          <t>0.80</t>
        </is>
      </c>
      <c r="U557" s="3">
        <v>46112.78107638889</v>
      </c>
      <c r="V557" t="inlineStr">
        <is>
          <t>虚拟产品</t>
        </is>
      </c>
      <c r="W557" s="3">
        <v>46033</v>
      </c>
      <c r="X557" t="inlineStr">
        <is>
          <t>01</t>
        </is>
      </c>
      <c r="Y557" t="inlineStr">
        <is>
          <t>2026-Q1</t>
        </is>
      </c>
    </row>
    <row r="558" ht="38.25" customHeight="1">
      <c r="A558" t="inlineStr">
        <is>
          <t>手抄报1份，彩图、黑白线稿</t>
        </is>
      </c>
      <c r="B558" t="inlineStr">
        <is>
          <t>__upload_recv7XBWcYAWgD.jpg</t>
        </is>
      </c>
      <c r="C558" s="2" t="str">
        <f>=HYPERLINK("https://xhslink.com/m/6fxQxFfcuho", "https://xhslink.com/m/6fxQxFfcuho")</f>
        <v>https://xhslink.com/m/6fxQxFfcuho</v>
      </c>
      <c r="D558"/>
      <c r="E558">
        <v>5003</v>
      </c>
      <c r="F558">
        <v>3.99</v>
      </c>
      <c r="G558"/>
      <c r="H558">
        <v>100</v>
      </c>
      <c r="I558"/>
      <c r="J558"/>
      <c r="K558" t="inlineStr">
        <is>
          <t>素材</t>
        </is>
      </c>
      <c r="L558"/>
      <c r="M558" t="inlineStr">
        <is>
          <t>黍多多的店</t>
        </is>
      </c>
      <c r="N558">
        <v>14000</v>
      </c>
      <c r="O558">
        <v>4.69</v>
      </c>
      <c r="P558">
        <v>5009</v>
      </c>
      <c r="Q558" t="inlineStr">
        <is>
          <t>6700f0ad4ae187000178f91e</t>
        </is>
      </c>
      <c r="R558"/>
      <c r="S558" t="inlineStr">
        <is>
          <t>中小学教辅/教材</t>
        </is>
      </c>
      <c r="T558" t="inlineStr">
        <is>
          <t>0.36</t>
        </is>
      </c>
      <c r="U558" s="3">
        <v>46112.78107638889</v>
      </c>
      <c r="V558" t="inlineStr">
        <is>
          <t>虚拟产品</t>
        </is>
      </c>
      <c r="W558" s="3">
        <v>46033</v>
      </c>
      <c r="X558" t="inlineStr">
        <is>
          <t>01</t>
        </is>
      </c>
      <c r="Y558" t="inlineStr">
        <is>
          <t>2026-Q1</t>
        </is>
      </c>
    </row>
    <row r="559" ht="38.25" customHeight="1">
      <c r="A559" t="inlineStr">
        <is>
          <t>我爱我班 · 幼儿园环创字体设计|中小学校班级美术艺术字|超高清可打印文件</t>
        </is>
      </c>
      <c r="B559" t="inlineStr">
        <is>
          <t>__upload_recv7XBWcYhyzg.jpg</t>
        </is>
      </c>
      <c r="C559" s="2" t="str">
        <f>=HYPERLINK("https://xhslink.com/m/5xA6lHKlwni", "https://xhslink.com/m/5xA6lHKlwni")</f>
        <v>https://xhslink.com/m/5xA6lHKlwni</v>
      </c>
      <c r="D559"/>
      <c r="E559">
        <v>4708</v>
      </c>
      <c r="F559">
        <v>3.9</v>
      </c>
      <c r="G559"/>
      <c r="H559">
        <v>100</v>
      </c>
      <c r="I559"/>
      <c r="J559"/>
      <c r="K559" t="inlineStr">
        <is>
          <t>素材</t>
        </is>
      </c>
      <c r="L559"/>
      <c r="M559" t="inlineStr">
        <is>
          <t>小云朵艺术字的店</t>
        </is>
      </c>
      <c r="N559">
        <v>115000</v>
      </c>
      <c r="O559">
        <v>4.64</v>
      </c>
      <c r="P559">
        <v>6373</v>
      </c>
      <c r="Q559" t="inlineStr">
        <is>
          <t>659c9af4e3a47800019b92d1</t>
        </is>
      </c>
      <c r="R559"/>
      <c r="S559" t="inlineStr">
        <is>
          <t>幼教资料</t>
        </is>
      </c>
      <c r="T559" t="inlineStr">
        <is>
          <t>0.04</t>
        </is>
      </c>
      <c r="U559" s="3">
        <v>46112.78107638889</v>
      </c>
      <c r="V559" t="inlineStr">
        <is>
          <t>虚拟产品</t>
        </is>
      </c>
      <c r="W559" s="3">
        <v>46033</v>
      </c>
      <c r="X559" t="inlineStr">
        <is>
          <t>01</t>
        </is>
      </c>
      <c r="Y559" t="inlineStr">
        <is>
          <t>2026-Q1</t>
        </is>
      </c>
    </row>
    <row r="560" ht="38.25" customHeight="1">
      <c r="A560" t="inlineStr">
        <is>
          <t>单张可打印线稿和彩图电子版</t>
        </is>
      </c>
      <c r="B560" t="inlineStr">
        <is>
          <t>__upload_recv7XBWcYPaUZ.jpg</t>
        </is>
      </c>
      <c r="C560" s="2" t="str">
        <f>=HYPERLINK("https://xhslink.com/m/7rp7zmoKETY", "https://xhslink.com/m/7rp7zmoKETY")</f>
        <v>https://xhslink.com/m/7rp7zmoKETY</v>
      </c>
      <c r="D560"/>
      <c r="E560">
        <v>4631</v>
      </c>
      <c r="F560">
        <v>10</v>
      </c>
      <c r="G560"/>
      <c r="H560">
        <v>36</v>
      </c>
      <c r="I560"/>
      <c r="J560"/>
      <c r="K560" t="inlineStr">
        <is>
          <t>素材</t>
        </is>
      </c>
      <c r="L560"/>
      <c r="M560" t="inlineStr">
        <is>
          <t>糖果原创手绘的店</t>
        </is>
      </c>
      <c r="N560">
        <v>38000</v>
      </c>
      <c r="O560">
        <v>4.45</v>
      </c>
      <c r="P560">
        <v>5547</v>
      </c>
      <c r="Q560" t="inlineStr">
        <is>
          <t>6346343ef9c4df0001d3bccd</t>
        </is>
      </c>
      <c r="R560"/>
      <c r="S560" t="inlineStr">
        <is>
          <t>无匹配类别</t>
        </is>
      </c>
      <c r="T560" t="inlineStr">
        <is>
          <t>0.12</t>
        </is>
      </c>
      <c r="U560" s="3">
        <v>46112.78107638889</v>
      </c>
      <c r="V560" t="inlineStr">
        <is>
          <t>虚拟产品</t>
        </is>
      </c>
      <c r="W560" s="3">
        <v>46033</v>
      </c>
      <c r="X560" t="inlineStr">
        <is>
          <t>01</t>
        </is>
      </c>
      <c r="Y560" t="inlineStr">
        <is>
          <t>2026-Q1</t>
        </is>
      </c>
    </row>
    <row r="561" ht="38.25" customHeight="1">
      <c r="A561" t="inlineStr">
        <is>
          <t>ps展板模板合集/环艺景观通用展板模板A1A0排版psd分层/多色系Z8</t>
        </is>
      </c>
      <c r="B561" t="inlineStr">
        <is>
          <t>__upload_recv7XBWcYGDZ3.jpg</t>
        </is>
      </c>
      <c r="C561" s="2" t="str">
        <f>=HYPERLINK("https://xhslink.com/m/5f5hD4O5yZq", "https://xhslink.com/m/5f5hD4O5yZq")</f>
        <v>https://xhslink.com/m/5f5hD4O5yZq</v>
      </c>
      <c r="D561"/>
      <c r="E561">
        <v>4470</v>
      </c>
      <c r="F561">
        <v>6.99</v>
      </c>
      <c r="G561"/>
      <c r="H561">
        <v>200</v>
      </c>
      <c r="I561"/>
      <c r="J561"/>
      <c r="K561" t="inlineStr">
        <is>
          <t>素材</t>
        </is>
      </c>
      <c r="L561"/>
      <c r="M561" t="inlineStr">
        <is>
          <t>设计狗吖吖的店</t>
        </is>
      </c>
      <c r="N561">
        <v>4191</v>
      </c>
      <c r="O561">
        <v>4.16</v>
      </c>
      <c r="P561">
        <v>50000</v>
      </c>
      <c r="Q561" t="inlineStr">
        <is>
          <t>665477d8c696af00018d80cf</t>
        </is>
      </c>
      <c r="R561" t="inlineStr">
        <is>
          <t>🚫重复</t>
        </is>
      </c>
      <c r="S561" t="inlineStr">
        <is>
          <t>设计素材</t>
        </is>
      </c>
      <c r="T561" t="inlineStr">
        <is>
          <t>1.07</t>
        </is>
      </c>
      <c r="U561" s="3">
        <v>46112.78107638889</v>
      </c>
      <c r="V561" t="inlineStr">
        <is>
          <t>虚拟产品</t>
        </is>
      </c>
      <c r="W561" s="3">
        <v>46033</v>
      </c>
      <c r="X561" t="inlineStr">
        <is>
          <t>01</t>
        </is>
      </c>
      <c r="Y561" t="inlineStr">
        <is>
          <t>2026-Q1</t>
        </is>
      </c>
    </row>
    <row r="562" ht="38.25" customHeight="1">
      <c r="A562" t="inlineStr">
        <is>
          <t>SG023幼儿园树叶贴画素材幼儿园自然美育手工DIY素材打印电子档</t>
        </is>
      </c>
      <c r="B562" t="inlineStr">
        <is>
          <t>__upload_recv7XBWcYCsx1.jpg</t>
        </is>
      </c>
      <c r="C562" s="2" t="str">
        <f>=HYPERLINK("https://xhslink.com/m/19enumpLKi", "https://xhslink.com/m/19enumpLKi")</f>
        <v>https://xhslink.com/m/19enumpLKi</v>
      </c>
      <c r="D562"/>
      <c r="E562">
        <v>4103</v>
      </c>
      <c r="F562">
        <v>2.9</v>
      </c>
      <c r="G562"/>
      <c r="H562">
        <v>150</v>
      </c>
      <c r="I562"/>
      <c r="J562"/>
      <c r="K562" t="inlineStr">
        <is>
          <t>素材</t>
        </is>
      </c>
      <c r="L562"/>
      <c r="M562" t="inlineStr">
        <is>
          <t>来宝早教资源的店</t>
        </is>
      </c>
      <c r="N562">
        <v>24000</v>
      </c>
      <c r="O562">
        <v>4.5</v>
      </c>
      <c r="P562">
        <v>67000</v>
      </c>
      <c r="Q562" t="inlineStr">
        <is>
          <t>660bb65a6892dc0001fb21f3</t>
        </is>
      </c>
      <c r="R562" t="inlineStr">
        <is>
          <t>🚫重复</t>
        </is>
      </c>
      <c r="S562" t="inlineStr">
        <is>
          <t>幼教资料</t>
        </is>
      </c>
      <c r="T562" t="inlineStr">
        <is>
          <t>0.17</t>
        </is>
      </c>
      <c r="U562" s="3">
        <v>46112.78107638889</v>
      </c>
      <c r="V562" t="inlineStr">
        <is>
          <t>虚拟产品</t>
        </is>
      </c>
      <c r="W562" s="3">
        <v>46033</v>
      </c>
      <c r="X562" t="inlineStr">
        <is>
          <t>01</t>
        </is>
      </c>
      <c r="Y562" t="inlineStr">
        <is>
          <t>2026-Q1</t>
        </is>
      </c>
    </row>
    <row r="563" ht="38.25" customHeight="1">
      <c r="A563" t="inlineStr">
        <is>
          <t>定制小水印&gt;_&lt;风格多多！素材多多！</t>
        </is>
      </c>
      <c r="B563" t="inlineStr">
        <is>
          <t>__upload_recv7XBWcYky0n.jpg</t>
        </is>
      </c>
      <c r="C563" s="2" t="str">
        <f>=HYPERLINK("https://xhslink.com/m/5OWZVzR8p34", "https://xhslink.com/m/5OWZVzR8p34")</f>
        <v>https://xhslink.com/m/5OWZVzR8p34</v>
      </c>
      <c r="D563"/>
      <c r="E563">
        <v>4364</v>
      </c>
      <c r="F563">
        <v>0.5</v>
      </c>
      <c r="G563"/>
      <c r="H563">
        <v>300</v>
      </c>
      <c r="I563"/>
      <c r="J563"/>
      <c r="K563" t="inlineStr">
        <is>
          <t>素材</t>
        </is>
      </c>
      <c r="L563" t="inlineStr">
        <is>
          <t>🔥低粉爆款</t>
        </is>
      </c>
      <c r="M563" t="inlineStr">
        <is>
          <t>記憶島；silence*46的店</t>
        </is>
      </c>
      <c r="N563">
        <v>205</v>
      </c>
      <c r="O563">
        <v>4.13</v>
      </c>
      <c r="P563">
        <v>5131</v>
      </c>
      <c r="Q563" t="inlineStr">
        <is>
          <t>6905e9e95c4f19000170c725</t>
        </is>
      </c>
      <c r="R563"/>
      <c r="S563" t="inlineStr">
        <is>
          <t>设计素材</t>
        </is>
      </c>
      <c r="T563" t="inlineStr">
        <is>
          <t>21.29</t>
        </is>
      </c>
      <c r="U563" s="3">
        <v>46112.78107638889</v>
      </c>
      <c r="V563" t="inlineStr">
        <is>
          <t>虚拟产品</t>
        </is>
      </c>
      <c r="W563" s="3">
        <v>46033</v>
      </c>
      <c r="X563" t="inlineStr">
        <is>
          <t>01</t>
        </is>
      </c>
      <c r="Y563" t="inlineStr">
        <is>
          <t>2026-Q1</t>
        </is>
      </c>
    </row>
    <row r="564" ht="38.25" customHeight="1">
      <c r="A564" t="inlineStr">
        <is>
          <t>透明闪粉m5活页本配件卡套卡包收纳袋吧唧收纳配件按扣袋素材套装</t>
        </is>
      </c>
      <c r="B564" t="inlineStr">
        <is>
          <t>__upload_recv7XBWcY86Zx.jpg</t>
        </is>
      </c>
      <c r="C564" s="2" t="str">
        <f>=HYPERLINK("https://xhslink.com/m/2HlKerEAr2K", "https://xhslink.com/m/2HlKerEAr2K")</f>
        <v>https://xhslink.com/m/2HlKerEAr2K</v>
      </c>
      <c r="D564"/>
      <c r="E564">
        <v>4083</v>
      </c>
      <c r="F564">
        <v>9.9</v>
      </c>
      <c r="G564"/>
      <c r="H564">
        <v>100</v>
      </c>
      <c r="I564"/>
      <c r="J564"/>
      <c r="K564" t="inlineStr">
        <is>
          <t>素材</t>
        </is>
      </c>
      <c r="L564"/>
      <c r="M564" t="inlineStr">
        <is>
          <t>小兽星二号的店</t>
        </is>
      </c>
      <c r="N564">
        <v>255000</v>
      </c>
      <c r="O564">
        <v>4.47</v>
      </c>
      <c r="P564">
        <v>781000</v>
      </c>
      <c r="Q564" t="inlineStr">
        <is>
          <t>673496ed8bf5c9000189904b</t>
        </is>
      </c>
      <c r="R564" t="inlineStr">
        <is>
          <t>🚫重复</t>
        </is>
      </c>
      <c r="S564" t="inlineStr">
        <is>
          <t>设计素材</t>
        </is>
      </c>
      <c r="T564" t="inlineStr">
        <is>
          <t>0.02</t>
        </is>
      </c>
      <c r="U564" s="3">
        <v>46112.78107638889</v>
      </c>
      <c r="V564" t="inlineStr">
        <is>
          <t>虚拟产品</t>
        </is>
      </c>
      <c r="W564" s="3">
        <v>46033</v>
      </c>
      <c r="X564" t="inlineStr">
        <is>
          <t>01</t>
        </is>
      </c>
      <c r="Y564" t="inlineStr">
        <is>
          <t>2026-Q1</t>
        </is>
      </c>
    </row>
    <row r="565" ht="38.25" customHeight="1">
      <c r="A565" t="inlineStr">
        <is>
          <t>550款古风书法中文字体包国风PS/AI国潮古韵毛笔手写艺术字体下载</t>
        </is>
      </c>
      <c r="B565" t="inlineStr">
        <is>
          <t>__upload_recv7XBWcYvkWC.jpg</t>
        </is>
      </c>
      <c r="C565" s="2" t="str">
        <f>=HYPERLINK("https://xhslink.com/m/5relzqyw3qe", "https://xhslink.com/m/5relzqyw3qe")</f>
        <v>https://xhslink.com/m/5relzqyw3qe</v>
      </c>
      <c r="D565"/>
      <c r="E565">
        <v>4051</v>
      </c>
      <c r="F565">
        <v>5.98</v>
      </c>
      <c r="G565"/>
      <c r="H565">
        <v>44</v>
      </c>
      <c r="I565"/>
      <c r="J565"/>
      <c r="K565" t="inlineStr">
        <is>
          <t>素材</t>
        </is>
      </c>
      <c r="L565"/>
      <c r="M565" t="inlineStr">
        <is>
          <t>末几素材的店</t>
        </is>
      </c>
      <c r="N565">
        <v>18000</v>
      </c>
      <c r="O565">
        <v>4.03</v>
      </c>
      <c r="P565">
        <v>70000</v>
      </c>
      <c r="Q565" t="inlineStr">
        <is>
          <t>66a515b88c56b4000157e5c0</t>
        </is>
      </c>
      <c r="R565"/>
      <c r="S565" t="inlineStr">
        <is>
          <t>设计素材</t>
        </is>
      </c>
      <c r="T565" t="inlineStr">
        <is>
          <t>0.23</t>
        </is>
      </c>
      <c r="U565" s="3">
        <v>46112.78107638889</v>
      </c>
      <c r="V565" t="inlineStr">
        <is>
          <t>虚拟产品</t>
        </is>
      </c>
      <c r="W565" s="3">
        <v>46033</v>
      </c>
      <c r="X565" t="inlineStr">
        <is>
          <t>01</t>
        </is>
      </c>
      <c r="Y565" t="inlineStr">
        <is>
          <t>2026-Q1</t>
        </is>
      </c>
    </row>
    <row r="566" ht="38.25" customHeight="1">
      <c r="A566" t="inlineStr">
        <is>
          <t>幼儿园大中小班语言区视听素材（素材可打印，配套mp3音频</t>
        </is>
      </c>
      <c r="B566" t="inlineStr">
        <is>
          <t>__upload_recv7XBWcY6eTl.jpg</t>
        </is>
      </c>
      <c r="C566" s="2" t="str">
        <f>=HYPERLINK("https://xhslink.com/m/81LmoKfUhZM", "https://xhslink.com/m/81LmoKfUhZM")</f>
        <v>https://xhslink.com/m/81LmoKfUhZM</v>
      </c>
      <c r="D566"/>
      <c r="E566">
        <v>4014</v>
      </c>
      <c r="F566">
        <v>15</v>
      </c>
      <c r="G566"/>
      <c r="H566">
        <v>67</v>
      </c>
      <c r="I566"/>
      <c r="J566"/>
      <c r="K566" t="inlineStr">
        <is>
          <t>素材</t>
        </is>
      </c>
      <c r="L566"/>
      <c r="M566" t="inlineStr">
        <is>
          <t>美羊羊iu的店</t>
        </is>
      </c>
      <c r="N566">
        <v>4958</v>
      </c>
      <c r="O566">
        <v>4</v>
      </c>
      <c r="P566">
        <v>8383</v>
      </c>
      <c r="Q566" t="inlineStr">
        <is>
          <t>66d1a1db0eae590001e19024</t>
        </is>
      </c>
      <c r="R566" t="inlineStr">
        <is>
          <t>🚫重复</t>
        </is>
      </c>
      <c r="S566" t="inlineStr">
        <is>
          <t>幼教资料</t>
        </is>
      </c>
      <c r="T566" t="inlineStr">
        <is>
          <t>0.81</t>
        </is>
      </c>
      <c r="U566" s="3">
        <v>46112.78107638889</v>
      </c>
      <c r="V566" t="inlineStr">
        <is>
          <t>虚拟产品</t>
        </is>
      </c>
      <c r="W566" s="3">
        <v>46033</v>
      </c>
      <c r="X566" t="inlineStr">
        <is>
          <t>01</t>
        </is>
      </c>
      <c r="Y566" t="inlineStr">
        <is>
          <t>2026-Q1</t>
        </is>
      </c>
    </row>
    <row r="567" ht="38.25" customHeight="1">
      <c r="A567" t="inlineStr">
        <is>
          <t>550款国风古风书法字体包中文PS/AI国潮古韵毛笔艺术字体安装包</t>
        </is>
      </c>
      <c r="B567" t="inlineStr">
        <is>
          <t>__upload_recv7XBWcYdZS2.jpg</t>
        </is>
      </c>
      <c r="C567" s="2" t="str">
        <f>=HYPERLINK("https://xhslink.com/m/k4KUBzjYRQ", "https://xhslink.com/m/k4KUBzjYRQ")</f>
        <v>https://xhslink.com/m/k4KUBzjYRQ</v>
      </c>
      <c r="D567"/>
      <c r="E567">
        <v>3835</v>
      </c>
      <c r="F567">
        <v>4.98</v>
      </c>
      <c r="G567"/>
      <c r="H567">
        <v>550</v>
      </c>
      <c r="I567"/>
      <c r="J567"/>
      <c r="K567" t="inlineStr">
        <is>
          <t>素材</t>
        </is>
      </c>
      <c r="L567"/>
      <c r="M567" t="inlineStr">
        <is>
          <t>mmalak design的店</t>
        </is>
      </c>
      <c r="N567">
        <v>4315</v>
      </c>
      <c r="O567">
        <v>3.97</v>
      </c>
      <c r="P567">
        <v>14000</v>
      </c>
      <c r="Q567" t="inlineStr">
        <is>
          <t>67d4f462e15c910001225ff9</t>
        </is>
      </c>
      <c r="R567"/>
      <c r="S567" t="inlineStr">
        <is>
          <t>设计素材</t>
        </is>
      </c>
      <c r="T567" t="inlineStr">
        <is>
          <t>0.89</t>
        </is>
      </c>
      <c r="U567" s="3">
        <v>46112.78107638889</v>
      </c>
      <c r="V567" t="inlineStr">
        <is>
          <t>虚拟产品</t>
        </is>
      </c>
      <c r="W567" s="3">
        <v>46033</v>
      </c>
      <c r="X567" t="inlineStr">
        <is>
          <t>01</t>
        </is>
      </c>
      <c r="Y567" t="inlineStr">
        <is>
          <t>2026-Q1</t>
        </is>
      </c>
    </row>
    <row r="568" ht="38.25" customHeight="1">
      <c r="A568" t="inlineStr">
        <is>
          <t>幼儿园编织区A4定制电子材料图</t>
        </is>
      </c>
      <c r="B568" t="inlineStr">
        <is>
          <t>__upload_recv7XBWcYOdhi.jpg</t>
        </is>
      </c>
      <c r="C568" s="2" t="str">
        <f>=HYPERLINK("https://xhslink.com/m/6Wz8qVSBOS5", "https://xhslink.com/m/6Wz8qVSBOS5")</f>
        <v>https://xhslink.com/m/6Wz8qVSBOS5</v>
      </c>
      <c r="D568"/>
      <c r="E568">
        <v>3818</v>
      </c>
      <c r="F568">
        <v>2</v>
      </c>
      <c r="G568"/>
      <c r="H568">
        <v>100</v>
      </c>
      <c r="I568"/>
      <c r="J568"/>
      <c r="K568" t="inlineStr">
        <is>
          <t>素材</t>
        </is>
      </c>
      <c r="L568"/>
      <c r="M568" t="inlineStr">
        <is>
          <t>幼教雪球儿🍰的店</t>
        </is>
      </c>
      <c r="N568">
        <v>23000</v>
      </c>
      <c r="O568">
        <v>4.29</v>
      </c>
      <c r="P568">
        <v>38000</v>
      </c>
      <c r="Q568" t="inlineStr">
        <is>
          <t>67318f4c10adb50001e3d0dc</t>
        </is>
      </c>
      <c r="R568"/>
      <c r="S568" t="inlineStr">
        <is>
          <t>幼教资料</t>
        </is>
      </c>
      <c r="T568" t="inlineStr">
        <is>
          <t>0.17</t>
        </is>
      </c>
      <c r="U568" s="3">
        <v>46112.78107638889</v>
      </c>
      <c r="V568" t="inlineStr">
        <is>
          <t>虚拟产品</t>
        </is>
      </c>
      <c r="W568" s="3">
        <v>46033</v>
      </c>
      <c r="X568" t="inlineStr">
        <is>
          <t>01</t>
        </is>
      </c>
      <c r="Y568" t="inlineStr">
        <is>
          <t>2026-Q1</t>
        </is>
      </c>
    </row>
    <row r="569" ht="38.25" customHeight="1">
      <c r="A569" t="inlineStr">
        <is>
          <t>咨询素材（素材群）（每晚发货，介意勿拍）</t>
        </is>
      </c>
      <c r="B569" t="inlineStr">
        <is>
          <t>__upload_recv7XBWcY1YXn.jpg</t>
        </is>
      </c>
      <c r="C569" s="2" t="str">
        <f>=HYPERLINK("https://xhslink.com/m/9S2NOlzDsGK", "https://xhslink.com/m/9S2NOlzDsGK")</f>
        <v>https://xhslink.com/m/9S2NOlzDsGK</v>
      </c>
      <c r="D569"/>
      <c r="E569">
        <v>3799</v>
      </c>
      <c r="F569">
        <v>0.1</v>
      </c>
      <c r="G569"/>
      <c r="H569">
        <v>150</v>
      </c>
      <c r="I569"/>
      <c r="J569"/>
      <c r="K569" t="inlineStr">
        <is>
          <t>素材</t>
        </is>
      </c>
      <c r="L569"/>
      <c r="M569" t="inlineStr">
        <is>
          <t>GD-studio（招生中）的店</t>
        </is>
      </c>
      <c r="N569">
        <v>10000</v>
      </c>
      <c r="O569">
        <v>4.51</v>
      </c>
      <c r="P569">
        <v>4217</v>
      </c>
      <c r="Q569" t="inlineStr">
        <is>
          <t>659a87de654f0d00012518a2</t>
        </is>
      </c>
      <c r="R569"/>
      <c r="S569" t="inlineStr">
        <is>
          <t>无匹配类别</t>
        </is>
      </c>
      <c r="T569" t="inlineStr">
        <is>
          <t>0.38</t>
        </is>
      </c>
      <c r="U569" s="3">
        <v>46112.78107638889</v>
      </c>
      <c r="V569" t="inlineStr">
        <is>
          <t>虚拟产品</t>
        </is>
      </c>
      <c r="W569" s="3">
        <v>46033</v>
      </c>
      <c r="X569" t="inlineStr">
        <is>
          <t>01</t>
        </is>
      </c>
      <c r="Y569" t="inlineStr">
        <is>
          <t>2026-Q1</t>
        </is>
      </c>
    </row>
    <row r="570" ht="38.25" customHeight="1">
      <c r="A570" t="inlineStr">
        <is>
          <t>商用可爱儿童卡通中英文字体趣味创意手写ps ai pr procreate字体</t>
        </is>
      </c>
      <c r="B570" t="inlineStr">
        <is>
          <t>__upload_recv7XBWcYEJl0.jpg</t>
        </is>
      </c>
      <c r="C570" s="2" t="str">
        <f>=HYPERLINK("https://xhslink.com/m/3UI9JO4Groz", "https://xhslink.com/m/3UI9JO4Groz")</f>
        <v>https://xhslink.com/m/3UI9JO4Groz</v>
      </c>
      <c r="D570"/>
      <c r="E570">
        <v>4197</v>
      </c>
      <c r="F570">
        <v>9.9</v>
      </c>
      <c r="G570"/>
      <c r="H570">
        <v>100</v>
      </c>
      <c r="I570"/>
      <c r="J570"/>
      <c r="K570" t="inlineStr">
        <is>
          <t>素材</t>
        </is>
      </c>
      <c r="L570"/>
      <c r="M570" t="inlineStr">
        <is>
          <t>Cocola Design的店</t>
        </is>
      </c>
      <c r="N570">
        <v>9783</v>
      </c>
      <c r="O570">
        <v>4.5</v>
      </c>
      <c r="P570">
        <v>27000</v>
      </c>
      <c r="Q570" t="inlineStr">
        <is>
          <t>66c2e5a03a7721000174180c</t>
        </is>
      </c>
      <c r="R570"/>
      <c r="S570" t="inlineStr">
        <is>
          <t>设计素材</t>
        </is>
      </c>
      <c r="T570" t="inlineStr">
        <is>
          <t>0.43</t>
        </is>
      </c>
      <c r="U570" s="3">
        <v>46112.78107638889</v>
      </c>
      <c r="V570" t="inlineStr">
        <is>
          <t>虚拟产品</t>
        </is>
      </c>
      <c r="W570" s="3">
        <v>46033</v>
      </c>
      <c r="X570" t="inlineStr">
        <is>
          <t>01</t>
        </is>
      </c>
      <c r="Y570" t="inlineStr">
        <is>
          <t>2026-Q1</t>
        </is>
      </c>
    </row>
    <row r="571" ht="38.25" customHeight="1">
      <c r="A571" t="inlineStr">
        <is>
          <t>PPT模板 | 多图排版（均可编辑）图文排版ppt 拍一发三</t>
        </is>
      </c>
      <c r="B571" t="inlineStr">
        <is>
          <t>__upload_recv7XBWcYVhLd.jpg</t>
        </is>
      </c>
      <c r="C571" s="2" t="str">
        <f>=HYPERLINK("https://xhslink.com/m/6pzDpwaanFu", "https://xhslink.com/m/6pzDpwaanFu")</f>
        <v>https://xhslink.com/m/6pzDpwaanFu</v>
      </c>
      <c r="D571"/>
      <c r="E571">
        <v>4084</v>
      </c>
      <c r="F571">
        <v>39.9</v>
      </c>
      <c r="G571"/>
      <c r="H571">
        <v>150</v>
      </c>
      <c r="I571"/>
      <c r="J571"/>
      <c r="K571" t="inlineStr">
        <is>
          <t>素材</t>
        </is>
      </c>
      <c r="L571"/>
      <c r="M571" t="inlineStr">
        <is>
          <t>☁青云PPT的店</t>
        </is>
      </c>
      <c r="N571">
        <v>4606</v>
      </c>
      <c r="O571">
        <v>3.85</v>
      </c>
      <c r="P571">
        <v>11000</v>
      </c>
      <c r="Q571" t="inlineStr">
        <is>
          <t>67c6971dcb5e42000185eeca</t>
        </is>
      </c>
      <c r="R571" t="inlineStr">
        <is>
          <t>🚫重复</t>
        </is>
      </c>
      <c r="S571" t="inlineStr">
        <is>
          <t>PPT模板</t>
        </is>
      </c>
      <c r="T571" t="inlineStr">
        <is>
          <t>0.89</t>
        </is>
      </c>
      <c r="U571" s="3">
        <v>46112.78107638889</v>
      </c>
      <c r="V571" t="inlineStr">
        <is>
          <t>虚拟产品</t>
        </is>
      </c>
      <c r="W571" s="3">
        <v>46033</v>
      </c>
      <c r="X571" t="inlineStr">
        <is>
          <t>01</t>
        </is>
      </c>
      <c r="Y571" t="inlineStr">
        <is>
          <t>2026-Q1</t>
        </is>
      </c>
    </row>
    <row r="572" ht="38.25" customHeight="1">
      <c r="A572" t="inlineStr">
        <is>
          <t>控笔素材原创自制 |【空白 描摹 实线】共90张 『电子资料不退』</t>
        </is>
      </c>
      <c r="B572" t="inlineStr">
        <is>
          <t>__upload_recv7XBWcY8IZB.jpg</t>
        </is>
      </c>
      <c r="C572" s="2" t="str">
        <f>=HYPERLINK("https://xhslink.com/m/4Zc6HPE6y7q", "https://xhslink.com/m/4Zc6HPE6y7q")</f>
        <v>https://xhslink.com/m/4Zc6HPE6y7q</v>
      </c>
      <c r="D572"/>
      <c r="E572">
        <v>3867</v>
      </c>
      <c r="F572">
        <v>9.9</v>
      </c>
      <c r="G572"/>
      <c r="H572">
        <v>100</v>
      </c>
      <c r="I572"/>
      <c r="J572"/>
      <c r="K572" t="inlineStr">
        <is>
          <t>素材</t>
        </is>
      </c>
      <c r="L572"/>
      <c r="M572" t="inlineStr">
        <is>
          <t>芋泥啵啵星的店</t>
        </is>
      </c>
      <c r="N572">
        <v>9698</v>
      </c>
      <c r="O572">
        <v>4.35</v>
      </c>
      <c r="P572">
        <v>26000</v>
      </c>
      <c r="Q572" t="inlineStr">
        <is>
          <t>66827e9e6a228000018abbba</t>
        </is>
      </c>
      <c r="R572"/>
      <c r="S572" t="inlineStr">
        <is>
          <t>无匹配类别</t>
        </is>
      </c>
      <c r="T572" t="inlineStr">
        <is>
          <t>0.40</t>
        </is>
      </c>
      <c r="U572" s="3">
        <v>46112.78107638889</v>
      </c>
      <c r="V572" t="inlineStr">
        <is>
          <t>虚拟产品</t>
        </is>
      </c>
      <c r="W572" s="3">
        <v>46033</v>
      </c>
      <c r="X572" t="inlineStr">
        <is>
          <t>01</t>
        </is>
      </c>
      <c r="Y572" t="inlineStr">
        <is>
          <t>2026-Q1</t>
        </is>
      </c>
    </row>
    <row r="573" ht="38.25" customHeight="1">
      <c r="A573" t="inlineStr">
        <is>
          <t>幼儿园益智区科学区数学区语言区域可打印电子素材动物主题玩教具</t>
        </is>
      </c>
      <c r="B573" t="inlineStr">
        <is>
          <t>__upload_recv7XBWcYmTTa.jpg</t>
        </is>
      </c>
      <c r="C573" s="2" t="str">
        <f>=HYPERLINK("https://xhslink.com/m/4CnBqj7eIww", "https://xhslink.com/m/4CnBqj7eIww")</f>
        <v>https://xhslink.com/m/4CnBqj7eIww</v>
      </c>
      <c r="D573"/>
      <c r="E573">
        <v>3726</v>
      </c>
      <c r="F573">
        <v>2</v>
      </c>
      <c r="G573"/>
      <c r="H573">
        <v>45</v>
      </c>
      <c r="I573"/>
      <c r="J573"/>
      <c r="K573" t="inlineStr">
        <is>
          <t>素材</t>
        </is>
      </c>
      <c r="L573"/>
      <c r="M573" t="inlineStr">
        <is>
          <t>幼儿园区域材料的店</t>
        </is>
      </c>
      <c r="N573">
        <v>13000</v>
      </c>
      <c r="O573">
        <v>3.89</v>
      </c>
      <c r="P573">
        <v>44000</v>
      </c>
      <c r="Q573" t="inlineStr">
        <is>
          <t>645296d8db9efc0001a496f5</t>
        </is>
      </c>
      <c r="R573" t="inlineStr">
        <is>
          <t>🚫重复</t>
        </is>
      </c>
      <c r="S573" t="inlineStr">
        <is>
          <t>幼教资料</t>
        </is>
      </c>
      <c r="T573" t="inlineStr">
        <is>
          <t>0.29</t>
        </is>
      </c>
      <c r="U573" s="3">
        <v>46112.78107638889</v>
      </c>
      <c r="V573" t="inlineStr">
        <is>
          <t>虚拟产品</t>
        </is>
      </c>
      <c r="W573" s="3">
        <v>46033</v>
      </c>
      <c r="X573" t="inlineStr">
        <is>
          <t>01</t>
        </is>
      </c>
      <c r="Y573" t="inlineStr">
        <is>
          <t>2026-Q1</t>
        </is>
      </c>
    </row>
    <row r="574" ht="38.25" customHeight="1">
      <c r="A574" t="inlineStr">
        <is>
          <t>用英语讲中国故事（有ppt,pdf，音频素材）</t>
        </is>
      </c>
      <c r="B574" t="inlineStr">
        <is>
          <t>__upload_recv7XBWcYqcsy.jpg</t>
        </is>
      </c>
      <c r="C574" s="2" t="str">
        <f>=HYPERLINK("https://xhslink.com/m/3sJTo1LJq6m", "https://xhslink.com/m/3sJTo1LJq6m")</f>
        <v>https://xhslink.com/m/3sJTo1LJq6m</v>
      </c>
      <c r="D574"/>
      <c r="E574">
        <v>3543</v>
      </c>
      <c r="F574">
        <v>8.8</v>
      </c>
      <c r="G574"/>
      <c r="H574">
        <v>45</v>
      </c>
      <c r="I574"/>
      <c r="J574"/>
      <c r="K574" t="inlineStr">
        <is>
          <t>素材</t>
        </is>
      </c>
      <c r="L574"/>
      <c r="M574" t="inlineStr">
        <is>
          <t>逐日向上🍀✨【拍后看短信】的店</t>
        </is>
      </c>
      <c r="N574">
        <v>2234</v>
      </c>
      <c r="O574">
        <v>3.97</v>
      </c>
      <c r="P574">
        <v>8050</v>
      </c>
      <c r="Q574" t="inlineStr">
        <is>
          <t>66114eebcca4850001bad3c8</t>
        </is>
      </c>
      <c r="R574"/>
      <c r="S574" t="inlineStr">
        <is>
          <t>PPT模板</t>
        </is>
      </c>
      <c r="T574" t="inlineStr">
        <is>
          <t>1.59</t>
        </is>
      </c>
      <c r="U574" s="3">
        <v>46112.78107638889</v>
      </c>
      <c r="V574" t="inlineStr">
        <is>
          <t>虚拟产品</t>
        </is>
      </c>
      <c r="W574" s="3">
        <v>46033</v>
      </c>
      <c r="X574" t="inlineStr">
        <is>
          <t>01</t>
        </is>
      </c>
      <c r="Y574" t="inlineStr">
        <is>
          <t>2026-Q1</t>
        </is>
      </c>
    </row>
    <row r="575" ht="38.25" customHeight="1">
      <c r="A575" t="inlineStr">
        <is>
          <t>上海高考语文四校思辨类作文素材《不如提灯前行》议论文哲学素材</t>
        </is>
      </c>
      <c r="B575" t="inlineStr">
        <is>
          <t>__upload_recv7XBWcYFSA7.jpg</t>
        </is>
      </c>
      <c r="C575" s="2" t="str">
        <f>=HYPERLINK("https://xhslink.com/m/1LLF36wcVoS", "https://xhslink.com/m/1LLF36wcVoS")</f>
        <v>https://xhslink.com/m/1LLF36wcVoS</v>
      </c>
      <c r="D575"/>
      <c r="E575">
        <v>3203</v>
      </c>
      <c r="F575">
        <v>9.9</v>
      </c>
      <c r="G575"/>
      <c r="H575">
        <v>100</v>
      </c>
      <c r="I575"/>
      <c r="J575"/>
      <c r="K575" t="inlineStr">
        <is>
          <t>素材</t>
        </is>
      </c>
      <c r="L575"/>
      <c r="M575" t="inlineStr">
        <is>
          <t>亦明学姐🍎高中藏宝阁的店</t>
        </is>
      </c>
      <c r="N575">
        <v>3566</v>
      </c>
      <c r="O575">
        <v>4.09</v>
      </c>
      <c r="P575">
        <v>9518</v>
      </c>
      <c r="Q575" t="inlineStr">
        <is>
          <t>68373570e60e7700017f11ee</t>
        </is>
      </c>
      <c r="R575" t="inlineStr">
        <is>
          <t>🚫重复</t>
        </is>
      </c>
      <c r="S575" t="inlineStr">
        <is>
          <t>高中/高考资料</t>
        </is>
      </c>
      <c r="T575" t="inlineStr">
        <is>
          <t>0.90</t>
        </is>
      </c>
      <c r="U575" s="3">
        <v>46112.78107638889</v>
      </c>
      <c r="V575" t="inlineStr">
        <is>
          <t>虚拟产品</t>
        </is>
      </c>
      <c r="W575" s="3">
        <v>46033</v>
      </c>
      <c r="X575" t="inlineStr">
        <is>
          <t>01</t>
        </is>
      </c>
      <c r="Y575" t="inlineStr">
        <is>
          <t>2026-Q1</t>
        </is>
      </c>
    </row>
    <row r="576" ht="38.25" customHeight="1">
      <c r="A576" t="inlineStr">
        <is>
          <t>幼儿园小中大班科学区益智区语言区数学区域打印素材秋天水果主题</t>
        </is>
      </c>
      <c r="B576" t="inlineStr">
        <is>
          <t>__upload_recv7XBWcYOmgo.jpg</t>
        </is>
      </c>
      <c r="C576" s="2" t="str">
        <f>=HYPERLINK("https://xhslink.com/m/3u8YMhsiFa", "https://xhslink.com/m/3u8YMhsiFa")</f>
        <v>https://xhslink.com/m/3u8YMhsiFa</v>
      </c>
      <c r="D576"/>
      <c r="E576">
        <v>3145</v>
      </c>
      <c r="F576">
        <v>2</v>
      </c>
      <c r="G576"/>
      <c r="H576">
        <v>100</v>
      </c>
      <c r="I576"/>
      <c r="J576"/>
      <c r="K576" t="inlineStr">
        <is>
          <t>素材</t>
        </is>
      </c>
      <c r="L576"/>
      <c r="M576" t="inlineStr">
        <is>
          <t>幼儿园区域材料的店</t>
        </is>
      </c>
      <c r="N576">
        <v>13000</v>
      </c>
      <c r="O576">
        <v>3.89</v>
      </c>
      <c r="P576">
        <v>44000</v>
      </c>
      <c r="Q576" t="inlineStr">
        <is>
          <t>642eee6293974300014fbdf9</t>
        </is>
      </c>
      <c r="R576" t="inlineStr">
        <is>
          <t>🚫重复</t>
        </is>
      </c>
      <c r="S576" t="inlineStr">
        <is>
          <t>幼教资料</t>
        </is>
      </c>
      <c r="T576" t="inlineStr">
        <is>
          <t>0.24</t>
        </is>
      </c>
      <c r="U576" s="3">
        <v>46112.78107638889</v>
      </c>
      <c r="V576" t="inlineStr">
        <is>
          <t>虚拟产品</t>
        </is>
      </c>
      <c r="W576" s="3">
        <v>46033</v>
      </c>
      <c r="X576" t="inlineStr">
        <is>
          <t>01</t>
        </is>
      </c>
      <c r="Y576" t="inlineStr">
        <is>
          <t>2026-Q1</t>
        </is>
      </c>
    </row>
    <row r="577" ht="38.25" customHeight="1">
      <c r="A577" t="inlineStr">
        <is>
          <t>纸纸生威 · 纸哥原创P人奶油小方光敏印章原创插画文字手帐素材可爱文创</t>
        </is>
      </c>
      <c r="B577" t="inlineStr">
        <is>
          <t>__upload_recv7XBWcYXr9D.jpg</t>
        </is>
      </c>
      <c r="C577" s="2" t="str">
        <f>=HYPERLINK("https://xhslink.com/m/2P8n4qR4xJ3", "https://xhslink.com/m/2P8n4qR4xJ3")</f>
        <v>https://xhslink.com/m/2P8n4qR4xJ3</v>
      </c>
      <c r="D577"/>
      <c r="E577">
        <v>3142</v>
      </c>
      <c r="F577">
        <v>9.9</v>
      </c>
      <c r="G577"/>
      <c r="H577">
        <v>250</v>
      </c>
      <c r="I577"/>
      <c r="J577"/>
      <c r="K577" t="inlineStr">
        <is>
          <t>素材</t>
        </is>
      </c>
      <c r="L577"/>
      <c r="M577" t="inlineStr">
        <is>
          <t>纸哥的店</t>
        </is>
      </c>
      <c r="N577">
        <v>51000</v>
      </c>
      <c r="O577">
        <v>4.7</v>
      </c>
      <c r="P577">
        <v>60000</v>
      </c>
      <c r="Q577" t="inlineStr">
        <is>
          <t>678f0c7abac251000183544b</t>
        </is>
      </c>
      <c r="R577"/>
      <c r="S577" t="inlineStr">
        <is>
          <t>设计素材</t>
        </is>
      </c>
      <c r="T577" t="inlineStr">
        <is>
          <t>0.06</t>
        </is>
      </c>
      <c r="U577" s="3">
        <v>46112.78107638889</v>
      </c>
      <c r="V577" t="inlineStr">
        <is>
          <t>虚拟产品</t>
        </is>
      </c>
      <c r="W577" s="3">
        <v>46033</v>
      </c>
      <c r="X577" t="inlineStr">
        <is>
          <t>01</t>
        </is>
      </c>
      <c r="Y577" t="inlineStr">
        <is>
          <t>2026-Q1</t>
        </is>
      </c>
    </row>
    <row r="578" ht="38.25" customHeight="1">
      <c r="A578" t="inlineStr">
        <is>
          <t>立体手抄报/读书卡/好书推荐/阅读小报/电子稿（自行打印）</t>
        </is>
      </c>
      <c r="B578" t="inlineStr">
        <is>
          <t>__upload_recv7XBWcY2WtG.jpg</t>
        </is>
      </c>
      <c r="C578" s="2" t="str">
        <f>=HYPERLINK("https://xhslink.com/m/7cdh9YVandx", "https://xhslink.com/m/7cdh9YVandx")</f>
        <v>https://xhslink.com/m/7cdh9YVandx</v>
      </c>
      <c r="D578"/>
      <c r="E578">
        <v>3060</v>
      </c>
      <c r="F578">
        <v>7.88</v>
      </c>
      <c r="G578"/>
      <c r="H578">
        <v>150</v>
      </c>
      <c r="I578"/>
      <c r="J578"/>
      <c r="K578" t="inlineStr">
        <is>
          <t>素材</t>
        </is>
      </c>
      <c r="L578"/>
      <c r="M578" t="inlineStr">
        <is>
          <t>思思绘（接定）的店</t>
        </is>
      </c>
      <c r="N578">
        <v>24000</v>
      </c>
      <c r="O578">
        <v>4.13</v>
      </c>
      <c r="P578">
        <v>17000</v>
      </c>
      <c r="Q578" t="inlineStr">
        <is>
          <t>681182244dac330001ea3bb3</t>
        </is>
      </c>
      <c r="R578"/>
      <c r="S578" t="inlineStr">
        <is>
          <t>中小学教辅/教材</t>
        </is>
      </c>
      <c r="T578" t="inlineStr">
        <is>
          <t>0.13</t>
        </is>
      </c>
      <c r="U578" s="3">
        <v>46112.78107638889</v>
      </c>
      <c r="V578" t="inlineStr">
        <is>
          <t>虚拟产品</t>
        </is>
      </c>
      <c r="W578" s="3">
        <v>46033</v>
      </c>
      <c r="X578" t="inlineStr">
        <is>
          <t>01</t>
        </is>
      </c>
      <c r="Y578" t="inlineStr">
        <is>
          <t>2026-Q1</t>
        </is>
      </c>
    </row>
    <row r="579" ht="38.25" customHeight="1">
      <c r="A579" t="inlineStr">
        <is>
          <t>元素图案 素材集含透明底 自动发货哦</t>
        </is>
      </c>
      <c r="B579" t="inlineStr">
        <is>
          <t>__upload_recv7XBWcY34Lb.jpg</t>
        </is>
      </c>
      <c r="C579" s="2" t="str">
        <f>=HYPERLINK("https://xhslink.com/m/1A33h0aPdvX", "https://xhslink.com/m/1A33h0aPdvX")</f>
        <v>https://xhslink.com/m/1A33h0aPdvX</v>
      </c>
      <c r="D579"/>
      <c r="E579">
        <v>2797</v>
      </c>
      <c r="F579">
        <v>0.99</v>
      </c>
      <c r="G579"/>
      <c r="H579">
        <v>550</v>
      </c>
      <c r="I579"/>
      <c r="J579"/>
      <c r="K579" t="inlineStr">
        <is>
          <t>素材</t>
        </is>
      </c>
      <c r="L579"/>
      <c r="M579" t="inlineStr">
        <is>
          <t>醉桃的店</t>
        </is>
      </c>
      <c r="N579">
        <v>4784</v>
      </c>
      <c r="O579">
        <v>3.91</v>
      </c>
      <c r="P579">
        <v>3249</v>
      </c>
      <c r="Q579" t="inlineStr">
        <is>
          <t>6880b58c86c0df00016b5d21</t>
        </is>
      </c>
      <c r="R579" t="inlineStr">
        <is>
          <t>🚫重复</t>
        </is>
      </c>
      <c r="S579" t="inlineStr">
        <is>
          <t>设计素材</t>
        </is>
      </c>
      <c r="T579" t="inlineStr">
        <is>
          <t>0.58</t>
        </is>
      </c>
      <c r="U579" s="3">
        <v>46112.78107638889</v>
      </c>
      <c r="V579" t="inlineStr">
        <is>
          <t>虚拟产品</t>
        </is>
      </c>
      <c r="W579" s="3">
        <v>46033</v>
      </c>
      <c r="X579" t="inlineStr">
        <is>
          <t>01</t>
        </is>
      </c>
      <c r="Y579" t="inlineStr">
        <is>
          <t>2026-Q1</t>
        </is>
      </c>
    </row>
    <row r="580" ht="38.25" customHeight="1">
      <c r="A580" t="inlineStr">
        <is>
          <t>300款可商用纸片票根相机边框警戒线免扣素材ai矢量源文件(可选)</t>
        </is>
      </c>
      <c r="B580" t="inlineStr">
        <is>
          <t>__upload_recv7XBWcYYufN.jpg</t>
        </is>
      </c>
      <c r="C580" s="2" t="str">
        <f>=HYPERLINK("https://xhslink.com/m/5cJyIVU7lhp", "https://xhslink.com/m/5cJyIVU7lhp")</f>
        <v>https://xhslink.com/m/5cJyIVU7lhp</v>
      </c>
      <c r="D580"/>
      <c r="E580">
        <v>2786</v>
      </c>
      <c r="F580">
        <v>4.9</v>
      </c>
      <c r="G580"/>
      <c r="H580">
        <v>150</v>
      </c>
      <c r="I580"/>
      <c r="J580"/>
      <c r="K580" t="inlineStr">
        <is>
          <t>素材</t>
        </is>
      </c>
      <c r="L580"/>
      <c r="M580" t="inlineStr">
        <is>
          <t>大汤姆叔叔的店</t>
        </is>
      </c>
      <c r="N580">
        <v>16000</v>
      </c>
      <c r="O580">
        <v>4.43</v>
      </c>
      <c r="P580">
        <v>25000</v>
      </c>
      <c r="Q580" t="inlineStr">
        <is>
          <t>681a25cb9d9194000103751c</t>
        </is>
      </c>
      <c r="R580" t="inlineStr">
        <is>
          <t>🚫重复</t>
        </is>
      </c>
      <c r="S580" t="inlineStr">
        <is>
          <t>设计素材</t>
        </is>
      </c>
      <c r="T580" t="inlineStr">
        <is>
          <t>0.17</t>
        </is>
      </c>
      <c r="U580" s="3">
        <v>46112.78107638889</v>
      </c>
      <c r="V580" t="inlineStr">
        <is>
          <t>虚拟产品</t>
        </is>
      </c>
      <c r="W580" s="3">
        <v>46033</v>
      </c>
      <c r="X580" t="inlineStr">
        <is>
          <t>01</t>
        </is>
      </c>
      <c r="Y580" t="inlineStr">
        <is>
          <t>2026-Q1</t>
        </is>
      </c>
    </row>
    <row r="581" ht="38.25" customHeight="1">
      <c r="A581" t="inlineStr">
        <is>
          <t>三文梨文创丨原创树纹带背胶A6素材纸便签纸套组</t>
        </is>
      </c>
      <c r="B581" t="inlineStr">
        <is>
          <t>__upload_recv7XBWcYrYuE.jpg</t>
        </is>
      </c>
      <c r="C581" s="2" t="str">
        <f>=HYPERLINK("https://xhslink.com/m/5OOFAbb5jQO", "https://xhslink.com/m/5OOFAbb5jQO")</f>
        <v>https://xhslink.com/m/5OOFAbb5jQO</v>
      </c>
      <c r="D581"/>
      <c r="E581">
        <v>1882</v>
      </c>
      <c r="F581">
        <v>4.25</v>
      </c>
      <c r="G581"/>
      <c r="H581">
        <v>750</v>
      </c>
      <c r="I581"/>
      <c r="J581"/>
      <c r="K581" t="inlineStr">
        <is>
          <t>素材</t>
        </is>
      </c>
      <c r="L581"/>
      <c r="M581" t="inlineStr">
        <is>
          <t>Liz小冻梨的店</t>
        </is>
      </c>
      <c r="N581">
        <v>50000</v>
      </c>
      <c r="O581">
        <v>4.68</v>
      </c>
      <c r="P581">
        <v>143000</v>
      </c>
      <c r="Q581" t="inlineStr">
        <is>
          <t>692eb54edd329c00012d5efd</t>
        </is>
      </c>
      <c r="R581"/>
      <c r="S581" t="inlineStr">
        <is>
          <t>设计素材</t>
        </is>
      </c>
      <c r="T581" t="inlineStr">
        <is>
          <t>0.04</t>
        </is>
      </c>
      <c r="U581" s="3">
        <v>46112.78107638889</v>
      </c>
      <c r="V581" t="inlineStr">
        <is>
          <t>虚拟产品</t>
        </is>
      </c>
      <c r="W581" s="3">
        <v>46033</v>
      </c>
      <c r="X581" t="inlineStr">
        <is>
          <t>01</t>
        </is>
      </c>
      <c r="Y581" t="inlineStr">
        <is>
          <t>2026-Q1</t>
        </is>
      </c>
    </row>
    <row r="582" ht="38.25" customHeight="1">
      <c r="A582" t="inlineStr">
        <is>
          <t>原创可商用UI风音乐播放器界面元素边框装饰图标图案INS边框素材</t>
        </is>
      </c>
      <c r="B582" t="inlineStr">
        <is>
          <t>__upload_recv7XBWcY1IEl.jpg</t>
        </is>
      </c>
      <c r="C582" s="2" t="str">
        <f>=HYPERLINK("https://xhslink.com/m/CtcwMSwLp", "https://xhslink.com/m/CtcwMSwLp")</f>
        <v>https://xhslink.com/m/CtcwMSwLp</v>
      </c>
      <c r="D582"/>
      <c r="E582">
        <v>1501</v>
      </c>
      <c r="F582">
        <v>7.7</v>
      </c>
      <c r="G582"/>
      <c r="H582">
        <v>59</v>
      </c>
      <c r="I582"/>
      <c r="J582"/>
      <c r="K582" t="inlineStr">
        <is>
          <t>素材</t>
        </is>
      </c>
      <c r="L582"/>
      <c r="M582" t="inlineStr">
        <is>
          <t>老橙子素材🍊的店</t>
        </is>
      </c>
      <c r="N582">
        <v>15000</v>
      </c>
      <c r="O582">
        <v>4.4</v>
      </c>
      <c r="P582">
        <v>18000</v>
      </c>
      <c r="Q582" t="inlineStr">
        <is>
          <t>67ee3a9e5d35ce00018178ef</t>
        </is>
      </c>
      <c r="R582"/>
      <c r="S582" t="inlineStr">
        <is>
          <t>设计素材</t>
        </is>
      </c>
      <c r="T582" t="inlineStr">
        <is>
          <t>0.10</t>
        </is>
      </c>
      <c r="U582" s="3">
        <v>46112.78107638889</v>
      </c>
      <c r="V582" t="inlineStr">
        <is>
          <t>虚拟产品</t>
        </is>
      </c>
      <c r="W582" s="3">
        <v>46033</v>
      </c>
      <c r="X582" t="inlineStr">
        <is>
          <t>01</t>
        </is>
      </c>
      <c r="Y582" t="inlineStr">
        <is>
          <t>2026-Q1</t>
        </is>
      </c>
    </row>
    <row r="583" ht="38.25" customHeight="1">
      <c r="A583" t="inlineStr">
        <is>
          <t>F2『素材贴纸』复古日常手帐背景打底素材贴纸</t>
        </is>
      </c>
      <c r="B583" t="inlineStr">
        <is>
          <t>__upload_recv7XBWcYJ6Mz.jpg</t>
        </is>
      </c>
      <c r="C583" s="2" t="str">
        <f>=HYPERLINK("https://xhslink.com/m/4Cxu9SH0Txw", "https://xhslink.com/m/4Cxu9SH0Txw")</f>
        <v>https://xhslink.com/m/4Cxu9SH0Txw</v>
      </c>
      <c r="D583"/>
      <c r="E583">
        <v>1290</v>
      </c>
      <c r="F583">
        <v>5.9</v>
      </c>
      <c r="G583"/>
      <c r="H583">
        <v>200</v>
      </c>
      <c r="I583"/>
      <c r="J583"/>
      <c r="K583" t="inlineStr">
        <is>
          <t>素材</t>
        </is>
      </c>
      <c r="L583"/>
      <c r="M583" t="inlineStr">
        <is>
          <t>秋吹耳畔文具库的店</t>
        </is>
      </c>
      <c r="N583">
        <v>58000</v>
      </c>
      <c r="O583">
        <v>4.71</v>
      </c>
      <c r="P583">
        <v>304000</v>
      </c>
      <c r="Q583" t="inlineStr">
        <is>
          <t>686d33e664e96a00017dcdc4</t>
        </is>
      </c>
      <c r="R583"/>
      <c r="S583" t="inlineStr">
        <is>
          <t>设计素材</t>
        </is>
      </c>
      <c r="T583" t="inlineStr">
        <is>
          <t>0.02</t>
        </is>
      </c>
      <c r="U583" s="3">
        <v>46112.78107638889</v>
      </c>
      <c r="V583" t="inlineStr">
        <is>
          <t>虚拟产品</t>
        </is>
      </c>
      <c r="W583" s="3">
        <v>46033</v>
      </c>
      <c r="X583" t="inlineStr">
        <is>
          <t>01</t>
        </is>
      </c>
      <c r="Y583" t="inlineStr">
        <is>
          <t>2026-Q1</t>
        </is>
      </c>
    </row>
    <row r="584" ht="38.25" customHeight="1">
      <c r="A584" t="inlineStr">
        <is>
          <t>50款复古RISO油墨印刷叠印套印效果背景纹理JPG图片素材</t>
        </is>
      </c>
      <c r="B584" t="inlineStr">
        <is>
          <t>__upload_recv7XBWcYFUwO.jpg</t>
        </is>
      </c>
      <c r="C584" s="2" t="str">
        <f>=HYPERLINK("https://xhslink.com/m/A8qSaylk1C2", "https://xhslink.com/m/A8qSaylk1C2")</f>
        <v>https://xhslink.com/m/A8qSaylk1C2</v>
      </c>
      <c r="D584"/>
      <c r="E584">
        <v>1063</v>
      </c>
      <c r="F584">
        <v>1.5</v>
      </c>
      <c r="G584"/>
      <c r="H584">
        <v>61</v>
      </c>
      <c r="I584"/>
      <c r="J584"/>
      <c r="K584" t="inlineStr">
        <is>
          <t>素材</t>
        </is>
      </c>
      <c r="L584"/>
      <c r="M584" t="inlineStr">
        <is>
          <t>月亮素材铺的店</t>
        </is>
      </c>
      <c r="N584">
        <v>1788</v>
      </c>
      <c r="O584">
        <v>4.12</v>
      </c>
      <c r="P584">
        <v>10000</v>
      </c>
      <c r="Q584" t="inlineStr">
        <is>
          <t>67f76649b2c30c00016a8548</t>
        </is>
      </c>
      <c r="R584"/>
      <c r="S584" t="inlineStr">
        <is>
          <t>设计素材</t>
        </is>
      </c>
      <c r="T584" t="inlineStr">
        <is>
          <t>0.59</t>
        </is>
      </c>
      <c r="U584" s="3">
        <v>46112.78107638889</v>
      </c>
      <c r="V584" t="inlineStr">
        <is>
          <t>虚拟产品</t>
        </is>
      </c>
      <c r="W584" s="3">
        <v>46033</v>
      </c>
      <c r="X584" t="inlineStr">
        <is>
          <t>01</t>
        </is>
      </c>
      <c r="Y584" t="inlineStr">
        <is>
          <t>2026-Q1</t>
        </is>
      </c>
    </row>
    <row r="585" ht="38.25" customHeight="1">
      <c r="A585" t="inlineStr">
        <is>
          <t>【81-】无客服 不退货 自动发货 看详情页 吧唧素材PSD 购买可商</t>
        </is>
      </c>
      <c r="B585" t="inlineStr">
        <is>
          <t>__upload_recv7XBWcYxe1g.jpg</t>
        </is>
      </c>
      <c r="C585" s="2" t="str">
        <f>=HYPERLINK("https://xhslink.com/m/4beGayvKp81", "https://xhslink.com/m/4beGayvKp81")</f>
        <v>https://xhslink.com/m/4beGayvKp81</v>
      </c>
      <c r="D585"/>
      <c r="E585">
        <v>1030</v>
      </c>
      <c r="F585">
        <v>5</v>
      </c>
      <c r="G585"/>
      <c r="H585">
        <v>35</v>
      </c>
      <c r="I585"/>
      <c r="J585"/>
      <c r="K585" t="inlineStr">
        <is>
          <t>素材</t>
        </is>
      </c>
      <c r="L585"/>
      <c r="M585" t="inlineStr">
        <is>
          <t>AAA海拉尔丘丘胶制造厂的店</t>
        </is>
      </c>
      <c r="N585">
        <v>30000</v>
      </c>
      <c r="O585">
        <v>3.93</v>
      </c>
      <c r="P585">
        <v>11000</v>
      </c>
      <c r="Q585" t="inlineStr">
        <is>
          <t>677df9b09548e10001a3e27b</t>
        </is>
      </c>
      <c r="R585"/>
      <c r="S585" t="inlineStr">
        <is>
          <t>设计素材</t>
        </is>
      </c>
      <c r="T585" t="inlineStr">
        <is>
          <t>0.03</t>
        </is>
      </c>
      <c r="U585" s="3">
        <v>46112.78107638889</v>
      </c>
      <c r="V585" t="inlineStr">
        <is>
          <t>虚拟产品</t>
        </is>
      </c>
      <c r="W585" s="3">
        <v>46033</v>
      </c>
      <c r="X585" t="inlineStr">
        <is>
          <t>01</t>
        </is>
      </c>
      <c r="Y585" t="inlineStr">
        <is>
          <t>2026-Q1</t>
        </is>
      </c>
    </row>
    <row r="586" ht="38.25" customHeight="1">
      <c r="A586" t="inlineStr">
        <is>
          <t>N1ng原创烟花贴纸卷分装模切胶带贴纸卷古早手帐贴纸素材烟火</t>
        </is>
      </c>
      <c r="B586" t="inlineStr">
        <is>
          <t>__upload_recv7XBWcYoOJ1.jpg</t>
        </is>
      </c>
      <c r="C586" s="2" t="str">
        <f>=HYPERLINK("https://xhslink.com/m/8pxVbIS6vSt", "https://xhslink.com/m/8pxVbIS6vSt")</f>
        <v>https://xhslink.com/m/8pxVbIS6vSt</v>
      </c>
      <c r="D586"/>
      <c r="E586">
        <v>723</v>
      </c>
      <c r="F586">
        <v>23.8</v>
      </c>
      <c r="G586"/>
      <c r="H586">
        <v>34</v>
      </c>
      <c r="I586"/>
      <c r="J586"/>
      <c r="K586" t="inlineStr">
        <is>
          <t>素材</t>
        </is>
      </c>
      <c r="L586"/>
      <c r="M586" t="inlineStr">
        <is>
          <t>N1ng铺子的店</t>
        </is>
      </c>
      <c r="N586">
        <v>5088</v>
      </c>
      <c r="O586">
        <v>4.62</v>
      </c>
      <c r="P586">
        <v>30000</v>
      </c>
      <c r="Q586" t="inlineStr">
        <is>
          <t>6763cfdc915f750015d60dc8</t>
        </is>
      </c>
      <c r="R586"/>
      <c r="S586" t="inlineStr">
        <is>
          <t>设计素材</t>
        </is>
      </c>
      <c r="T586" t="inlineStr">
        <is>
          <t>0.14</t>
        </is>
      </c>
      <c r="U586" s="3">
        <v>46112.78107638889</v>
      </c>
      <c r="V586" t="inlineStr">
        <is>
          <t>虚拟产品</t>
        </is>
      </c>
      <c r="W586" s="3">
        <v>46033</v>
      </c>
      <c r="X586" t="inlineStr">
        <is>
          <t>01</t>
        </is>
      </c>
      <c r="Y586" t="inlineStr">
        <is>
          <t>2026-Q1</t>
        </is>
      </c>
    </row>
    <row r="587" ht="38.25" customHeight="1">
      <c r="A587" t="inlineStr">
        <is>
          <t>procreate美工设计可商用素材笔刷打包一键毕业1.0</t>
        </is>
      </c>
      <c r="B587" t="inlineStr">
        <is>
          <t>__upload_recv7XBWcYutzH.jpg</t>
        </is>
      </c>
      <c r="C587" s="2" t="str">
        <f>=HYPERLINK("https://xhslink.com/m/4zPnGDP14Jh", "https://xhslink.com/m/4zPnGDP14Jh")</f>
        <v>https://xhslink.com/m/4zPnGDP14Jh</v>
      </c>
      <c r="D587"/>
      <c r="E587">
        <v>1009</v>
      </c>
      <c r="F587">
        <v>29.9</v>
      </c>
      <c r="G587"/>
      <c r="H587">
        <v>35</v>
      </c>
      <c r="I587"/>
      <c r="J587"/>
      <c r="K587" t="inlineStr">
        <is>
          <t>素材</t>
        </is>
      </c>
      <c r="L587"/>
      <c r="M587" t="inlineStr">
        <is>
          <t>重组元气虾饺的店</t>
        </is>
      </c>
      <c r="N587">
        <v>18000</v>
      </c>
      <c r="O587">
        <v>3.85</v>
      </c>
      <c r="P587">
        <v>14000</v>
      </c>
      <c r="Q587" t="inlineStr">
        <is>
          <t>6808bd6013746700010bb66c</t>
        </is>
      </c>
      <c r="R587"/>
      <c r="S587" t="inlineStr">
        <is>
          <t>设计素材</t>
        </is>
      </c>
      <c r="T587" t="inlineStr">
        <is>
          <t>0.06</t>
        </is>
      </c>
      <c r="U587" s="3">
        <v>46112.78107638889</v>
      </c>
      <c r="V587" t="inlineStr">
        <is>
          <t>虚拟产品</t>
        </is>
      </c>
      <c r="W587" s="3">
        <v>46033</v>
      </c>
      <c r="X587" t="inlineStr">
        <is>
          <t>01</t>
        </is>
      </c>
      <c r="Y587" t="inlineStr">
        <is>
          <t>2026-Q1</t>
        </is>
      </c>
    </row>
    <row r="588" ht="38.25" customHeight="1">
      <c r="A588" t="inlineStr">
        <is>
          <t>全部底图+抢先体验更多素材</t>
        </is>
      </c>
      <c r="B588" t="inlineStr">
        <is>
          <t>__upload_recv7XBWcYBri5.jpg</t>
        </is>
      </c>
      <c r="C588" s="2" t="str">
        <f>=HYPERLINK("https://xhslink.com/m/6ibvXbPkCaP", "https://xhslink.com/m/6ibvXbPkCaP")</f>
        <v>https://xhslink.com/m/6ibvXbPkCaP</v>
      </c>
      <c r="D588"/>
      <c r="E588">
        <v>479</v>
      </c>
      <c r="F588">
        <v>18.8</v>
      </c>
      <c r="G588"/>
      <c r="H588">
        <v>53</v>
      </c>
      <c r="I588"/>
      <c r="J588"/>
      <c r="K588" t="inlineStr">
        <is>
          <t>素材</t>
        </is>
      </c>
      <c r="L588"/>
      <c r="M588" t="inlineStr">
        <is>
          <t>红豆饱原创素材的店</t>
        </is>
      </c>
      <c r="N588">
        <v>27000</v>
      </c>
      <c r="O588">
        <v>3.91</v>
      </c>
      <c r="P588">
        <v>961</v>
      </c>
      <c r="Q588" t="inlineStr">
        <is>
          <t>6845aac9801a240001a7f25f</t>
        </is>
      </c>
      <c r="R588"/>
      <c r="S588" t="inlineStr">
        <is>
          <t>设计素材</t>
        </is>
      </c>
      <c r="T588" t="inlineStr">
        <is>
          <t>0.02</t>
        </is>
      </c>
      <c r="U588" s="3">
        <v>46112.78107638889</v>
      </c>
      <c r="V588" t="inlineStr">
        <is>
          <t>虚拟产品</t>
        </is>
      </c>
      <c r="W588" s="3">
        <v>46033</v>
      </c>
      <c r="X588" t="inlineStr">
        <is>
          <t>01</t>
        </is>
      </c>
      <c r="Y588" t="inlineStr">
        <is>
          <t>2026-Q1</t>
        </is>
      </c>
    </row>
    <row r="589" ht="38.25" customHeight="1">
      <c r="A589" t="inlineStr">
        <is>
          <t>2w+跑路素材打包 Z1 包png/预览图 华丽风素材 不教使用</t>
        </is>
      </c>
      <c r="B589" t="inlineStr">
        <is>
          <t>__upload_recv7XBWcYuygD.jpg</t>
        </is>
      </c>
      <c r="C589" s="2" t="str">
        <f>=HYPERLINK("https://xhslink.com/m/7TQSYOM6v1C", "https://xhslink.com/m/7TQSYOM6v1C")</f>
        <v>https://xhslink.com/m/7TQSYOM6v1C</v>
      </c>
      <c r="D589"/>
      <c r="E589">
        <v>336</v>
      </c>
      <c r="F589">
        <v>3.88</v>
      </c>
      <c r="G589"/>
      <c r="H589">
        <v>150</v>
      </c>
      <c r="I589"/>
      <c r="J589"/>
      <c r="K589" t="inlineStr">
        <is>
          <t>素材</t>
        </is>
      </c>
      <c r="L589"/>
      <c r="M589" t="inlineStr">
        <is>
          <t>困の美化的店</t>
        </is>
      </c>
      <c r="N589">
        <v>2256</v>
      </c>
      <c r="O589">
        <v>4.11</v>
      </c>
      <c r="P589">
        <v>13000</v>
      </c>
      <c r="Q589" t="inlineStr">
        <is>
          <t>692558acd4363c00019c4216</t>
        </is>
      </c>
      <c r="R589"/>
      <c r="S589" t="inlineStr">
        <is>
          <t>设计素材</t>
        </is>
      </c>
      <c r="T589" t="inlineStr">
        <is>
          <t>0.15</t>
        </is>
      </c>
      <c r="U589" s="3">
        <v>46112.78107638889</v>
      </c>
      <c r="V589" t="inlineStr">
        <is>
          <t>虚拟产品</t>
        </is>
      </c>
      <c r="W589" s="3">
        <v>46033</v>
      </c>
      <c r="X589" t="inlineStr">
        <is>
          <t>01</t>
        </is>
      </c>
      <c r="Y589" t="inlineStr">
        <is>
          <t>2026-Q1</t>
        </is>
      </c>
    </row>
    <row r="590" ht="38.25" customHeight="1">
      <c r="A590" t="inlineStr">
        <is>
          <t>PS 不同风格 二次元跑路动漫素材包90+套PNG免抠插画装饰元素</t>
        </is>
      </c>
      <c r="B590" t="inlineStr">
        <is>
          <t>__upload_recv7XBWcYAMwb.jpg</t>
        </is>
      </c>
      <c r="C590" s="2" t="str">
        <f>=HYPERLINK("https://xhslink.com/m/59tRRCj4Wsp", "https://xhslink.com/m/59tRRCj4Wsp")</f>
        <v>https://xhslink.com/m/59tRRCj4Wsp</v>
      </c>
      <c r="D590"/>
      <c r="E590">
        <v>291</v>
      </c>
      <c r="F590">
        <v>4.5</v>
      </c>
      <c r="G590"/>
      <c r="H590">
        <v>47</v>
      </c>
      <c r="I590"/>
      <c r="J590"/>
      <c r="K590" t="inlineStr">
        <is>
          <t>素材</t>
        </is>
      </c>
      <c r="L590"/>
      <c r="M590" t="inlineStr">
        <is>
          <t>鲸、落于海素材库的店</t>
        </is>
      </c>
      <c r="N590">
        <v>860</v>
      </c>
      <c r="O590">
        <v>4.11</v>
      </c>
      <c r="P590">
        <v>2718</v>
      </c>
      <c r="Q590" t="inlineStr">
        <is>
          <t>689385d7eab7930001addc81</t>
        </is>
      </c>
      <c r="R590"/>
      <c r="S590" t="inlineStr">
        <is>
          <t>设计素材</t>
        </is>
      </c>
      <c r="T590" t="inlineStr">
        <is>
          <t>0.34</t>
        </is>
      </c>
      <c r="U590" s="3">
        <v>46112.78107638889</v>
      </c>
      <c r="V590" t="inlineStr">
        <is>
          <t>虚拟产品</t>
        </is>
      </c>
      <c r="W590" s="3">
        <v>46033</v>
      </c>
      <c r="X590" t="inlineStr">
        <is>
          <t>01</t>
        </is>
      </c>
      <c r="Y590" t="inlineStr">
        <is>
          <t>2026-Q1</t>
        </is>
      </c>
    </row>
    <row r="591" ht="38.25" customHeight="1">
      <c r="A591" t="inlineStr">
        <is>
          <t>上海高考语文四校思辨类作文素材《不如提灯前行》议论文哲学素材</t>
        </is>
      </c>
      <c r="B591" t="inlineStr">
        <is>
          <t>__upload_recv83BVc4LGlo.jpg</t>
        </is>
      </c>
      <c r="C591" s="2" t="str">
        <f>=HYPERLINK("https://xhslink.com/m/5BvNWosIo8I", "https://xhslink.com/m/5BvNWosIo8I")</f>
        <v>https://xhslink.com/m/5BvNWosIo8I</v>
      </c>
      <c r="D591"/>
      <c r="E591">
        <v>3203</v>
      </c>
      <c r="F591">
        <v>19.9</v>
      </c>
      <c r="G591"/>
      <c r="H591"/>
      <c r="I591">
        <v>500</v>
      </c>
      <c r="J591"/>
      <c r="K591" t="inlineStr">
        <is>
          <t>写作素材</t>
        </is>
      </c>
      <c r="L591"/>
      <c r="M591" t="inlineStr">
        <is>
          <t>亦明学姐🍎高中藏宝阁的店</t>
        </is>
      </c>
      <c r="N591">
        <v>3566</v>
      </c>
      <c r="O591">
        <v>4.07</v>
      </c>
      <c r="P591">
        <v>9532</v>
      </c>
      <c r="Q591" t="inlineStr">
        <is>
          <t>681b13f915c97e000130dd5a</t>
        </is>
      </c>
      <c r="R591" t="inlineStr">
        <is>
          <t>🚫重复</t>
        </is>
      </c>
      <c r="S591" t="inlineStr">
        <is>
          <t>高中/高考资料</t>
        </is>
      </c>
      <c r="T591" t="inlineStr">
        <is>
          <t>0.90</t>
        </is>
      </c>
      <c r="U591" s="3">
        <v>46112.78107638889</v>
      </c>
      <c r="V591" t="inlineStr">
        <is>
          <t>虚拟产品</t>
        </is>
      </c>
      <c r="W591" s="3">
        <v>46034</v>
      </c>
      <c r="X591" t="inlineStr">
        <is>
          <t>01</t>
        </is>
      </c>
      <c r="Y591" t="inlineStr">
        <is>
          <t>2026-Q1</t>
        </is>
      </c>
    </row>
    <row r="592" ht="38.25" customHeight="1">
      <c r="A592" t="inlineStr">
        <is>
          <t>初中语文作文提升资料</t>
        </is>
      </c>
      <c r="B592" t="inlineStr">
        <is>
          <t>__upload_recv83CeKu0Tqc.jpg</t>
        </is>
      </c>
      <c r="C592" s="2" t="str">
        <f>=HYPERLINK("https://xhslink.com/m/3hPK1TvquPW", "https://xhslink.com/m/3hPK1TvquPW")</f>
        <v>https://xhslink.com/m/3hPK1TvquPW</v>
      </c>
      <c r="D592"/>
      <c r="E592">
        <v>1896</v>
      </c>
      <c r="F592">
        <v>9.9</v>
      </c>
      <c r="G592"/>
      <c r="H592"/>
      <c r="I592">
        <v>500</v>
      </c>
      <c r="J592"/>
      <c r="K592" t="inlineStr">
        <is>
          <t>写作素材</t>
        </is>
      </c>
      <c r="L592" t="inlineStr">
        <is>
          <t>🔥低粉爆款</t>
        </is>
      </c>
      <c r="M592" t="inlineStr">
        <is>
          <t>萌小萌i的店</t>
        </is>
      </c>
      <c r="N592">
        <v>357</v>
      </c>
      <c r="O592">
        <v>3.98</v>
      </c>
      <c r="P592">
        <v>8670</v>
      </c>
      <c r="Q592" t="inlineStr">
        <is>
          <t>6951e5bedd18440001085c27</t>
        </is>
      </c>
      <c r="R592" t="inlineStr">
        <is>
          <t>🚫重复</t>
        </is>
      </c>
      <c r="S592" t="inlineStr">
        <is>
          <t>中小学教辅/教材</t>
        </is>
      </c>
      <c r="T592" t="inlineStr">
        <is>
          <t>5.31</t>
        </is>
      </c>
      <c r="U592" s="3">
        <v>46112.78107638889</v>
      </c>
      <c r="V592" t="inlineStr">
        <is>
          <t>虚拟产品</t>
        </is>
      </c>
      <c r="W592" s="3">
        <v>46034</v>
      </c>
      <c r="X592" t="inlineStr">
        <is>
          <t>01</t>
        </is>
      </c>
      <c r="Y592" t="inlineStr">
        <is>
          <t>2026-Q1</t>
        </is>
      </c>
    </row>
    <row r="593" ht="38.25" customHeight="1">
      <c r="A593" t="inlineStr">
        <is>
          <t>高中全套作文素材【电子版】-可乐炖鸡翅y 笔记同款</t>
        </is>
      </c>
      <c r="B593" t="inlineStr">
        <is>
          <t>__upload_recv83CeKuNtL4.jpg</t>
        </is>
      </c>
      <c r="C593" s="2" t="str">
        <f>=HYPERLINK("https://xhslink.com/m/8O90tNWLipM", "https://xhslink.com/m/8O90tNWLipM")</f>
        <v>https://xhslink.com/m/8O90tNWLipM</v>
      </c>
      <c r="D593"/>
      <c r="E593">
        <v>1119</v>
      </c>
      <c r="F593">
        <v>4.9</v>
      </c>
      <c r="G593"/>
      <c r="H593"/>
      <c r="I593">
        <v>500</v>
      </c>
      <c r="J593"/>
      <c r="K593" t="inlineStr">
        <is>
          <t>写作素材</t>
        </is>
      </c>
      <c r="L593"/>
      <c r="M593" t="inlineStr">
        <is>
          <t>可乐炖鸡翅y的店</t>
        </is>
      </c>
      <c r="N593">
        <v>28000</v>
      </c>
      <c r="O593">
        <v>3.95</v>
      </c>
      <c r="P593">
        <v>1121</v>
      </c>
      <c r="Q593" t="inlineStr">
        <is>
          <t>688754558fe3470001abe283</t>
        </is>
      </c>
      <c r="R593"/>
      <c r="S593" t="inlineStr">
        <is>
          <t>高中/高考资料</t>
        </is>
      </c>
      <c r="T593" t="inlineStr">
        <is>
          <t>0.04</t>
        </is>
      </c>
      <c r="U593" s="3">
        <v>46112.78107638889</v>
      </c>
      <c r="V593" t="inlineStr">
        <is>
          <t>虚拟产品</t>
        </is>
      </c>
      <c r="W593" s="3">
        <v>46034</v>
      </c>
      <c r="X593" t="inlineStr">
        <is>
          <t>01</t>
        </is>
      </c>
      <c r="Y593" t="inlineStr">
        <is>
          <t>2026-Q1</t>
        </is>
      </c>
    </row>
    <row r="594" ht="38.25" customHeight="1">
      <c r="A594" t="inlineStr">
        <is>
          <t>高中语文作文素材高考议论文现当代热点人物最新素材电子版可编辑</t>
        </is>
      </c>
      <c r="B594" t="inlineStr">
        <is>
          <t>__upload_recv83CeKu1rjI.jpg</t>
        </is>
      </c>
      <c r="C594" s="2" t="str">
        <f>=HYPERLINK("https://xhslink.com/m/75lfdncxcdp", "https://xhslink.com/m/75lfdncxcdp")</f>
        <v>https://xhslink.com/m/75lfdncxcdp</v>
      </c>
      <c r="D594"/>
      <c r="E594">
        <v>1046</v>
      </c>
      <c r="F594">
        <v>9.9</v>
      </c>
      <c r="G594"/>
      <c r="H594"/>
      <c r="I594">
        <v>400</v>
      </c>
      <c r="J594"/>
      <c r="K594" t="inlineStr">
        <is>
          <t>写作素材</t>
        </is>
      </c>
      <c r="L594" t="inlineStr">
        <is>
          <t>🔥低粉爆款</t>
        </is>
      </c>
      <c r="M594" t="inlineStr">
        <is>
          <t>知言老师的店</t>
        </is>
      </c>
      <c r="N594">
        <v>308</v>
      </c>
      <c r="O594">
        <v>3.9</v>
      </c>
      <c r="P594">
        <v>3462</v>
      </c>
      <c r="Q594" t="inlineStr">
        <is>
          <t>67e577dd3d0cf4000155e47c</t>
        </is>
      </c>
      <c r="R594"/>
      <c r="S594" t="inlineStr">
        <is>
          <t>高中/高考资料</t>
        </is>
      </c>
      <c r="T594" t="inlineStr">
        <is>
          <t>3.40</t>
        </is>
      </c>
      <c r="U594" s="3">
        <v>46112.78107638889</v>
      </c>
      <c r="V594" t="inlineStr">
        <is>
          <t>虚拟产品</t>
        </is>
      </c>
      <c r="W594" s="3">
        <v>46034</v>
      </c>
      <c r="X594" t="inlineStr">
        <is>
          <t>01</t>
        </is>
      </c>
      <c r="Y594" t="inlineStr">
        <is>
          <t>2026-Q1</t>
        </is>
      </c>
    </row>
    <row r="595" ht="38.25" customHeight="1">
      <c r="A595" t="inlineStr">
        <is>
          <t>2025秋新小学语文三四五六年级同步作文写作素材积累好词好句好段</t>
        </is>
      </c>
      <c r="B595" t="inlineStr">
        <is>
          <t>__upload_recv83CeKu2D73.jpg</t>
        </is>
      </c>
      <c r="C595" s="2" t="str">
        <f>=HYPERLINK("https://xhslink.com/m/14ljGphSKxs", "https://xhslink.com/m/14ljGphSKxs")</f>
        <v>https://xhslink.com/m/14ljGphSKxs</v>
      </c>
      <c r="D595"/>
      <c r="E595">
        <v>866</v>
      </c>
      <c r="F595">
        <v>12.99</v>
      </c>
      <c r="G595"/>
      <c r="H595"/>
      <c r="I595">
        <v>300</v>
      </c>
      <c r="J595"/>
      <c r="K595" t="inlineStr">
        <is>
          <t>写作素材</t>
        </is>
      </c>
      <c r="L595"/>
      <c r="M595" t="inlineStr">
        <is>
          <t>群阁资料的店</t>
        </is>
      </c>
      <c r="N595">
        <v>631</v>
      </c>
      <c r="O595">
        <v>4.49</v>
      </c>
      <c r="P595">
        <v>4889</v>
      </c>
      <c r="Q595" t="inlineStr">
        <is>
          <t>689ede6711247e000126bcf6</t>
        </is>
      </c>
      <c r="R595"/>
      <c r="S595" t="inlineStr">
        <is>
          <t>中小学教辅/教材</t>
        </is>
      </c>
      <c r="T595" t="inlineStr">
        <is>
          <t>1.37</t>
        </is>
      </c>
      <c r="U595" s="3">
        <v>46112.78107638889</v>
      </c>
      <c r="V595" t="inlineStr">
        <is>
          <t>虚拟产品</t>
        </is>
      </c>
      <c r="W595" s="3">
        <v>46034</v>
      </c>
      <c r="X595" t="inlineStr">
        <is>
          <t>01</t>
        </is>
      </c>
      <c r="Y595" t="inlineStr">
        <is>
          <t>2026-Q1</t>
        </is>
      </c>
    </row>
    <row r="596" ht="38.25" customHeight="1">
      <c r="A596" t="inlineStr">
        <is>
          <t>初中语文作文提升资料</t>
        </is>
      </c>
      <c r="B596" t="inlineStr">
        <is>
          <t>__upload_recv83CeKuf9rq.jpg</t>
        </is>
      </c>
      <c r="C596" s="2" t="str">
        <f>=HYPERLINK("https://xhslink.com/m/7bhR9tLxqTu", "https://xhslink.com/m/7bhR9tLxqTu")</f>
        <v>https://xhslink.com/m/7bhR9tLxqTu</v>
      </c>
      <c r="D596"/>
      <c r="E596">
        <v>716</v>
      </c>
      <c r="F596">
        <v>9.9</v>
      </c>
      <c r="G596"/>
      <c r="H596"/>
      <c r="I596">
        <v>300</v>
      </c>
      <c r="J596"/>
      <c r="K596" t="inlineStr">
        <is>
          <t>写作素材</t>
        </is>
      </c>
      <c r="L596"/>
      <c r="M596" t="inlineStr">
        <is>
          <t>Amy老师的资料库的店</t>
        </is>
      </c>
      <c r="N596">
        <v>1476</v>
      </c>
      <c r="O596">
        <v>4.3</v>
      </c>
      <c r="P596">
        <v>12000</v>
      </c>
      <c r="Q596" t="inlineStr">
        <is>
          <t>6951e5cda751dc00013a8d41</t>
        </is>
      </c>
      <c r="R596" t="inlineStr">
        <is>
          <t>🚫重复</t>
        </is>
      </c>
      <c r="S596" t="inlineStr">
        <is>
          <t>中小学教辅/教材</t>
        </is>
      </c>
      <c r="T596" t="inlineStr">
        <is>
          <t>0.49</t>
        </is>
      </c>
      <c r="U596" s="3">
        <v>46112.78107638889</v>
      </c>
      <c r="V596" t="inlineStr">
        <is>
          <t>虚拟产品</t>
        </is>
      </c>
      <c r="W596" s="3">
        <v>46034</v>
      </c>
      <c r="X596" t="inlineStr">
        <is>
          <t>01</t>
        </is>
      </c>
      <c r="Y596" t="inlineStr">
        <is>
          <t>2026-Q1</t>
        </is>
      </c>
    </row>
    <row r="597" ht="38.25" customHeight="1">
      <c r="A597" t="inlineStr">
        <is>
          <t>其他 · 初中作文技巧提升系列课程 · 全部打包（含更新）</t>
        </is>
      </c>
      <c r="B597" t="inlineStr">
        <is>
          <t>__upload_recv83CeKujGvV.jpg</t>
        </is>
      </c>
      <c r="C597" s="2" t="str">
        <f>=HYPERLINK("https://xhslink.com/m/6dKvxUmgGrt", "https://xhslink.com/m/6dKvxUmgGrt")</f>
        <v>https://xhslink.com/m/6dKvxUmgGrt</v>
      </c>
      <c r="D597"/>
      <c r="E597">
        <v>722</v>
      </c>
      <c r="F597">
        <v>8.8</v>
      </c>
      <c r="G597"/>
      <c r="H597"/>
      <c r="I597">
        <v>600</v>
      </c>
      <c r="J597"/>
      <c r="K597" t="inlineStr">
        <is>
          <t>写作素材</t>
        </is>
      </c>
      <c r="L597"/>
      <c r="M597" t="inlineStr">
        <is>
          <t>灵儿老师的资料库的店</t>
        </is>
      </c>
      <c r="N597">
        <v>504</v>
      </c>
      <c r="O597">
        <v>3.96</v>
      </c>
      <c r="P597">
        <v>4961</v>
      </c>
      <c r="Q597" t="inlineStr">
        <is>
          <t>6914abef93e3a60001088bf4</t>
        </is>
      </c>
      <c r="R597" t="inlineStr">
        <is>
          <t>🚫重复</t>
        </is>
      </c>
      <c r="S597" t="inlineStr">
        <is>
          <t>中小学教辅/教材</t>
        </is>
      </c>
      <c r="T597" t="inlineStr">
        <is>
          <t>1.43</t>
        </is>
      </c>
      <c r="U597" s="3">
        <v>46112.78107638889</v>
      </c>
      <c r="V597" t="inlineStr">
        <is>
          <t>虚拟产品</t>
        </is>
      </c>
      <c r="W597" s="3">
        <v>46034</v>
      </c>
      <c r="X597" t="inlineStr">
        <is>
          <t>01</t>
        </is>
      </c>
      <c r="Y597" t="inlineStr">
        <is>
          <t>2026-Q1</t>
        </is>
      </c>
    </row>
    <row r="598" ht="38.25" customHeight="1">
      <c r="A598" t="inlineStr">
        <is>
          <t>中医基础理论复习笔记，电子版共23页</t>
        </is>
      </c>
      <c r="B598" t="inlineStr">
        <is>
          <t>__upload_recv83CeKulyPD.jpg</t>
        </is>
      </c>
      <c r="C598" s="2" t="str">
        <f>=HYPERLINK("https://xhslink.com/m/2vrpU59UcRj", "https://xhslink.com/m/2vrpU59UcRj")</f>
        <v>https://xhslink.com/m/2vrpU59UcRj</v>
      </c>
      <c r="D598"/>
      <c r="E598">
        <v>1111</v>
      </c>
      <c r="F598">
        <v>4.99</v>
      </c>
      <c r="G598"/>
      <c r="H598"/>
      <c r="I598">
        <v>300</v>
      </c>
      <c r="J598"/>
      <c r="K598" t="inlineStr">
        <is>
          <t>医学生笔记</t>
        </is>
      </c>
      <c r="L598"/>
      <c r="M598" t="inlineStr">
        <is>
          <t>橘之🍊的店</t>
        </is>
      </c>
      <c r="N598">
        <v>1768</v>
      </c>
      <c r="O598">
        <v>3.95</v>
      </c>
      <c r="P598">
        <v>7095</v>
      </c>
      <c r="Q598" t="inlineStr">
        <is>
          <t>675d5cc55677c90001dae6da</t>
        </is>
      </c>
      <c r="R598"/>
      <c r="S598" t="inlineStr">
        <is>
          <t>无匹配类别</t>
        </is>
      </c>
      <c r="T598" t="inlineStr">
        <is>
          <t>0.63</t>
        </is>
      </c>
      <c r="U598" s="3">
        <v>46112.78107638889</v>
      </c>
      <c r="V598" t="inlineStr">
        <is>
          <t>虚拟产品</t>
        </is>
      </c>
      <c r="W598" s="3">
        <v>46034</v>
      </c>
      <c r="X598" t="inlineStr">
        <is>
          <t>01</t>
        </is>
      </c>
      <c r="Y598" t="inlineStr">
        <is>
          <t>2026-Q1</t>
        </is>
      </c>
    </row>
    <row r="599" ht="38.25" customHeight="1">
      <c r="A599" t="inlineStr">
        <is>
          <t>2026年最新卫生系统招聘卫健委医疗编事业编考试题库APP</t>
        </is>
      </c>
      <c r="B599" t="inlineStr">
        <is>
          <t>__upload_recv83CeKuXjwm.jpg</t>
        </is>
      </c>
      <c r="C599" s="2" t="str">
        <f>=HYPERLINK("https://xhslink.com/m/9f3QrBFddGU", "https://xhslink.com/m/9f3QrBFddGU")</f>
        <v>https://xhslink.com/m/9f3QrBFddGU</v>
      </c>
      <c r="D599"/>
      <c r="E599">
        <v>7145</v>
      </c>
      <c r="F599">
        <v>18</v>
      </c>
      <c r="G599"/>
      <c r="H599"/>
      <c r="I599">
        <v>900</v>
      </c>
      <c r="J599"/>
      <c r="K599" t="inlineStr">
        <is>
          <t>临床医学</t>
        </is>
      </c>
      <c r="L599" t="inlineStr">
        <is>
          <t>🔥低粉爆款</t>
        </is>
      </c>
      <c r="M599" t="inlineStr">
        <is>
          <t>安夏宝藏的店</t>
        </is>
      </c>
      <c r="N599">
        <v>1464</v>
      </c>
      <c r="O599">
        <v>4.46</v>
      </c>
      <c r="P599">
        <v>9504</v>
      </c>
      <c r="Q599" t="inlineStr">
        <is>
          <t>671918e420671200019ef2c8</t>
        </is>
      </c>
      <c r="R599" t="inlineStr">
        <is>
          <t>🚫重复</t>
        </is>
      </c>
      <c r="S599" t="inlineStr">
        <is>
          <t>软件应用</t>
        </is>
      </c>
      <c r="T599" t="inlineStr">
        <is>
          <t>4.88</t>
        </is>
      </c>
      <c r="U599" s="3">
        <v>46112.78107638889</v>
      </c>
      <c r="V599" t="inlineStr">
        <is>
          <t>虚拟产品</t>
        </is>
      </c>
      <c r="W599" s="3">
        <v>46034</v>
      </c>
      <c r="X599" t="inlineStr">
        <is>
          <t>01</t>
        </is>
      </c>
      <c r="Y599" t="inlineStr">
        <is>
          <t>2026-Q1</t>
        </is>
      </c>
    </row>
    <row r="600" ht="38.25" customHeight="1">
      <c r="A600" t="inlineStr">
        <is>
          <t>卫生系统招聘卫健委事业编题库app</t>
        </is>
      </c>
      <c r="B600" t="inlineStr">
        <is>
          <t>__upload_recv83CeKuvD8J.jpg</t>
        </is>
      </c>
      <c r="C600" s="2" t="str">
        <f>=HYPERLINK("https://xhslink.com/m/AwMBZBz1ag0", "https://xhslink.com/m/AwMBZBz1ag0")</f>
        <v>https://xhslink.com/m/AwMBZBz1ag0</v>
      </c>
      <c r="D600"/>
      <c r="E600">
        <v>18000</v>
      </c>
      <c r="F600">
        <v>18.9</v>
      </c>
      <c r="G600"/>
      <c r="H600"/>
      <c r="I600">
        <v>2000</v>
      </c>
      <c r="J600"/>
      <c r="K600" t="inlineStr">
        <is>
          <t>临床医学</t>
        </is>
      </c>
      <c r="L600" t="inlineStr">
        <is>
          <t>🔥低粉爆款</t>
        </is>
      </c>
      <c r="M600" t="inlineStr">
        <is>
          <t>小倩学姐教育咨询的店</t>
        </is>
      </c>
      <c r="N600">
        <v>3714</v>
      </c>
      <c r="O600">
        <v>4.08</v>
      </c>
      <c r="P600">
        <v>21000</v>
      </c>
      <c r="Q600" t="inlineStr">
        <is>
          <t>672d9ad710adb50001c90379</t>
        </is>
      </c>
      <c r="R600" t="inlineStr">
        <is>
          <t>🚫重复</t>
        </is>
      </c>
      <c r="S600" t="inlineStr">
        <is>
          <t>软件应用</t>
        </is>
      </c>
      <c r="T600" t="inlineStr">
        <is>
          <t>4.85</t>
        </is>
      </c>
      <c r="U600" s="3">
        <v>46112.78107638889</v>
      </c>
      <c r="V600" t="inlineStr">
        <is>
          <t>虚拟产品</t>
        </is>
      </c>
      <c r="W600" s="3">
        <v>46034</v>
      </c>
      <c r="X600" t="inlineStr">
        <is>
          <t>01</t>
        </is>
      </c>
      <c r="Y600" t="inlineStr">
        <is>
          <t>2026-Q1</t>
        </is>
      </c>
    </row>
    <row r="601" ht="38.25" customHeight="1">
      <c r="A601" t="inlineStr">
        <is>
          <t>大学生职业生涯规划书《word》完整版电子文档可编辑</t>
        </is>
      </c>
      <c r="B601" t="inlineStr">
        <is>
          <t>__upload_recv83CeKulvKE.jpg</t>
        </is>
      </c>
      <c r="C601" s="2" t="str">
        <f>=HYPERLINK("https://xhslink.com/m/7IAz2GwvmUJ", "https://xhslink.com/m/7IAz2GwvmUJ")</f>
        <v>https://xhslink.com/m/7IAz2GwvmUJ</v>
      </c>
      <c r="D601"/>
      <c r="E601">
        <v>3794</v>
      </c>
      <c r="F601">
        <v>9.9</v>
      </c>
      <c r="G601"/>
      <c r="H601"/>
      <c r="I601">
        <v>700</v>
      </c>
      <c r="J601"/>
      <c r="K601" t="inlineStr">
        <is>
          <t>临床医学</t>
        </is>
      </c>
      <c r="L601"/>
      <c r="M601" t="inlineStr">
        <is>
          <t>洋洋学姐🧚（规划书）的店</t>
        </is>
      </c>
      <c r="N601">
        <v>10000</v>
      </c>
      <c r="O601">
        <v>4.02</v>
      </c>
      <c r="P601">
        <v>5018</v>
      </c>
      <c r="Q601" t="inlineStr">
        <is>
          <t>67a1d2f875ca3a00015d3b75</t>
        </is>
      </c>
      <c r="R601" t="inlineStr">
        <is>
          <t>🚫重复</t>
        </is>
      </c>
      <c r="S601" t="inlineStr">
        <is>
          <t>求职面试/职场</t>
        </is>
      </c>
      <c r="T601" t="inlineStr">
        <is>
          <t>0.38</t>
        </is>
      </c>
      <c r="U601" s="3">
        <v>46112.78107638889</v>
      </c>
      <c r="V601" t="inlineStr">
        <is>
          <t>虚拟产品</t>
        </is>
      </c>
      <c r="W601" s="3">
        <v>46034</v>
      </c>
      <c r="X601" t="inlineStr">
        <is>
          <t>01</t>
        </is>
      </c>
      <c r="Y601" t="inlineStr">
        <is>
          <t>2026-Q1</t>
        </is>
      </c>
    </row>
    <row r="602" ht="38.25" customHeight="1">
      <c r="A602" t="inlineStr">
        <is>
          <t>大学生职业生涯规划PPT 送配套规划书pdf/word 含内容 选编号下单</t>
        </is>
      </c>
      <c r="B602" t="inlineStr">
        <is>
          <t>__upload_recv83CeKuQ8YO.jpg</t>
        </is>
      </c>
      <c r="C602" s="2" t="str">
        <f>=HYPERLINK("https://xhslink.com/m/5ozPcKJqgYC", "https://xhslink.com/m/5ozPcKJqgYC")</f>
        <v>https://xhslink.com/m/5ozPcKJqgYC</v>
      </c>
      <c r="D602"/>
      <c r="E602">
        <v>2068</v>
      </c>
      <c r="F602">
        <v>4.99</v>
      </c>
      <c r="G602"/>
      <c r="H602"/>
      <c r="I602">
        <v>1000</v>
      </c>
      <c r="J602"/>
      <c r="K602" t="inlineStr">
        <is>
          <t>临床医学</t>
        </is>
      </c>
      <c r="L602"/>
      <c r="M602" t="inlineStr">
        <is>
          <t>麦子小姐ppt的店</t>
        </is>
      </c>
      <c r="N602">
        <v>23000</v>
      </c>
      <c r="O602">
        <v>4.45</v>
      </c>
      <c r="P602">
        <v>80000</v>
      </c>
      <c r="Q602" t="inlineStr">
        <is>
          <t>690084d14272610001769946</t>
        </is>
      </c>
      <c r="R602" t="inlineStr">
        <is>
          <t>🚫重复</t>
        </is>
      </c>
      <c r="S602" t="inlineStr">
        <is>
          <t>PPT模板</t>
        </is>
      </c>
      <c r="T602" t="inlineStr">
        <is>
          <t>0.09</t>
        </is>
      </c>
      <c r="U602" s="3">
        <v>46112.78107638889</v>
      </c>
      <c r="V602" t="inlineStr">
        <is>
          <t>虚拟产品</t>
        </is>
      </c>
      <c r="W602" s="3">
        <v>46034</v>
      </c>
      <c r="X602" t="inlineStr">
        <is>
          <t>01</t>
        </is>
      </c>
      <c r="Y602" t="inlineStr">
        <is>
          <t>2026-Q1</t>
        </is>
      </c>
    </row>
    <row r="603" ht="38.25" customHeight="1">
      <c r="A603" t="inlineStr">
        <is>
          <t>SCL90心理健康测试不退换焦虑抑郁压力依院版自动发货留意客服私</t>
        </is>
      </c>
      <c r="B603" t="inlineStr">
        <is>
          <t>__upload_recv83CeKuKKkU.jpg</t>
        </is>
      </c>
      <c r="C603" s="2" t="str">
        <f>=HYPERLINK("https://xhslink.com/m/71Oes6itI4g", "https://xhslink.com/m/71Oes6itI4g")</f>
        <v>https://xhslink.com/m/71Oes6itI4g</v>
      </c>
      <c r="D603"/>
      <c r="E603">
        <v>27000</v>
      </c>
      <c r="F603">
        <v>1.99</v>
      </c>
      <c r="G603"/>
      <c r="H603"/>
      <c r="I603">
        <v>20000</v>
      </c>
      <c r="J603"/>
      <c r="K603" t="inlineStr">
        <is>
          <t>心理健康</t>
        </is>
      </c>
      <c r="L603" t="inlineStr">
        <is>
          <t>🔥低粉爆款</t>
        </is>
      </c>
      <c r="M603" t="inlineStr">
        <is>
          <t>身心疗愈邮局的店</t>
        </is>
      </c>
      <c r="N603">
        <v>3413</v>
      </c>
      <c r="O603">
        <v>4.16</v>
      </c>
      <c r="P603">
        <v>94000</v>
      </c>
      <c r="Q603" t="inlineStr">
        <is>
          <t>68e085399176f50001029fbd</t>
        </is>
      </c>
      <c r="R603" t="inlineStr">
        <is>
          <t>🚫重复</t>
        </is>
      </c>
      <c r="S603" t="inlineStr">
        <is>
          <t>生活成长</t>
        </is>
      </c>
      <c r="T603" t="inlineStr">
        <is>
          <t>7.91</t>
        </is>
      </c>
      <c r="U603" s="3">
        <v>46112.78107638889</v>
      </c>
      <c r="V603" t="inlineStr">
        <is>
          <t>虚拟产品</t>
        </is>
      </c>
      <c r="W603" s="3">
        <v>46034</v>
      </c>
      <c r="X603" t="inlineStr">
        <is>
          <t>01</t>
        </is>
      </c>
      <c r="Y603" t="inlineStr">
        <is>
          <t>2026-Q1</t>
        </is>
      </c>
    </row>
    <row r="604" ht="38.25" customHeight="1">
      <c r="A604" t="inlineStr">
        <is>
          <t>心理测试SCL90·抑郁/焦虑多项测评·可重复测·下单两分钟自动发货</t>
        </is>
      </c>
      <c r="B604" t="inlineStr">
        <is>
          <t>__upload_recv83CeKuaaEO.jpg</t>
        </is>
      </c>
      <c r="C604" s="2" t="str">
        <f>=HYPERLINK("https://xhslink.com/m/ARCmbc1nhYx", "https://xhslink.com/m/ARCmbc1nhYx")</f>
        <v>https://xhslink.com/m/ARCmbc1nhYx</v>
      </c>
      <c r="D604"/>
      <c r="E604">
        <v>6668</v>
      </c>
      <c r="F604">
        <v>0.99</v>
      </c>
      <c r="G604"/>
      <c r="H604"/>
      <c r="I604">
        <v>2000</v>
      </c>
      <c r="J604"/>
      <c r="K604" t="inlineStr">
        <is>
          <t>心理健康</t>
        </is>
      </c>
      <c r="L604"/>
      <c r="M604" t="inlineStr">
        <is>
          <t>心灵宝藏的店</t>
        </is>
      </c>
      <c r="N604">
        <v>3065</v>
      </c>
      <c r="O604">
        <v>3.95</v>
      </c>
      <c r="P604">
        <v>6669</v>
      </c>
      <c r="Q604" t="inlineStr">
        <is>
          <t>68483c038a6cef00018d661b</t>
        </is>
      </c>
      <c r="R604"/>
      <c r="S604" t="inlineStr">
        <is>
          <t>生活成长</t>
        </is>
      </c>
      <c r="T604" t="inlineStr">
        <is>
          <t>2.18</t>
        </is>
      </c>
      <c r="U604" s="3">
        <v>46112.78107638889</v>
      </c>
      <c r="V604" t="inlineStr">
        <is>
          <t>虚拟产品</t>
        </is>
      </c>
      <c r="W604" s="3">
        <v>46034</v>
      </c>
      <c r="X604" t="inlineStr">
        <is>
          <t>01</t>
        </is>
      </c>
      <c r="Y604" t="inlineStr">
        <is>
          <t>2026-Q1</t>
        </is>
      </c>
    </row>
    <row r="605" ht="38.25" customHeight="1">
      <c r="A605" t="inlineStr">
        <is>
          <t>《心理健康课程》教学课件与教案丨单课程包（请注明课程名称）</t>
        </is>
      </c>
      <c r="B605" t="inlineStr">
        <is>
          <t>__upload_recv83CeKuL3ee.jpg</t>
        </is>
      </c>
      <c r="C605" s="2" t="str">
        <f>=HYPERLINK("https://xhslink.com/m/3XsEdKGfRGf", "https://xhslink.com/m/3XsEdKGfRGf")</f>
        <v>https://xhslink.com/m/3XsEdKGfRGf</v>
      </c>
      <c r="D605"/>
      <c r="E605">
        <v>5045</v>
      </c>
      <c r="F605">
        <v>9.9</v>
      </c>
      <c r="G605"/>
      <c r="H605"/>
      <c r="I605">
        <v>800</v>
      </c>
      <c r="J605"/>
      <c r="K605" t="inlineStr">
        <is>
          <t>心理健康</t>
        </is>
      </c>
      <c r="L605"/>
      <c r="M605" t="inlineStr">
        <is>
          <t>豸惠心理的店</t>
        </is>
      </c>
      <c r="N605">
        <v>2932</v>
      </c>
      <c r="O605">
        <v>4.36</v>
      </c>
      <c r="P605">
        <v>5211</v>
      </c>
      <c r="Q605" t="inlineStr">
        <is>
          <t>662a301e9caea10001a27c8b</t>
        </is>
      </c>
      <c r="R605"/>
      <c r="S605" t="inlineStr">
        <is>
          <t>中小学教辅/教材</t>
        </is>
      </c>
      <c r="T605" t="inlineStr">
        <is>
          <t>1.72</t>
        </is>
      </c>
      <c r="U605" s="3">
        <v>46112.78107638889</v>
      </c>
      <c r="V605" t="inlineStr">
        <is>
          <t>虚拟产品</t>
        </is>
      </c>
      <c r="W605" s="3">
        <v>46034</v>
      </c>
      <c r="X605" t="inlineStr">
        <is>
          <t>01</t>
        </is>
      </c>
      <c r="Y605" t="inlineStr">
        <is>
          <t>2026-Q1</t>
        </is>
      </c>
    </row>
    <row r="606" ht="38.25" customHeight="1">
      <c r="A606" t="inlineStr">
        <is>
          <t>中小学心理健康课（单课时包），包含心理PPT课件+逐字稿心理教案</t>
        </is>
      </c>
      <c r="B606" t="inlineStr">
        <is>
          <t>__upload_recv83CeKuJYtS.jpg</t>
        </is>
      </c>
      <c r="C606" s="2" t="str">
        <f>=HYPERLINK("https://xhslink.com/m/8SapuST6rt", "https://xhslink.com/m/8SapuST6rt")</f>
        <v>https://xhslink.com/m/8SapuST6rt</v>
      </c>
      <c r="D606"/>
      <c r="E606">
        <v>2082</v>
      </c>
      <c r="F606">
        <v>9.9</v>
      </c>
      <c r="G606"/>
      <c r="H606"/>
      <c r="I606">
        <v>500</v>
      </c>
      <c r="J606"/>
      <c r="K606" t="inlineStr">
        <is>
          <t>心理健康</t>
        </is>
      </c>
      <c r="L606"/>
      <c r="M606" t="inlineStr">
        <is>
          <t>心理老师备课资源库的店</t>
        </is>
      </c>
      <c r="N606">
        <v>697</v>
      </c>
      <c r="O606">
        <v>4.06</v>
      </c>
      <c r="P606">
        <v>2086</v>
      </c>
      <c r="Q606" t="inlineStr">
        <is>
          <t>67d77c64e15c91000139ab7f</t>
        </is>
      </c>
      <c r="R606"/>
      <c r="S606" t="inlineStr">
        <is>
          <t>中小学教辅/教材</t>
        </is>
      </c>
      <c r="T606" t="inlineStr">
        <is>
          <t>2.99</t>
        </is>
      </c>
      <c r="U606" s="3">
        <v>46112.78107638889</v>
      </c>
      <c r="V606" t="inlineStr">
        <is>
          <t>虚拟产品</t>
        </is>
      </c>
      <c r="W606" s="3">
        <v>46034</v>
      </c>
      <c r="X606" t="inlineStr">
        <is>
          <t>01</t>
        </is>
      </c>
      <c r="Y606" t="inlineStr">
        <is>
          <t>2026-Q1</t>
        </is>
      </c>
    </row>
    <row r="607" ht="38.25" customHeight="1">
      <c r="A607" t="inlineStr">
        <is>
          <t>【单份资料】点击选项选课_内容详见笔记  幼儿园公开课中班领域</t>
        </is>
      </c>
      <c r="B607" t="inlineStr">
        <is>
          <t>__upload_recv83CeKuUgLK.jpg</t>
        </is>
      </c>
      <c r="C607" s="2" t="str">
        <f>=HYPERLINK("https://xhslink.com/m/5bofPgd6SNk", "https://xhslink.com/m/5bofPgd6SNk")</f>
        <v>https://xhslink.com/m/5bofPgd6SNk</v>
      </c>
      <c r="D607"/>
      <c r="E607">
        <v>1682</v>
      </c>
      <c r="F607">
        <v>9.9</v>
      </c>
      <c r="G607"/>
      <c r="H607"/>
      <c r="I607">
        <v>1000</v>
      </c>
      <c r="J607"/>
      <c r="K607" t="inlineStr">
        <is>
          <t>心理健康</t>
        </is>
      </c>
      <c r="L607"/>
      <c r="M607" t="inlineStr">
        <is>
          <t>小鹿老师幼儿教育咨询的店</t>
        </is>
      </c>
      <c r="N607">
        <v>3545</v>
      </c>
      <c r="O607">
        <v>3.98</v>
      </c>
      <c r="P607">
        <v>18000</v>
      </c>
      <c r="Q607" t="inlineStr">
        <is>
          <t>6871093f0e13d50001523967</t>
        </is>
      </c>
      <c r="R607" t="inlineStr">
        <is>
          <t>🚫重复</t>
        </is>
      </c>
      <c r="S607" t="inlineStr">
        <is>
          <t>幼教资料</t>
        </is>
      </c>
      <c r="T607" t="inlineStr">
        <is>
          <t>0.47</t>
        </is>
      </c>
      <c r="U607" s="3">
        <v>46112.78107638889</v>
      </c>
      <c r="V607" t="inlineStr">
        <is>
          <t>虚拟产品</t>
        </is>
      </c>
      <c r="W607" s="3">
        <v>46034</v>
      </c>
      <c r="X607" t="inlineStr">
        <is>
          <t>01</t>
        </is>
      </c>
      <c r="Y607" t="inlineStr">
        <is>
          <t>2026-Q1</t>
        </is>
      </c>
    </row>
    <row r="608" ht="38.25" customHeight="1">
      <c r="A608" t="inlineStr">
        <is>
          <t>自动秒发货！幼相关PPT成品3（内容看主页笔记，已勾选直接拍）</t>
        </is>
      </c>
      <c r="B608" t="inlineStr">
        <is>
          <t>__upload_recv83CeKu0J3H.jpg</t>
        </is>
      </c>
      <c r="C608" s="2" t="str">
        <f>=HYPERLINK("https://xhslink.com/m/3YXr0cUpXL0", "https://xhslink.com/m/3YXr0cUpXL0")</f>
        <v>https://xhslink.com/m/3YXr0cUpXL0</v>
      </c>
      <c r="D608"/>
      <c r="E608">
        <v>1693</v>
      </c>
      <c r="F608">
        <v>6.66</v>
      </c>
      <c r="G608"/>
      <c r="H608"/>
      <c r="I608">
        <v>500</v>
      </c>
      <c r="J608"/>
      <c r="K608" t="inlineStr">
        <is>
          <t>心理健康</t>
        </is>
      </c>
      <c r="L608"/>
      <c r="M608" t="inlineStr">
        <is>
          <t>小纸盒PPT的店</t>
        </is>
      </c>
      <c r="N608">
        <v>11000</v>
      </c>
      <c r="O608">
        <v>3.91</v>
      </c>
      <c r="P608">
        <v>47000</v>
      </c>
      <c r="Q608" t="inlineStr">
        <is>
          <t>67ecf96ef0efe50001793ac0</t>
        </is>
      </c>
      <c r="R608" t="inlineStr">
        <is>
          <t>🚫重复</t>
        </is>
      </c>
      <c r="S608" t="inlineStr">
        <is>
          <t>PPT模板</t>
        </is>
      </c>
      <c r="T608" t="inlineStr">
        <is>
          <t>0.15</t>
        </is>
      </c>
      <c r="U608" s="3">
        <v>46112.78107638889</v>
      </c>
      <c r="V608" t="inlineStr">
        <is>
          <t>虚拟产品</t>
        </is>
      </c>
      <c r="W608" s="3">
        <v>46034</v>
      </c>
      <c r="X608" t="inlineStr">
        <is>
          <t>01</t>
        </is>
      </c>
      <c r="Y608" t="inlineStr">
        <is>
          <t>2026-Q1</t>
        </is>
      </c>
    </row>
    <row r="609" ht="38.25" customHeight="1">
      <c r="A609" t="inlineStr">
        <is>
          <t>按编号选PPT（自动发货）</t>
        </is>
      </c>
      <c r="B609" t="inlineStr">
        <is>
          <t>__upload_recv83CeKufqo7.jpg</t>
        </is>
      </c>
      <c r="C609" s="2" t="str">
        <f>=HYPERLINK("https://xhslink.com/m/4Y8omfQYqs3", "https://xhslink.com/m/4Y8omfQYqs3")</f>
        <v>https://xhslink.com/m/4Y8omfQYqs3</v>
      </c>
      <c r="D609"/>
      <c r="E609">
        <v>1580</v>
      </c>
      <c r="F609">
        <v>5</v>
      </c>
      <c r="G609"/>
      <c r="H609"/>
      <c r="I609">
        <v>600</v>
      </c>
      <c r="J609"/>
      <c r="K609" t="inlineStr">
        <is>
          <t>心理健康</t>
        </is>
      </c>
      <c r="L609"/>
      <c r="M609" t="inlineStr">
        <is>
          <t>小荷PPT的店</t>
        </is>
      </c>
      <c r="N609">
        <v>3856</v>
      </c>
      <c r="O609">
        <v>4.42</v>
      </c>
      <c r="P609">
        <v>7950</v>
      </c>
      <c r="Q609" t="inlineStr">
        <is>
          <t>690d65d91b78790001993148</t>
        </is>
      </c>
      <c r="R609"/>
      <c r="S609" t="inlineStr">
        <is>
          <t>PPT模板</t>
        </is>
      </c>
      <c r="T609" t="inlineStr">
        <is>
          <t>0.41</t>
        </is>
      </c>
      <c r="U609" s="3">
        <v>46112.78107638889</v>
      </c>
      <c r="V609" t="inlineStr">
        <is>
          <t>虚拟产品</t>
        </is>
      </c>
      <c r="W609" s="3">
        <v>46034</v>
      </c>
      <c r="X609" t="inlineStr">
        <is>
          <t>01</t>
        </is>
      </c>
      <c r="Y609" t="inlineStr">
        <is>
          <t>2026-Q1</t>
        </is>
      </c>
    </row>
    <row r="610" ht="38.25" customHeight="1">
      <c r="A610" t="inlineStr">
        <is>
          <t>高中心理健康教师资格证面试资料题本+教案+逐字稿+答辩89篇</t>
        </is>
      </c>
      <c r="B610" t="inlineStr">
        <is>
          <t>__upload_recv83CeKu9ZLY.jpg</t>
        </is>
      </c>
      <c r="C610" s="2" t="str">
        <f>=HYPERLINK("https://xhslink.com/m/AjKoKTx2MEQ", "https://xhslink.com/m/AjKoKTx2MEQ")</f>
        <v>https://xhslink.com/m/AjKoKTx2MEQ</v>
      </c>
      <c r="D610"/>
      <c r="E610">
        <v>1468</v>
      </c>
      <c r="F610">
        <v>9.99</v>
      </c>
      <c r="G610"/>
      <c r="H610"/>
      <c r="I610">
        <v>600</v>
      </c>
      <c r="J610"/>
      <c r="K610" t="inlineStr">
        <is>
          <t>心理健康</t>
        </is>
      </c>
      <c r="L610"/>
      <c r="M610" t="inlineStr">
        <is>
          <t>沐木（教资教招）的店</t>
        </is>
      </c>
      <c r="N610">
        <v>3299</v>
      </c>
      <c r="O610">
        <v>4.43</v>
      </c>
      <c r="P610">
        <v>9801</v>
      </c>
      <c r="Q610" t="inlineStr">
        <is>
          <t>6619d0d8abd099000125ecef</t>
        </is>
      </c>
      <c r="R610"/>
      <c r="S610" t="inlineStr">
        <is>
          <t>教资资料</t>
        </is>
      </c>
      <c r="T610" t="inlineStr">
        <is>
          <t>0.44</t>
        </is>
      </c>
      <c r="U610" s="3">
        <v>46112.78107638889</v>
      </c>
      <c r="V610" t="inlineStr">
        <is>
          <t>虚拟产品</t>
        </is>
      </c>
      <c r="W610" s="3">
        <v>46034</v>
      </c>
      <c r="X610" t="inlineStr">
        <is>
          <t>01</t>
        </is>
      </c>
      <c r="Y610" t="inlineStr">
        <is>
          <t>2026-Q1</t>
        </is>
      </c>
    </row>
    <row r="611" ht="38.25" customHeight="1">
      <c r="A611" t="inlineStr">
        <is>
          <t>主题班会【编号1-40】各类主题班会PPT课件中小学幼儿园课件</t>
        </is>
      </c>
      <c r="B611" t="inlineStr">
        <is>
          <t>__upload_recv83CeKuOrRt.jpg</t>
        </is>
      </c>
      <c r="C611" s="2" t="str">
        <f>=HYPERLINK("https://xhslink.com/m/93B6BUy2rnn", "https://xhslink.com/m/93B6BUy2rnn")</f>
        <v>https://xhslink.com/m/93B6BUy2rnn</v>
      </c>
      <c r="D611"/>
      <c r="E611">
        <v>1449</v>
      </c>
      <c r="F611">
        <v>4.9</v>
      </c>
      <c r="G611"/>
      <c r="H611"/>
      <c r="I611">
        <v>700</v>
      </c>
      <c r="J611"/>
      <c r="K611" t="inlineStr">
        <is>
          <t>心理健康</t>
        </is>
      </c>
      <c r="L611"/>
      <c r="M611" t="inlineStr">
        <is>
          <t>米老师PPT的店</t>
        </is>
      </c>
      <c r="N611">
        <v>1153</v>
      </c>
      <c r="O611">
        <v>4.33</v>
      </c>
      <c r="P611">
        <v>11000</v>
      </c>
      <c r="Q611" t="inlineStr">
        <is>
          <t>67be79ee9759260001ab79ca</t>
        </is>
      </c>
      <c r="R611" t="inlineStr">
        <is>
          <t>🚫重复</t>
        </is>
      </c>
      <c r="S611" t="inlineStr">
        <is>
          <t>中小学教辅/教材</t>
        </is>
      </c>
      <c r="T611" t="inlineStr">
        <is>
          <t>1.26</t>
        </is>
      </c>
      <c r="U611" s="3">
        <v>46112.78107638889</v>
      </c>
      <c r="V611" t="inlineStr">
        <is>
          <t>虚拟产品</t>
        </is>
      </c>
      <c r="W611" s="3">
        <v>46034</v>
      </c>
      <c r="X611" t="inlineStr">
        <is>
          <t>01</t>
        </is>
      </c>
      <c r="Y611" t="inlineStr">
        <is>
          <t>2026-Q1</t>
        </is>
      </c>
    </row>
    <row r="612" ht="38.25" customHeight="1">
      <c r="A612" t="inlineStr">
        <is>
          <t>F图片同款PPT一份｜虚拟资料发出后不可退换</t>
        </is>
      </c>
      <c r="B612" t="inlineStr">
        <is>
          <t>__upload_recv83CeKuPBfL.jpg</t>
        </is>
      </c>
      <c r="C612" s="2" t="str">
        <f>=HYPERLINK("https://xhslink.com/m/4s8sAKFqxNA", "https://xhslink.com/m/4s8sAKFqxNA")</f>
        <v>https://xhslink.com/m/4s8sAKFqxNA</v>
      </c>
      <c r="D612"/>
      <c r="E612">
        <v>1344</v>
      </c>
      <c r="F612">
        <v>6</v>
      </c>
      <c r="G612"/>
      <c r="H612"/>
      <c r="I612">
        <v>500</v>
      </c>
      <c r="J612"/>
      <c r="K612" t="inlineStr">
        <is>
          <t>心理健康</t>
        </is>
      </c>
      <c r="L612"/>
      <c r="M612" t="inlineStr">
        <is>
          <t>小达人的店</t>
        </is>
      </c>
      <c r="N612">
        <v>5082</v>
      </c>
      <c r="O612">
        <v>3.93</v>
      </c>
      <c r="P612">
        <v>3586</v>
      </c>
      <c r="Q612" t="inlineStr">
        <is>
          <t>67810b6677d41e00012c878a</t>
        </is>
      </c>
      <c r="R612" t="inlineStr">
        <is>
          <t>🚫重复</t>
        </is>
      </c>
      <c r="S612" t="inlineStr">
        <is>
          <t>PPT模板</t>
        </is>
      </c>
      <c r="T612" t="inlineStr">
        <is>
          <t>0.26</t>
        </is>
      </c>
      <c r="U612" s="3">
        <v>46112.78107638889</v>
      </c>
      <c r="V612" t="inlineStr">
        <is>
          <t>虚拟产品</t>
        </is>
      </c>
      <c r="W612" s="3">
        <v>46034</v>
      </c>
      <c r="X612" t="inlineStr">
        <is>
          <t>01</t>
        </is>
      </c>
      <c r="Y612" t="inlineStr">
        <is>
          <t>2026-Q1</t>
        </is>
      </c>
    </row>
    <row r="613" ht="38.25" customHeight="1">
      <c r="A613" t="inlineStr">
        <is>
          <t>秒发货！公益宣讲PPT成品1（内容看主页笔记）</t>
        </is>
      </c>
      <c r="B613" t="inlineStr">
        <is>
          <t>__upload_recv83CeKurOdG.jpg</t>
        </is>
      </c>
      <c r="C613" s="2" t="str">
        <f>=HYPERLINK("https://xhslink.com/m/1VUh5FudVbO", "https://xhslink.com/m/1VUh5FudVbO")</f>
        <v>https://xhslink.com/m/1VUh5FudVbO</v>
      </c>
      <c r="D613"/>
      <c r="E613">
        <v>1148</v>
      </c>
      <c r="F613">
        <v>6.66</v>
      </c>
      <c r="G613"/>
      <c r="H613"/>
      <c r="I613">
        <v>300</v>
      </c>
      <c r="J613"/>
      <c r="K613" t="inlineStr">
        <is>
          <t>心理健康</t>
        </is>
      </c>
      <c r="L613"/>
      <c r="M613" t="inlineStr">
        <is>
          <t>冰糖雪梨PPT的店</t>
        </is>
      </c>
      <c r="N613">
        <v>1188</v>
      </c>
      <c r="O613">
        <v>3.71</v>
      </c>
      <c r="P613">
        <v>8232</v>
      </c>
      <c r="Q613" t="inlineStr">
        <is>
          <t>67811480f8252400013d5e0e</t>
        </is>
      </c>
      <c r="R613"/>
      <c r="S613" t="inlineStr">
        <is>
          <t>PPT模板</t>
        </is>
      </c>
      <c r="T613" t="inlineStr">
        <is>
          <t>0.97</t>
        </is>
      </c>
      <c r="U613" s="3">
        <v>46112.78107638889</v>
      </c>
      <c r="V613" t="inlineStr">
        <is>
          <t>虚拟产品</t>
        </is>
      </c>
      <c r="W613" s="3">
        <v>46034</v>
      </c>
      <c r="X613" t="inlineStr">
        <is>
          <t>01</t>
        </is>
      </c>
      <c r="Y613" t="inlineStr">
        <is>
          <t>2026-Q1</t>
        </is>
      </c>
    </row>
    <row r="614" ht="38.25" customHeight="1">
      <c r="A614" t="inlineStr">
        <is>
          <t>【01】笔记同款成品PPT课件模板，【秒发百度网盘】</t>
        </is>
      </c>
      <c r="B614" t="inlineStr">
        <is>
          <t>__upload_recv83CeKu7cVd.jpg</t>
        </is>
      </c>
      <c r="C614" s="2" t="str">
        <f>=HYPERLINK("https://xhslink.com/m/7k9XEU6CcL9", "https://xhslink.com/m/7k9XEU6CcL9")</f>
        <v>https://xhslink.com/m/7k9XEU6CcL9</v>
      </c>
      <c r="D614"/>
      <c r="E614">
        <v>1121</v>
      </c>
      <c r="F614">
        <v>5</v>
      </c>
      <c r="G614"/>
      <c r="H614"/>
      <c r="I614">
        <v>300</v>
      </c>
      <c r="J614"/>
      <c r="K614" t="inlineStr">
        <is>
          <t>心理健康</t>
        </is>
      </c>
      <c r="L614"/>
      <c r="M614" t="inlineStr">
        <is>
          <t>小哪吒三头六臂的店</t>
        </is>
      </c>
      <c r="N614">
        <v>1329</v>
      </c>
      <c r="O614">
        <v>4.05</v>
      </c>
      <c r="P614">
        <v>3376</v>
      </c>
      <c r="Q614" t="inlineStr">
        <is>
          <t>677d5854041cf30001d8e80f</t>
        </is>
      </c>
      <c r="R614"/>
      <c r="S614" t="inlineStr">
        <is>
          <t>PPT模板</t>
        </is>
      </c>
      <c r="T614" t="inlineStr">
        <is>
          <t>0.84</t>
        </is>
      </c>
      <c r="U614" s="3">
        <v>46112.78107638889</v>
      </c>
      <c r="V614" t="inlineStr">
        <is>
          <t>虚拟产品</t>
        </is>
      </c>
      <c r="W614" s="3">
        <v>46034</v>
      </c>
      <c r="X614" t="inlineStr">
        <is>
          <t>01</t>
        </is>
      </c>
      <c r="Y614" t="inlineStr">
        <is>
          <t>2026-Q1</t>
        </is>
      </c>
    </row>
    <row r="615" ht="38.25" customHeight="1">
      <c r="A615" t="inlineStr">
        <is>
          <t>做情绪的主人PPT/情绪管理/心理健康</t>
        </is>
      </c>
      <c r="B615" t="inlineStr">
        <is>
          <t>__upload_recv83CeKuNfUI.jpg</t>
        </is>
      </c>
      <c r="C615" s="2" t="str">
        <f>=HYPERLINK("https://xhslink.com/m/76Aro8HECh9", "https://xhslink.com/m/76Aro8HECh9")</f>
        <v>https://xhslink.com/m/76Aro8HECh9</v>
      </c>
      <c r="D615"/>
      <c r="E615">
        <v>1066</v>
      </c>
      <c r="F615">
        <v>9.9</v>
      </c>
      <c r="G615"/>
      <c r="H615"/>
      <c r="I615">
        <v>600</v>
      </c>
      <c r="J615"/>
      <c r="K615" t="inlineStr">
        <is>
          <t>心理健康</t>
        </is>
      </c>
      <c r="L615"/>
      <c r="M615" t="inlineStr">
        <is>
          <t>一颗番茄老师的店</t>
        </is>
      </c>
      <c r="N615">
        <v>1930</v>
      </c>
      <c r="O615">
        <v>4.39</v>
      </c>
      <c r="P615">
        <v>9102</v>
      </c>
      <c r="Q615" t="inlineStr">
        <is>
          <t>6835e0faf078780001c8f1a0</t>
        </is>
      </c>
      <c r="R615"/>
      <c r="S615" t="inlineStr">
        <is>
          <t>PPT模板</t>
        </is>
      </c>
      <c r="T615" t="inlineStr">
        <is>
          <t>0.55</t>
        </is>
      </c>
      <c r="U615" s="3">
        <v>46112.78107638889</v>
      </c>
      <c r="V615" t="inlineStr">
        <is>
          <t>虚拟产品</t>
        </is>
      </c>
      <c r="W615" s="3">
        <v>46034</v>
      </c>
      <c r="X615" t="inlineStr">
        <is>
          <t>01</t>
        </is>
      </c>
      <c r="Y615" t="inlineStr">
        <is>
          <t>2026-Q1</t>
        </is>
      </c>
    </row>
    <row r="616" ht="38.25" customHeight="1">
      <c r="A616" t="inlineStr">
        <is>
          <t>心理课｜中学生｜爱你老己｜课件｜年末心理课｜自我关怀</t>
        </is>
      </c>
      <c r="B616" t="inlineStr">
        <is>
          <t>__upload_recv83CeKujEqH.jpg</t>
        </is>
      </c>
      <c r="C616" s="2" t="str">
        <f>=HYPERLINK("https://xhslink.com/m/92U4cYgB4Cz", "https://xhslink.com/m/92U4cYgB4Cz")</f>
        <v>https://xhslink.com/m/92U4cYgB4Cz</v>
      </c>
      <c r="D616"/>
      <c r="E616">
        <v>969</v>
      </c>
      <c r="F616">
        <v>5.9</v>
      </c>
      <c r="G616"/>
      <c r="H616"/>
      <c r="I616">
        <v>900</v>
      </c>
      <c r="J616"/>
      <c r="K616" t="inlineStr">
        <is>
          <t>心理健康</t>
        </is>
      </c>
      <c r="L616"/>
      <c r="M616" t="inlineStr">
        <is>
          <t>关关是个教心匠的店</t>
        </is>
      </c>
      <c r="N616">
        <v>3364</v>
      </c>
      <c r="O616">
        <v>4.01</v>
      </c>
      <c r="P616">
        <v>1510</v>
      </c>
      <c r="Q616" t="inlineStr">
        <is>
          <t>6943e088ae586c00015ceaf9</t>
        </is>
      </c>
      <c r="R616"/>
      <c r="S616" t="inlineStr">
        <is>
          <t>中小学教辅/教材</t>
        </is>
      </c>
      <c r="T616" t="inlineStr">
        <is>
          <t>0.29</t>
        </is>
      </c>
      <c r="U616" s="3">
        <v>46112.78107638889</v>
      </c>
      <c r="V616" t="inlineStr">
        <is>
          <t>虚拟产品</t>
        </is>
      </c>
      <c r="W616" s="3">
        <v>46034</v>
      </c>
      <c r="X616" t="inlineStr">
        <is>
          <t>01</t>
        </is>
      </c>
      <c r="Y616" t="inlineStr">
        <is>
          <t>2026-Q1</t>
        </is>
      </c>
    </row>
    <row r="617" ht="38.25" customHeight="1">
      <c r="A617" t="inlineStr">
        <is>
          <t>心理课 | 喜剧赏析课（初中以上</t>
        </is>
      </c>
      <c r="B617" t="inlineStr">
        <is>
          <t>__upload_recv83CeKuR6s7.jpg</t>
        </is>
      </c>
      <c r="C617" s="2" t="str">
        <f>=HYPERLINK("https://xhslink.com/m/5K8Sza2kB2w", "https://xhslink.com/m/5K8Sza2kB2w")</f>
        <v>https://xhslink.com/m/5K8Sza2kB2w</v>
      </c>
      <c r="D617"/>
      <c r="E617">
        <v>952</v>
      </c>
      <c r="F617">
        <v>6</v>
      </c>
      <c r="G617"/>
      <c r="H617"/>
      <c r="I617">
        <v>700</v>
      </c>
      <c r="J617"/>
      <c r="K617" t="inlineStr">
        <is>
          <t>心理健康</t>
        </is>
      </c>
      <c r="L617"/>
      <c r="M617" t="inlineStr">
        <is>
          <t>木月一心的店</t>
        </is>
      </c>
      <c r="N617">
        <v>6518</v>
      </c>
      <c r="O617">
        <v>3.9</v>
      </c>
      <c r="P617">
        <v>1633</v>
      </c>
      <c r="Q617" t="inlineStr">
        <is>
          <t>68d8c45e8aa576000165dd12</t>
        </is>
      </c>
      <c r="R617"/>
      <c r="S617" t="inlineStr">
        <is>
          <t>中小学教辅/教材</t>
        </is>
      </c>
      <c r="T617" t="inlineStr">
        <is>
          <t>0.15</t>
        </is>
      </c>
      <c r="U617" s="3">
        <v>46112.78107638889</v>
      </c>
      <c r="V617" t="inlineStr">
        <is>
          <t>虚拟产品</t>
        </is>
      </c>
      <c r="W617" s="3">
        <v>46034</v>
      </c>
      <c r="X617" t="inlineStr">
        <is>
          <t>01</t>
        </is>
      </c>
      <c r="Y617" t="inlineStr">
        <is>
          <t>2026-Q1</t>
        </is>
      </c>
    </row>
    <row r="618" ht="38.25" customHeight="1">
      <c r="A618" t="inlineStr">
        <is>
          <t>【A06】主题班会成品-笔记中的同款PPT课件模板【秒发百度网盘】</t>
        </is>
      </c>
      <c r="B618" t="inlineStr">
        <is>
          <t>__upload_recv83CeKui2jV.jpg</t>
        </is>
      </c>
      <c r="C618" s="2" t="str">
        <f>=HYPERLINK("https://xhslink.com/m/Al86WpBP54l", "https://xhslink.com/m/Al86WpBP54l")</f>
        <v>https://xhslink.com/m/Al86WpBP54l</v>
      </c>
      <c r="D618"/>
      <c r="E618">
        <v>926</v>
      </c>
      <c r="F618">
        <v>5.98</v>
      </c>
      <c r="G618"/>
      <c r="H618"/>
      <c r="I618">
        <v>300</v>
      </c>
      <c r="J618"/>
      <c r="K618" t="inlineStr">
        <is>
          <t>心理健康</t>
        </is>
      </c>
      <c r="L618"/>
      <c r="M618" t="inlineStr">
        <is>
          <t>金老师PPT的店</t>
        </is>
      </c>
      <c r="N618">
        <v>11000</v>
      </c>
      <c r="O618">
        <v>4.37</v>
      </c>
      <c r="P618">
        <v>51000</v>
      </c>
      <c r="Q618" t="inlineStr">
        <is>
          <t>684f7e4fe3213400013b270e</t>
        </is>
      </c>
      <c r="R618" t="inlineStr">
        <is>
          <t>🚫重复</t>
        </is>
      </c>
      <c r="S618" t="inlineStr">
        <is>
          <t>PPT模板</t>
        </is>
      </c>
      <c r="T618" t="inlineStr">
        <is>
          <t>0.08</t>
        </is>
      </c>
      <c r="U618" s="3">
        <v>46112.78107638889</v>
      </c>
      <c r="V618" t="inlineStr">
        <is>
          <t>虚拟产品</t>
        </is>
      </c>
      <c r="W618" s="3">
        <v>46034</v>
      </c>
      <c r="X618" t="inlineStr">
        <is>
          <t>01</t>
        </is>
      </c>
      <c r="Y618" t="inlineStr">
        <is>
          <t>2026-Q1</t>
        </is>
      </c>
    </row>
    <row r="619" ht="38.25" customHeight="1">
      <c r="A619" t="inlineStr">
        <is>
          <t>小学心理健康教育一二三四五六年级教案+课件PPT</t>
        </is>
      </c>
      <c r="B619" t="inlineStr">
        <is>
          <t>__upload_recv83CeKuZHje.jpg</t>
        </is>
      </c>
      <c r="C619" s="2" t="str">
        <f>=HYPERLINK("https://xhslink.com/m/A0ZlFZG5rx8", "https://xhslink.com/m/A0ZlFZG5rx8")</f>
        <v>https://xhslink.com/m/A0ZlFZG5rx8</v>
      </c>
      <c r="D619"/>
      <c r="E619">
        <v>872</v>
      </c>
      <c r="F619">
        <v>5.9</v>
      </c>
      <c r="G619"/>
      <c r="H619"/>
      <c r="I619">
        <v>500</v>
      </c>
      <c r="J619"/>
      <c r="K619" t="inlineStr">
        <is>
          <t>心理健康</t>
        </is>
      </c>
      <c r="L619"/>
      <c r="M619" t="inlineStr">
        <is>
          <t>畅畅爱学习的店</t>
        </is>
      </c>
      <c r="N619">
        <v>940</v>
      </c>
      <c r="O619">
        <v>3.96</v>
      </c>
      <c r="P619">
        <v>2354</v>
      </c>
      <c r="Q619" t="inlineStr">
        <is>
          <t>67d0510b29b9f700014d309e</t>
        </is>
      </c>
      <c r="R619"/>
      <c r="S619" t="inlineStr">
        <is>
          <t>中小学教辅/教材</t>
        </is>
      </c>
      <c r="T619" t="inlineStr">
        <is>
          <t>0.93</t>
        </is>
      </c>
      <c r="U619" s="3">
        <v>46112.78107638889</v>
      </c>
      <c r="V619" t="inlineStr">
        <is>
          <t>虚拟产品</t>
        </is>
      </c>
      <c r="W619" s="3">
        <v>46034</v>
      </c>
      <c r="X619" t="inlineStr">
        <is>
          <t>01</t>
        </is>
      </c>
      <c r="Y619" t="inlineStr">
        <is>
          <t>2026-Q1</t>
        </is>
      </c>
    </row>
    <row r="620" ht="38.25" customHeight="1">
      <c r="A620" t="inlineStr">
        <is>
          <t>【YC144·19页】可爱治愈风心理健康教育——顶住“鸭”力ppt模板</t>
        </is>
      </c>
      <c r="B620" t="inlineStr">
        <is>
          <t>__upload_recv83CeKuGl0q.jpg</t>
        </is>
      </c>
      <c r="C620" s="2" t="str">
        <f>=HYPERLINK("https://xhslink.com/m/3kgddZ22tWW", "https://xhslink.com/m/3kgddZ22tWW")</f>
        <v>https://xhslink.com/m/3kgddZ22tWW</v>
      </c>
      <c r="D620"/>
      <c r="E620">
        <v>808</v>
      </c>
      <c r="F620">
        <v>6.99</v>
      </c>
      <c r="G620"/>
      <c r="H620"/>
      <c r="I620">
        <v>400</v>
      </c>
      <c r="J620"/>
      <c r="K620" t="inlineStr">
        <is>
          <t>心理健康</t>
        </is>
      </c>
      <c r="L620"/>
      <c r="M620" t="inlineStr">
        <is>
          <t>裳萤PPT的店</t>
        </is>
      </c>
      <c r="N620">
        <v>3727</v>
      </c>
      <c r="O620">
        <v>3.89</v>
      </c>
      <c r="P620">
        <v>21000</v>
      </c>
      <c r="Q620" t="inlineStr">
        <is>
          <t>68240c2281f9bc000196a9e8</t>
        </is>
      </c>
      <c r="R620"/>
      <c r="S620" t="inlineStr">
        <is>
          <t>PPT模板</t>
        </is>
      </c>
      <c r="T620" t="inlineStr">
        <is>
          <t>0.22</t>
        </is>
      </c>
      <c r="U620" s="3">
        <v>46112.78107638889</v>
      </c>
      <c r="V620" t="inlineStr">
        <is>
          <t>虚拟产品</t>
        </is>
      </c>
      <c r="W620" s="3">
        <v>46034</v>
      </c>
      <c r="X620" t="inlineStr">
        <is>
          <t>01</t>
        </is>
      </c>
      <c r="Y620" t="inlineStr">
        <is>
          <t>2026-Q1</t>
        </is>
      </c>
    </row>
    <row r="621" ht="38.25" customHeight="1">
      <c r="A621" t="inlineStr">
        <is>
          <t>备婚清单！超全！好用！</t>
        </is>
      </c>
      <c r="B621" t="inlineStr">
        <is>
          <t>__upload_recv83CeKuJ4BM.jpg</t>
        </is>
      </c>
      <c r="C621" s="2" t="str">
        <f>=HYPERLINK("https://xhslink.com/m/2CpPAYNG4j3", "https://xhslink.com/m/2CpPAYNG4j3")</f>
        <v>https://xhslink.com/m/2CpPAYNG4j3</v>
      </c>
      <c r="D621"/>
      <c r="E621">
        <v>708</v>
      </c>
      <c r="F621">
        <v>0.99</v>
      </c>
      <c r="G621"/>
      <c r="H621"/>
      <c r="I621">
        <v>300</v>
      </c>
      <c r="J621"/>
      <c r="K621" t="inlineStr">
        <is>
          <t>备婚清单</t>
        </is>
      </c>
      <c r="L621" t="inlineStr">
        <is>
          <t>🔥低粉爆款</t>
        </is>
      </c>
      <c r="M621" t="inlineStr">
        <is>
          <t>甜柿子Persimmon的店</t>
        </is>
      </c>
      <c r="N621">
        <v>91</v>
      </c>
      <c r="O621">
        <v>4</v>
      </c>
      <c r="P621">
        <v>724</v>
      </c>
      <c r="Q621" t="inlineStr">
        <is>
          <t>68623d96f89aa50001a254c1</t>
        </is>
      </c>
      <c r="R621"/>
      <c r="S621" t="inlineStr">
        <is>
          <t>生活成长</t>
        </is>
      </c>
      <c r="T621" t="inlineStr">
        <is>
          <t>7.78</t>
        </is>
      </c>
      <c r="U621" s="3">
        <v>46112.78107638889</v>
      </c>
      <c r="V621" t="inlineStr">
        <is>
          <t>虚拟产品</t>
        </is>
      </c>
      <c r="W621" s="3">
        <v>46034</v>
      </c>
      <c r="X621" t="inlineStr">
        <is>
          <t>01</t>
        </is>
      </c>
      <c r="Y621" t="inlineStr">
        <is>
          <t>2026-Q1</t>
        </is>
      </c>
    </row>
    <row r="622" ht="38.25" customHeight="1">
      <c r="A622" t="inlineStr">
        <is>
          <t>高中高三高考总复习知识解题技巧归纳总结教程资料提分课程重点</t>
        </is>
      </c>
      <c r="B622" t="inlineStr">
        <is>
          <t>__upload_recv83CeKuhCB6.jpg</t>
        </is>
      </c>
      <c r="C622" s="2" t="str">
        <f>=HYPERLINK("https://xhslink.com/m/2EYNykgW9NC", "https://xhslink.com/m/2EYNykgW9NC")</f>
        <v>https://xhslink.com/m/2EYNykgW9NC</v>
      </c>
      <c r="D622"/>
      <c r="E622">
        <v>17000</v>
      </c>
      <c r="F622">
        <v>9.8</v>
      </c>
      <c r="G622"/>
      <c r="H622"/>
      <c r="I622">
        <v>800</v>
      </c>
      <c r="J622"/>
      <c r="K622" t="inlineStr">
        <is>
          <t>高中英语</t>
        </is>
      </c>
      <c r="L622"/>
      <c r="M622" t="inlineStr">
        <is>
          <t>发发的高中资料库的店</t>
        </is>
      </c>
      <c r="N622">
        <v>16000</v>
      </c>
      <c r="O622">
        <v>4.43</v>
      </c>
      <c r="P622">
        <v>50000</v>
      </c>
      <c r="Q622" t="inlineStr">
        <is>
          <t>6607d2b65c3c5a000156f289</t>
        </is>
      </c>
      <c r="R622" t="inlineStr">
        <is>
          <t>🚫重复</t>
        </is>
      </c>
      <c r="S622" t="inlineStr">
        <is>
          <t>高中/高考资料</t>
        </is>
      </c>
      <c r="T622" t="inlineStr">
        <is>
          <t>1.06</t>
        </is>
      </c>
      <c r="U622" s="3">
        <v>46112.78107638889</v>
      </c>
      <c r="V622" t="inlineStr">
        <is>
          <t>虚拟产品</t>
        </is>
      </c>
      <c r="W622" s="3">
        <v>46034</v>
      </c>
      <c r="X622" t="inlineStr">
        <is>
          <t>01</t>
        </is>
      </c>
      <c r="Y622" t="inlineStr">
        <is>
          <t>2026-Q1</t>
        </is>
      </c>
    </row>
    <row r="623" ht="38.25" customHeight="1">
      <c r="A623" t="inlineStr">
        <is>
          <t>新人教版教资用高中各科语数英物理化学生物历史政治地理教案学案</t>
        </is>
      </c>
      <c r="B623" t="inlineStr">
        <is>
          <t>__upload_recv83CeKu5ira.jpg</t>
        </is>
      </c>
      <c r="C623" s="2" t="str">
        <f>=HYPERLINK("https://xhslink.com/m/3RvgknOMOT5", "https://xhslink.com/m/3RvgknOMOT5")</f>
        <v>https://xhslink.com/m/3RvgknOMOT5</v>
      </c>
      <c r="D623"/>
      <c r="E623">
        <v>12000</v>
      </c>
      <c r="F623">
        <v>26.8</v>
      </c>
      <c r="G623"/>
      <c r="H623"/>
      <c r="I623">
        <v>1000</v>
      </c>
      <c r="J623"/>
      <c r="K623" t="inlineStr">
        <is>
          <t>高中英语</t>
        </is>
      </c>
      <c r="L623"/>
      <c r="M623" t="inlineStr">
        <is>
          <t>佛系的曾老师的店</t>
        </is>
      </c>
      <c r="N623">
        <v>6300</v>
      </c>
      <c r="O623">
        <v>4.01</v>
      </c>
      <c r="P623">
        <v>27000</v>
      </c>
      <c r="Q623" t="inlineStr">
        <is>
          <t>6688a3b1d2166e00017fe87d</t>
        </is>
      </c>
      <c r="R623" t="inlineStr">
        <is>
          <t>🚫重复</t>
        </is>
      </c>
      <c r="S623" t="inlineStr">
        <is>
          <t>教资资料</t>
        </is>
      </c>
      <c r="T623" t="inlineStr">
        <is>
          <t>1.90</t>
        </is>
      </c>
      <c r="U623" s="3">
        <v>46112.78107638889</v>
      </c>
      <c r="V623" t="inlineStr">
        <is>
          <t>虚拟产品</t>
        </is>
      </c>
      <c r="W623" s="3">
        <v>46034</v>
      </c>
      <c r="X623" t="inlineStr">
        <is>
          <t>01</t>
        </is>
      </c>
      <c r="Y623" t="inlineStr">
        <is>
          <t>2026-Q1</t>
        </is>
      </c>
    </row>
    <row r="624" ht="38.25" customHeight="1">
      <c r="A624" t="inlineStr">
        <is>
          <t>（初中/高中）英语教资面试/笔试（逐字稿+知识点+思维导图）PDF</t>
        </is>
      </c>
      <c r="B624" t="inlineStr">
        <is>
          <t>__upload_recv83CeKumDye.jpg</t>
        </is>
      </c>
      <c r="C624" s="2" t="str">
        <f>=HYPERLINK("https://xhslink.com/m/1fZWIWgPpwB", "https://xhslink.com/m/1fZWIWgPpwB")</f>
        <v>https://xhslink.com/m/1fZWIWgPpwB</v>
      </c>
      <c r="D624"/>
      <c r="E624">
        <v>12000</v>
      </c>
      <c r="F624">
        <v>19.9</v>
      </c>
      <c r="G624"/>
      <c r="H624"/>
      <c r="I624">
        <v>3000</v>
      </c>
      <c r="J624"/>
      <c r="K624" t="inlineStr">
        <is>
          <t>高中英语</t>
        </is>
      </c>
      <c r="L624"/>
      <c r="M624" t="inlineStr">
        <is>
          <t>藕泥没有酱（教资＋MTI🍀）的店</t>
        </is>
      </c>
      <c r="N624">
        <v>50000</v>
      </c>
      <c r="O624">
        <v>4.6</v>
      </c>
      <c r="P624">
        <v>14000</v>
      </c>
      <c r="Q624" t="inlineStr">
        <is>
          <t>67b97d9c49f1f10001445703</t>
        </is>
      </c>
      <c r="R624" t="inlineStr">
        <is>
          <t>🚫重复</t>
        </is>
      </c>
      <c r="S624" t="inlineStr">
        <is>
          <t>教资资料</t>
        </is>
      </c>
      <c r="T624" t="inlineStr">
        <is>
          <t>0.24</t>
        </is>
      </c>
      <c r="U624" s="3">
        <v>46112.78107638889</v>
      </c>
      <c r="V624" t="inlineStr">
        <is>
          <t>虚拟产品</t>
        </is>
      </c>
      <c r="W624" s="3">
        <v>46034</v>
      </c>
      <c r="X624" t="inlineStr">
        <is>
          <t>01</t>
        </is>
      </c>
      <c r="Y624" t="inlineStr">
        <is>
          <t>2026-Q1</t>
        </is>
      </c>
    </row>
    <row r="625" ht="38.25" customHeight="1">
      <c r="A625" t="inlineStr">
        <is>
          <t>维克多英语 · 【25版】新高中英语词汇</t>
        </is>
      </c>
      <c r="B625" t="inlineStr">
        <is>
          <t>__upload_recv83CeKuM1Z1.jpg</t>
        </is>
      </c>
      <c r="C625" s="2" t="str">
        <f>=HYPERLINK("https://xhslink.com/m/AHAyI2ORX0q", "https://xhslink.com/m/AHAyI2ORX0q")</f>
        <v>https://xhslink.com/m/AHAyI2ORX0q</v>
      </c>
      <c r="D625"/>
      <c r="E625">
        <v>8804</v>
      </c>
      <c r="F625">
        <v>59.8</v>
      </c>
      <c r="G625"/>
      <c r="H625"/>
      <c r="I625">
        <v>1000</v>
      </c>
      <c r="J625"/>
      <c r="K625" t="inlineStr">
        <is>
          <t>高中英语</t>
        </is>
      </c>
      <c r="L625"/>
      <c r="M625" t="inlineStr">
        <is>
          <t>维克多英语旗舰店</t>
        </is>
      </c>
      <c r="N625">
        <v>57000</v>
      </c>
      <c r="O625">
        <v>4.56</v>
      </c>
      <c r="P625">
        <v>16000</v>
      </c>
      <c r="Q625" t="inlineStr">
        <is>
          <t>668de9536827e90001df4398</t>
        </is>
      </c>
      <c r="R625"/>
      <c r="S625" t="inlineStr">
        <is>
          <t>中小学教辅/教材</t>
        </is>
      </c>
      <c r="T625" t="inlineStr">
        <is>
          <t>0.15</t>
        </is>
      </c>
      <c r="U625" s="3">
        <v>46112.78107638889</v>
      </c>
      <c r="V625" t="inlineStr">
        <is>
          <t>虚拟产品</t>
        </is>
      </c>
      <c r="W625" s="3">
        <v>46034</v>
      </c>
      <c r="X625" t="inlineStr">
        <is>
          <t>01</t>
        </is>
      </c>
      <c r="Y625" t="inlineStr">
        <is>
          <t>2026-Q1</t>
        </is>
      </c>
    </row>
    <row r="626" ht="38.25" customHeight="1">
      <c r="A626" t="inlineStr">
        <is>
          <t>26年中小幼教资笔试-app题库 教资题库app  中小幼教师资格证笔试</t>
        </is>
      </c>
      <c r="B626" t="inlineStr">
        <is>
          <t>__upload_recv83CeKum65b.jpg</t>
        </is>
      </c>
      <c r="C626" s="2" t="str">
        <f>=HYPERLINK("https://xhslink.com/m/9yWk9r2K1Nh", "https://xhslink.com/m/9yWk9r2K1Nh")</f>
        <v>https://xhslink.com/m/9yWk9r2K1Nh</v>
      </c>
      <c r="D626"/>
      <c r="E626">
        <v>4878</v>
      </c>
      <c r="F626">
        <v>7.9</v>
      </c>
      <c r="G626"/>
      <c r="H626"/>
      <c r="I626"/>
      <c r="J626">
        <v>100</v>
      </c>
      <c r="K626" t="inlineStr">
        <is>
          <t>高中英语</t>
        </is>
      </c>
      <c r="L626"/>
      <c r="M626" t="inlineStr">
        <is>
          <t>晨露老师的店</t>
        </is>
      </c>
      <c r="N626">
        <v>16000</v>
      </c>
      <c r="O626">
        <v>4.31</v>
      </c>
      <c r="P626">
        <v>34000</v>
      </c>
      <c r="Q626" t="inlineStr">
        <is>
          <t>679337fd75ca3a000141bf9f</t>
        </is>
      </c>
      <c r="R626" t="inlineStr">
        <is>
          <t>🚫重复</t>
        </is>
      </c>
      <c r="S626" t="inlineStr">
        <is>
          <t>教资资料</t>
        </is>
      </c>
      <c r="T626" t="inlineStr">
        <is>
          <t>0.30</t>
        </is>
      </c>
      <c r="U626" s="3">
        <v>46112.78107638889</v>
      </c>
      <c r="V626" t="inlineStr">
        <is>
          <t>虚拟产品</t>
        </is>
      </c>
      <c r="W626" s="3">
        <v>46034</v>
      </c>
      <c r="X626" t="inlineStr">
        <is>
          <t>01</t>
        </is>
      </c>
      <c r="Y626" t="inlineStr">
        <is>
          <t>2026-Q1</t>
        </is>
      </c>
    </row>
    <row r="627" ht="38.25" customHeight="1">
      <c r="A627" t="inlineStr">
        <is>
          <t>天星教育 · 【高考解题快招】试题调研26版高中课本基础知识高考押题冲刺</t>
        </is>
      </c>
      <c r="B627" t="inlineStr">
        <is>
          <t>__upload_recv83CeKu1639.jpg</t>
        </is>
      </c>
      <c r="C627" s="2" t="str">
        <f>=HYPERLINK("https://xhslink.com/m/2zh2VfAqWww", "https://xhslink.com/m/2zh2VfAqWww")</f>
        <v>https://xhslink.com/m/2zh2VfAqWww</v>
      </c>
      <c r="D627"/>
      <c r="E627">
        <v>24000</v>
      </c>
      <c r="F627">
        <v>13.2</v>
      </c>
      <c r="G627"/>
      <c r="H627"/>
      <c r="I627">
        <v>2000</v>
      </c>
      <c r="J627"/>
      <c r="K627" t="inlineStr">
        <is>
          <t>高中数学</t>
        </is>
      </c>
      <c r="L627"/>
      <c r="M627" t="inlineStr">
        <is>
          <t>天星教育旗舰店</t>
        </is>
      </c>
      <c r="N627">
        <v>228000</v>
      </c>
      <c r="O627">
        <v>4.53</v>
      </c>
      <c r="P627">
        <v>135000</v>
      </c>
      <c r="Q627" t="inlineStr">
        <is>
          <t>62e8921a0a79e900014600ff</t>
        </is>
      </c>
      <c r="R627" t="inlineStr">
        <is>
          <t>🚫重复</t>
        </is>
      </c>
      <c r="S627" t="inlineStr">
        <is>
          <t>高中/高考资料</t>
        </is>
      </c>
      <c r="T627" t="inlineStr">
        <is>
          <t>0.11</t>
        </is>
      </c>
      <c r="U627" s="3">
        <v>46112.78107638889</v>
      </c>
      <c r="V627" t="inlineStr">
        <is>
          <t>虚拟产品</t>
        </is>
      </c>
      <c r="W627" s="3">
        <v>46034</v>
      </c>
      <c r="X627" t="inlineStr">
        <is>
          <t>01</t>
        </is>
      </c>
      <c r="Y627" t="inlineStr">
        <is>
          <t>2026-Q1</t>
        </is>
      </c>
    </row>
    <row r="628" ht="38.25" customHeight="1">
      <c r="A628" t="inlineStr">
        <is>
          <t>2026一数·必刷100讲·高考数学核心方法</t>
        </is>
      </c>
      <c r="B628" t="inlineStr">
        <is>
          <t>__upload_recv83CeKutiw8.jpg</t>
        </is>
      </c>
      <c r="C628" s="2" t="str">
        <f>=HYPERLINK("https://xhslink.com/m/jckUwwNTHP", "https://xhslink.com/m/jckUwwNTHP")</f>
        <v>https://xhslink.com/m/jckUwwNTHP</v>
      </c>
      <c r="D628"/>
      <c r="E628">
        <v>14000</v>
      </c>
      <c r="F628">
        <v>55.8</v>
      </c>
      <c r="G628"/>
      <c r="H628"/>
      <c r="I628">
        <v>600</v>
      </c>
      <c r="J628"/>
      <c r="K628" t="inlineStr">
        <is>
          <t>高中数学</t>
        </is>
      </c>
      <c r="L628"/>
      <c r="M628" t="inlineStr">
        <is>
          <t>一数教辅的店</t>
        </is>
      </c>
      <c r="N628">
        <v>49000</v>
      </c>
      <c r="O628">
        <v>4.7</v>
      </c>
      <c r="P628">
        <v>41000</v>
      </c>
      <c r="Q628" t="inlineStr">
        <is>
          <t>650b0c301664e100019687d7</t>
        </is>
      </c>
      <c r="R628" t="inlineStr">
        <is>
          <t>🚫重复</t>
        </is>
      </c>
      <c r="S628" t="inlineStr">
        <is>
          <t>高中/高考资料</t>
        </is>
      </c>
      <c r="T628" t="inlineStr">
        <is>
          <t>0.29</t>
        </is>
      </c>
      <c r="U628" s="3">
        <v>46112.78107638889</v>
      </c>
      <c r="V628" t="inlineStr">
        <is>
          <t>虚拟产品</t>
        </is>
      </c>
      <c r="W628" s="3">
        <v>46034</v>
      </c>
      <c r="X628" t="inlineStr">
        <is>
          <t>01</t>
        </is>
      </c>
      <c r="Y628" t="inlineStr">
        <is>
          <t>2026-Q1</t>
        </is>
      </c>
    </row>
    <row r="629" ht="38.25" customHeight="1">
      <c r="A629" t="inlineStr">
        <is>
          <t>新人教版教资用高中各科语数英物理化学生物历史政治地理教案学案</t>
        </is>
      </c>
      <c r="B629" t="inlineStr">
        <is>
          <t>__upload_recv83CeKupJqP.jpg</t>
        </is>
      </c>
      <c r="C629" s="2" t="str">
        <f>=HYPERLINK("https://xhslink.com/m/7J0CY8PcdET", "https://xhslink.com/m/7J0CY8PcdET")</f>
        <v>https://xhslink.com/m/7J0CY8PcdET</v>
      </c>
      <c r="D629"/>
      <c r="E629">
        <v>12000</v>
      </c>
      <c r="F629">
        <v>6.8</v>
      </c>
      <c r="G629"/>
      <c r="H629"/>
      <c r="I629">
        <v>1000</v>
      </c>
      <c r="J629"/>
      <c r="K629" t="inlineStr">
        <is>
          <t>高中数学</t>
        </is>
      </c>
      <c r="L629"/>
      <c r="M629" t="inlineStr">
        <is>
          <t>佛系的曾老师的店</t>
        </is>
      </c>
      <c r="N629">
        <v>6300</v>
      </c>
      <c r="O629">
        <v>4.01</v>
      </c>
      <c r="P629">
        <v>27000</v>
      </c>
      <c r="Q629" t="inlineStr">
        <is>
          <t>6688a3b1d2166e00017fe856</t>
        </is>
      </c>
      <c r="R629" t="inlineStr">
        <is>
          <t>🚫重复</t>
        </is>
      </c>
      <c r="S629" t="inlineStr">
        <is>
          <t>教资资料</t>
        </is>
      </c>
      <c r="T629" t="inlineStr">
        <is>
          <t>1.90</t>
        </is>
      </c>
      <c r="U629" s="3">
        <v>46112.78107638889</v>
      </c>
      <c r="V629" t="inlineStr">
        <is>
          <t>虚拟产品</t>
        </is>
      </c>
      <c r="W629" s="3">
        <v>46034</v>
      </c>
      <c r="X629" t="inlineStr">
        <is>
          <t>01</t>
        </is>
      </c>
      <c r="Y629" t="inlineStr">
        <is>
          <t>2026-Q1</t>
        </is>
      </c>
    </row>
    <row r="630" ht="38.25" customHeight="1">
      <c r="A630" t="inlineStr">
        <is>
          <t>天星教育 · 【高考名校联考卷】26版金考卷特快专递第1-4期特刊高三估分攻略</t>
        </is>
      </c>
      <c r="B630" t="inlineStr">
        <is>
          <t>__upload_recv83CeKuKHFc.jpg</t>
        </is>
      </c>
      <c r="C630" s="2" t="str">
        <f>=HYPERLINK("https://xhslink.com/m/1J42f2r4hLy", "https://xhslink.com/m/1J42f2r4hLy")</f>
        <v>https://xhslink.com/m/1J42f2r4hLy</v>
      </c>
      <c r="D630"/>
      <c r="E630">
        <v>13000</v>
      </c>
      <c r="F630">
        <v>22.5</v>
      </c>
      <c r="G630"/>
      <c r="H630"/>
      <c r="I630">
        <v>1000</v>
      </c>
      <c r="J630"/>
      <c r="K630" t="inlineStr">
        <is>
          <t>高中数学</t>
        </is>
      </c>
      <c r="L630"/>
      <c r="M630" t="inlineStr">
        <is>
          <t>天星教育旗舰店</t>
        </is>
      </c>
      <c r="N630">
        <v>228000</v>
      </c>
      <c r="O630">
        <v>4.53</v>
      </c>
      <c r="P630">
        <v>135000</v>
      </c>
      <c r="Q630" t="inlineStr">
        <is>
          <t>6844004957fa16000185a152</t>
        </is>
      </c>
      <c r="R630" t="inlineStr">
        <is>
          <t>🚫重复</t>
        </is>
      </c>
      <c r="S630" t="inlineStr">
        <is>
          <t>高中/高考资料</t>
        </is>
      </c>
      <c r="T630" t="inlineStr">
        <is>
          <t>0.06</t>
        </is>
      </c>
      <c r="U630" s="3">
        <v>46112.78107638889</v>
      </c>
      <c r="V630" t="inlineStr">
        <is>
          <t>虚拟产品</t>
        </is>
      </c>
      <c r="W630" s="3">
        <v>46034</v>
      </c>
      <c r="X630" t="inlineStr">
        <is>
          <t>01</t>
        </is>
      </c>
      <c r="Y630" t="inlineStr">
        <is>
          <t>2026-Q1</t>
        </is>
      </c>
    </row>
    <row r="631" ht="38.25" customHeight="1">
      <c r="A631" t="inlineStr">
        <is>
          <t>人教版高中语文数学英语物化生政史地知识点总结电子版Word素材</t>
        </is>
      </c>
      <c r="B631" t="inlineStr">
        <is>
          <t>__upload_recv83CeKuSxxL.jpg</t>
        </is>
      </c>
      <c r="C631" s="2" t="str">
        <f>=HYPERLINK("https://xhslink.com/m/6d59crsI24t", "https://xhslink.com/m/6d59crsI24t")</f>
        <v>https://xhslink.com/m/6d59crsI24t</v>
      </c>
      <c r="D631"/>
      <c r="E631">
        <v>11000</v>
      </c>
      <c r="F631">
        <v>4.9</v>
      </c>
      <c r="G631"/>
      <c r="H631"/>
      <c r="I631">
        <v>1000</v>
      </c>
      <c r="J631"/>
      <c r="K631" t="inlineStr">
        <is>
          <t>高中数学</t>
        </is>
      </c>
      <c r="L631"/>
      <c r="M631" t="inlineStr">
        <is>
          <t>高分资料库的店</t>
        </is>
      </c>
      <c r="N631">
        <v>8717</v>
      </c>
      <c r="O631">
        <v>4.45</v>
      </c>
      <c r="P631">
        <v>29000</v>
      </c>
      <c r="Q631" t="inlineStr">
        <is>
          <t>671281b5fe85310001094a10</t>
        </is>
      </c>
      <c r="R631" t="inlineStr">
        <is>
          <t>🚫重复</t>
        </is>
      </c>
      <c r="S631" t="inlineStr">
        <is>
          <t>高中/高考资料</t>
        </is>
      </c>
      <c r="T631" t="inlineStr">
        <is>
          <t>1.26</t>
        </is>
      </c>
      <c r="U631" s="3">
        <v>46112.78107638889</v>
      </c>
      <c r="V631" t="inlineStr">
        <is>
          <t>虚拟产品</t>
        </is>
      </c>
      <c r="W631" s="3">
        <v>46034</v>
      </c>
      <c r="X631" t="inlineStr">
        <is>
          <t>01</t>
        </is>
      </c>
      <c r="Y631" t="inlineStr">
        <is>
          <t>2026-Q1</t>
        </is>
      </c>
    </row>
    <row r="632" ht="38.25" customHeight="1">
      <c r="A632" t="inlineStr">
        <is>
          <t>【高中数学】十大专题提分技巧精品电子资料word</t>
        </is>
      </c>
      <c r="B632" t="inlineStr">
        <is>
          <t>__upload_recv83CeKuJvkv.jpg</t>
        </is>
      </c>
      <c r="C632" s="2" t="str">
        <f>=HYPERLINK("https://xhslink.com/m/9TUYlcxzKI6", "https://xhslink.com/m/9TUYlcxzKI6")</f>
        <v>https://xhslink.com/m/9TUYlcxzKI6</v>
      </c>
      <c r="D632"/>
      <c r="E632">
        <v>10000</v>
      </c>
      <c r="F632">
        <v>4.9</v>
      </c>
      <c r="G632"/>
      <c r="H632"/>
      <c r="I632">
        <v>700</v>
      </c>
      <c r="J632"/>
      <c r="K632" t="inlineStr">
        <is>
          <t>高中数学</t>
        </is>
      </c>
      <c r="L632"/>
      <c r="M632" t="inlineStr">
        <is>
          <t>发发的高中资料库的店</t>
        </is>
      </c>
      <c r="N632">
        <v>16000</v>
      </c>
      <c r="O632">
        <v>4.43</v>
      </c>
      <c r="P632">
        <v>50000</v>
      </c>
      <c r="Q632" t="inlineStr">
        <is>
          <t>6602fb6043184400019946a2</t>
        </is>
      </c>
      <c r="R632" t="inlineStr">
        <is>
          <t>🚫重复</t>
        </is>
      </c>
      <c r="S632" t="inlineStr">
        <is>
          <t>高中/高考资料</t>
        </is>
      </c>
      <c r="T632" t="inlineStr">
        <is>
          <t>0.62</t>
        </is>
      </c>
      <c r="U632" s="3">
        <v>46112.78107638889</v>
      </c>
      <c r="V632" t="inlineStr">
        <is>
          <t>虚拟产品</t>
        </is>
      </c>
      <c r="W632" s="3">
        <v>46034</v>
      </c>
      <c r="X632" t="inlineStr">
        <is>
          <t>01</t>
        </is>
      </c>
      <c r="Y632" t="inlineStr">
        <is>
          <t>2026-Q1</t>
        </is>
      </c>
    </row>
    <row r="633" ht="38.25" customHeight="1">
      <c r="A633" t="inlineStr">
        <is>
          <t>2025高考高三总复习一轮二轮语文数学英语物理化生政治史地电子版</t>
        </is>
      </c>
      <c r="B633" t="inlineStr">
        <is>
          <t>__upload_recv83CeKu4q6G.jpg</t>
        </is>
      </c>
      <c r="C633" s="2" t="str">
        <f>=HYPERLINK("https://xhslink.com/m/5ubIS5RYSoh", "https://xhslink.com/m/5ubIS5RYSoh")</f>
        <v>https://xhslink.com/m/5ubIS5RYSoh</v>
      </c>
      <c r="D633"/>
      <c r="E633">
        <v>8911</v>
      </c>
      <c r="F633">
        <v>9.9</v>
      </c>
      <c r="G633"/>
      <c r="H633"/>
      <c r="I633">
        <v>800</v>
      </c>
      <c r="J633"/>
      <c r="K633" t="inlineStr">
        <is>
          <t>高中数学</t>
        </is>
      </c>
      <c r="L633"/>
      <c r="M633" t="inlineStr">
        <is>
          <t>高分资料库的店</t>
        </is>
      </c>
      <c r="N633">
        <v>8717</v>
      </c>
      <c r="O633">
        <v>4.45</v>
      </c>
      <c r="P633">
        <v>29000</v>
      </c>
      <c r="Q633" t="inlineStr">
        <is>
          <t>672ef2254c39cc00012363e2</t>
        </is>
      </c>
      <c r="R633" t="inlineStr">
        <is>
          <t>🚫重复</t>
        </is>
      </c>
      <c r="S633" t="inlineStr">
        <is>
          <t>高中/高考资料</t>
        </is>
      </c>
      <c r="T633" t="inlineStr">
        <is>
          <t>1.02</t>
        </is>
      </c>
      <c r="U633" s="3">
        <v>46112.78107638889</v>
      </c>
      <c r="V633" t="inlineStr">
        <is>
          <t>虚拟产品</t>
        </is>
      </c>
      <c r="W633" s="3">
        <v>46034</v>
      </c>
      <c r="X633" t="inlineStr">
        <is>
          <t>01</t>
        </is>
      </c>
      <c r="Y633" t="inlineStr">
        <is>
          <t>2026-Q1</t>
        </is>
      </c>
    </row>
    <row r="634" ht="38.25" customHeight="1">
      <c r="A634" t="inlineStr">
        <is>
          <t>2025年高考语文数学英语物理化学历史地理政治真题分类汇编电子版</t>
        </is>
      </c>
      <c r="B634" t="inlineStr">
        <is>
          <t>__upload_recv83CeKuZU3B.jpg</t>
        </is>
      </c>
      <c r="C634" s="2" t="str">
        <f>=HYPERLINK("https://xhslink.com/m/3rWzTBzr4P2", "https://xhslink.com/m/3rWzTBzr4P2")</f>
        <v>https://xhslink.com/m/3rWzTBzr4P2</v>
      </c>
      <c r="D634"/>
      <c r="E634">
        <v>7122</v>
      </c>
      <c r="F634">
        <v>8.8</v>
      </c>
      <c r="G634"/>
      <c r="H634"/>
      <c r="I634">
        <v>500</v>
      </c>
      <c r="J634"/>
      <c r="K634" t="inlineStr">
        <is>
          <t>高中数学</t>
        </is>
      </c>
      <c r="L634"/>
      <c r="M634" t="inlineStr">
        <is>
          <t>发发的高中资料库的店</t>
        </is>
      </c>
      <c r="N634">
        <v>16000</v>
      </c>
      <c r="O634">
        <v>4.43</v>
      </c>
      <c r="P634">
        <v>50000</v>
      </c>
      <c r="Q634" t="inlineStr">
        <is>
          <t>678f061e96b36c0001e7842b</t>
        </is>
      </c>
      <c r="R634" t="inlineStr">
        <is>
          <t>🚫重复</t>
        </is>
      </c>
      <c r="S634" t="inlineStr">
        <is>
          <t>高中/高考资料</t>
        </is>
      </c>
      <c r="T634" t="inlineStr">
        <is>
          <t>0.45</t>
        </is>
      </c>
      <c r="U634" s="3">
        <v>46112.78107638889</v>
      </c>
      <c r="V634" t="inlineStr">
        <is>
          <t>虚拟产品</t>
        </is>
      </c>
      <c r="W634" s="3">
        <v>46034</v>
      </c>
      <c r="X634" t="inlineStr">
        <is>
          <t>01</t>
        </is>
      </c>
      <c r="Y634" t="inlineStr">
        <is>
          <t>2026-Q1</t>
        </is>
      </c>
    </row>
    <row r="635" ht="38.25" customHeight="1">
      <c r="A635" t="inlineStr">
        <is>
          <t>2008～2025全国历年高考真题语文数学英语物理化学生物历史地理政</t>
        </is>
      </c>
      <c r="B635" t="inlineStr">
        <is>
          <t>__upload_recv83CeKusAQV.jpg</t>
        </is>
      </c>
      <c r="C635" s="2" t="str">
        <f>=HYPERLINK("https://xhslink.com/m/AaSnNr2VLrw", "https://xhslink.com/m/AaSnNr2VLrw")</f>
        <v>https://xhslink.com/m/AaSnNr2VLrw</v>
      </c>
      <c r="D635"/>
      <c r="E635">
        <v>5403</v>
      </c>
      <c r="F635">
        <v>3.88</v>
      </c>
      <c r="G635"/>
      <c r="H635"/>
      <c r="I635">
        <v>600</v>
      </c>
      <c r="J635"/>
      <c r="K635" t="inlineStr">
        <is>
          <t>高中数学</t>
        </is>
      </c>
      <c r="L635" t="inlineStr">
        <is>
          <t>🔥低粉爆款</t>
        </is>
      </c>
      <c r="M635" t="inlineStr">
        <is>
          <t>李老师宝藏资料的店</t>
        </is>
      </c>
      <c r="N635">
        <v>1627</v>
      </c>
      <c r="O635">
        <v>3.53</v>
      </c>
      <c r="P635">
        <v>10000</v>
      </c>
      <c r="Q635" t="inlineStr">
        <is>
          <t>67f0d5ba5d35ce000195bfe7</t>
        </is>
      </c>
      <c r="R635" t="inlineStr">
        <is>
          <t>🚫重复</t>
        </is>
      </c>
      <c r="S635" t="inlineStr">
        <is>
          <t>高中/高考资料</t>
        </is>
      </c>
      <c r="T635" t="inlineStr">
        <is>
          <t>3.32</t>
        </is>
      </c>
      <c r="U635" s="3">
        <v>46112.78107638889</v>
      </c>
      <c r="V635" t="inlineStr">
        <is>
          <t>虚拟产品</t>
        </is>
      </c>
      <c r="W635" s="3">
        <v>46034</v>
      </c>
      <c r="X635" t="inlineStr">
        <is>
          <t>01</t>
        </is>
      </c>
      <c r="Y635" t="inlineStr">
        <is>
          <t>2026-Q1</t>
        </is>
      </c>
    </row>
    <row r="636" ht="38.25" customHeight="1">
      <c r="A636" t="inlineStr">
        <is>
          <t>26年中小幼教资笔试-app题库 教资题库app  中小幼教师资格证笔试</t>
        </is>
      </c>
      <c r="B636" t="inlineStr">
        <is>
          <t>__upload_recv83CeKuifKX.jpg</t>
        </is>
      </c>
      <c r="C636" s="2" t="str">
        <f>=HYPERLINK("https://xhslink.com/m/FcyOOmc0sr", "https://xhslink.com/m/FcyOOmc0sr")</f>
        <v>https://xhslink.com/m/FcyOOmc0sr</v>
      </c>
      <c r="D636"/>
      <c r="E636">
        <v>4878</v>
      </c>
      <c r="F636">
        <v>7.9</v>
      </c>
      <c r="G636"/>
      <c r="H636"/>
      <c r="I636"/>
      <c r="J636">
        <v>100</v>
      </c>
      <c r="K636" t="inlineStr">
        <is>
          <t>高中数学</t>
        </is>
      </c>
      <c r="L636"/>
      <c r="M636" t="inlineStr">
        <is>
          <t>晨露老师的店</t>
        </is>
      </c>
      <c r="N636">
        <v>16000</v>
      </c>
      <c r="O636">
        <v>4.31</v>
      </c>
      <c r="P636">
        <v>34000</v>
      </c>
      <c r="Q636" t="inlineStr">
        <is>
          <t>679337fd75ca3a000141bf9c</t>
        </is>
      </c>
      <c r="R636" t="inlineStr">
        <is>
          <t>🚫重复</t>
        </is>
      </c>
      <c r="S636" t="inlineStr">
        <is>
          <t>教资资料</t>
        </is>
      </c>
      <c r="T636" t="inlineStr">
        <is>
          <t>0.30</t>
        </is>
      </c>
      <c r="U636" s="3">
        <v>46112.78107638889</v>
      </c>
      <c r="V636" t="inlineStr">
        <is>
          <t>虚拟产品</t>
        </is>
      </c>
      <c r="W636" s="3">
        <v>46034</v>
      </c>
      <c r="X636" t="inlineStr">
        <is>
          <t>01</t>
        </is>
      </c>
      <c r="Y636" t="inlineStr">
        <is>
          <t>2026-Q1</t>
        </is>
      </c>
    </row>
    <row r="637" ht="38.25" customHeight="1">
      <c r="A637" t="inlineStr">
        <is>
          <t>教 师 资 格 证 笔试科三重点三色速记笔记</t>
        </is>
      </c>
      <c r="B637" t="inlineStr">
        <is>
          <t>__upload_recv83CeKue8OJ.jpg</t>
        </is>
      </c>
      <c r="C637" s="2" t="str">
        <f>=HYPERLINK("https://xhslink.com/m/8DoRJyHac8l", "https://xhslink.com/m/8DoRJyHac8l")</f>
        <v>https://xhslink.com/m/8DoRJyHac8l</v>
      </c>
      <c r="D637"/>
      <c r="E637">
        <v>4535</v>
      </c>
      <c r="F637">
        <v>6.98</v>
      </c>
      <c r="G637"/>
      <c r="H637"/>
      <c r="I637">
        <v>800</v>
      </c>
      <c r="J637">
        <v>100</v>
      </c>
      <c r="K637" t="inlineStr">
        <is>
          <t>高中数学</t>
        </is>
      </c>
      <c r="L637" t="inlineStr">
        <is>
          <t>🔥低粉爆款</t>
        </is>
      </c>
      <c r="M637" t="inlineStr">
        <is>
          <t>好运学 姐姐的店</t>
        </is>
      </c>
      <c r="N637">
        <v>403</v>
      </c>
      <c r="O637">
        <v>4</v>
      </c>
      <c r="P637">
        <v>5792</v>
      </c>
      <c r="Q637" t="inlineStr">
        <is>
          <t>685a4a3d75907700019704bb</t>
        </is>
      </c>
      <c r="R637" t="inlineStr">
        <is>
          <t>🚫重复</t>
        </is>
      </c>
      <c r="S637" t="inlineStr">
        <is>
          <t>教资资料</t>
        </is>
      </c>
      <c r="T637" t="inlineStr">
        <is>
          <t>11.25</t>
        </is>
      </c>
      <c r="U637" s="3">
        <v>46112.78107638889</v>
      </c>
      <c r="V637" t="inlineStr">
        <is>
          <t>虚拟产品</t>
        </is>
      </c>
      <c r="W637" s="3">
        <v>46034</v>
      </c>
      <c r="X637" t="inlineStr">
        <is>
          <t>01</t>
        </is>
      </c>
      <c r="Y637" t="inlineStr">
        <is>
          <t>2026-Q1</t>
        </is>
      </c>
    </row>
    <row r="638" ht="38.25" customHeight="1">
      <c r="A638" t="inlineStr">
        <is>
          <t>OTHER · 【峰阅教研组】全国通用版提分笔记高考必备名师倾力编著高中考点</t>
        </is>
      </c>
      <c r="B638" t="inlineStr">
        <is>
          <t>__upload_recv83CeKulU7m.jpg</t>
        </is>
      </c>
      <c r="C638" s="2" t="str">
        <f>=HYPERLINK("https://xhslink.com/m/3himm7m4aur", "https://xhslink.com/m/3himm7m4aur")</f>
        <v>https://xhslink.com/m/3himm7m4aur</v>
      </c>
      <c r="D638"/>
      <c r="E638">
        <v>4021</v>
      </c>
      <c r="F638">
        <v>36.8</v>
      </c>
      <c r="G638"/>
      <c r="H638"/>
      <c r="I638">
        <v>400</v>
      </c>
      <c r="J638"/>
      <c r="K638" t="inlineStr">
        <is>
          <t>高中数学</t>
        </is>
      </c>
      <c r="L638" t="inlineStr">
        <is>
          <t>🔥低粉爆款</t>
        </is>
      </c>
      <c r="M638" t="inlineStr">
        <is>
          <t>墨香丨百物铺的店</t>
        </is>
      </c>
      <c r="N638">
        <v>110</v>
      </c>
      <c r="O638">
        <v>4.59</v>
      </c>
      <c r="P638">
        <v>9226</v>
      </c>
      <c r="Q638" t="inlineStr">
        <is>
          <t>66e59a9c290adc00015259ce</t>
        </is>
      </c>
      <c r="R638" t="inlineStr">
        <is>
          <t>🚫重复</t>
        </is>
      </c>
      <c r="S638" t="inlineStr">
        <is>
          <t>高中/高考资料</t>
        </is>
      </c>
      <c r="T638" t="inlineStr">
        <is>
          <t>36.55</t>
        </is>
      </c>
      <c r="U638" s="3">
        <v>46112.78107638889</v>
      </c>
      <c r="V638" t="inlineStr">
        <is>
          <t>虚拟产品</t>
        </is>
      </c>
      <c r="W638" s="3">
        <v>46034</v>
      </c>
      <c r="X638" t="inlineStr">
        <is>
          <t>01</t>
        </is>
      </c>
      <c r="Y638" t="inlineStr">
        <is>
          <t>2026-Q1</t>
        </is>
      </c>
    </row>
    <row r="639" ht="38.25" customHeight="1">
      <c r="A639" t="inlineStr">
        <is>
          <t>天星教育 · 【高一高二刷题】解题觉醒26版高中同步要点专题应用解题方法</t>
        </is>
      </c>
      <c r="B639" t="inlineStr">
        <is>
          <t>__upload_recv83CeKu712U.jpg</t>
        </is>
      </c>
      <c r="C639" s="2" t="str">
        <f>=HYPERLINK("https://xhslink.com/m/63KzBZzChuB", "https://xhslink.com/m/63KzBZzChuB")</f>
        <v>https://xhslink.com/m/63KzBZzChuB</v>
      </c>
      <c r="D639"/>
      <c r="E639">
        <v>3664</v>
      </c>
      <c r="F639">
        <v>48.9</v>
      </c>
      <c r="G639"/>
      <c r="H639"/>
      <c r="I639">
        <v>600</v>
      </c>
      <c r="J639"/>
      <c r="K639" t="inlineStr">
        <is>
          <t>高中数学</t>
        </is>
      </c>
      <c r="L639"/>
      <c r="M639" t="inlineStr">
        <is>
          <t>天星教育旗舰店</t>
        </is>
      </c>
      <c r="N639">
        <v>228000</v>
      </c>
      <c r="O639">
        <v>4.53</v>
      </c>
      <c r="P639">
        <v>135000</v>
      </c>
      <c r="Q639" t="inlineStr">
        <is>
          <t>6645804625f2320001344375</t>
        </is>
      </c>
      <c r="R639" t="inlineStr">
        <is>
          <t>🚫重复</t>
        </is>
      </c>
      <c r="S639" t="inlineStr">
        <is>
          <t>高中/高考资料</t>
        </is>
      </c>
      <c r="T639" t="inlineStr">
        <is>
          <t>0.02</t>
        </is>
      </c>
      <c r="U639" s="3">
        <v>46112.78107638889</v>
      </c>
      <c r="V639" t="inlineStr">
        <is>
          <t>虚拟产品</t>
        </is>
      </c>
      <c r="W639" s="3">
        <v>46034</v>
      </c>
      <c r="X639" t="inlineStr">
        <is>
          <t>01</t>
        </is>
      </c>
      <c r="Y639" t="inlineStr">
        <is>
          <t>2026-Q1</t>
        </is>
      </c>
    </row>
    <row r="640" ht="38.25" customHeight="1">
      <c r="A640" t="inlineStr">
        <is>
          <t>天星教育 · 2026金考卷高考45套全国各省市高考冲刺优秀模拟卷测试卷高三刷题</t>
        </is>
      </c>
      <c r="B640" t="inlineStr">
        <is>
          <t>__upload_recv83CeKuuRiA.jpg</t>
        </is>
      </c>
      <c r="C640" s="2" t="str">
        <f>=HYPERLINK("https://xhslink.com/m/5OBamt3I8Rd", "https://xhslink.com/m/5OBamt3I8Rd")</f>
        <v>https://xhslink.com/m/5OBamt3I8Rd</v>
      </c>
      <c r="D640"/>
      <c r="E640">
        <v>3148</v>
      </c>
      <c r="F640">
        <v>41.8</v>
      </c>
      <c r="G640"/>
      <c r="H640"/>
      <c r="I640">
        <v>800</v>
      </c>
      <c r="J640"/>
      <c r="K640" t="inlineStr">
        <is>
          <t>高中数学</t>
        </is>
      </c>
      <c r="L640"/>
      <c r="M640" t="inlineStr">
        <is>
          <t>天星教育旗舰店</t>
        </is>
      </c>
      <c r="N640">
        <v>228000</v>
      </c>
      <c r="O640">
        <v>4.53</v>
      </c>
      <c r="P640">
        <v>135000</v>
      </c>
      <c r="Q640" t="inlineStr">
        <is>
          <t>664ede409db19d0001aeebda</t>
        </is>
      </c>
      <c r="R640" t="inlineStr">
        <is>
          <t>🚫重复</t>
        </is>
      </c>
      <c r="S640" t="inlineStr">
        <is>
          <t>高中/高考资料</t>
        </is>
      </c>
      <c r="T640" t="inlineStr">
        <is>
          <t>0.01</t>
        </is>
      </c>
      <c r="U640" s="3">
        <v>46112.78107638889</v>
      </c>
      <c r="V640" t="inlineStr">
        <is>
          <t>虚拟产品</t>
        </is>
      </c>
      <c r="W640" s="3">
        <v>46034</v>
      </c>
      <c r="X640" t="inlineStr">
        <is>
          <t>01</t>
        </is>
      </c>
      <c r="Y640" t="inlineStr">
        <is>
          <t>2026-Q1</t>
        </is>
      </c>
    </row>
    <row r="641" ht="38.25" customHeight="1">
      <c r="A641" t="inlineStr">
        <is>
          <t>教师用新版高中语数英物化生历学考水考知识点练习必修一二电子版</t>
        </is>
      </c>
      <c r="B641" t="inlineStr">
        <is>
          <t>__upload_recv83CeKu2nVE.jpg</t>
        </is>
      </c>
      <c r="C641" s="2" t="str">
        <f>=HYPERLINK("https://xhslink.com/m/uOb8oI9zzP", "https://xhslink.com/m/uOb8oI9zzP")</f>
        <v>https://xhslink.com/m/uOb8oI9zzP</v>
      </c>
      <c r="D641"/>
      <c r="E641">
        <v>2796</v>
      </c>
      <c r="F641">
        <v>9.9</v>
      </c>
      <c r="G641"/>
      <c r="H641"/>
      <c r="I641">
        <v>400</v>
      </c>
      <c r="J641"/>
      <c r="K641" t="inlineStr">
        <is>
          <t>高中数学</t>
        </is>
      </c>
      <c r="L641"/>
      <c r="M641" t="inlineStr">
        <is>
          <t>佛系的曾老师的店</t>
        </is>
      </c>
      <c r="N641">
        <v>6300</v>
      </c>
      <c r="O641">
        <v>4.01</v>
      </c>
      <c r="P641">
        <v>27000</v>
      </c>
      <c r="Q641" t="inlineStr">
        <is>
          <t>673f54dcc14a2d000101e8fc</t>
        </is>
      </c>
      <c r="R641" t="inlineStr">
        <is>
          <t>🚫重复</t>
        </is>
      </c>
      <c r="S641" t="inlineStr">
        <is>
          <t>高中/高考资料</t>
        </is>
      </c>
      <c r="T641" t="inlineStr">
        <is>
          <t>0.44</t>
        </is>
      </c>
      <c r="U641" s="3">
        <v>46112.78107638889</v>
      </c>
      <c r="V641" t="inlineStr">
        <is>
          <t>虚拟产品</t>
        </is>
      </c>
      <c r="W641" s="3">
        <v>46034</v>
      </c>
      <c r="X641" t="inlineStr">
        <is>
          <t>01</t>
        </is>
      </c>
      <c r="Y641" t="inlineStr">
        <is>
          <t>2026-Q1</t>
        </is>
      </c>
    </row>
    <row r="642" ht="38.25" customHeight="1">
      <c r="A642" t="inlineStr">
        <is>
          <t>天星教育 · 2026试题调研题型专练高考知识点高三基础知识专项练习高考选择题</t>
        </is>
      </c>
      <c r="B642" t="inlineStr">
        <is>
          <t>__upload_recv83CeKuY532.jpg</t>
        </is>
      </c>
      <c r="C642" s="2" t="str">
        <f>=HYPERLINK("https://xhslink.com/m/2L6DxwCZtIs", "https://xhslink.com/m/2L6DxwCZtIs")</f>
        <v>https://xhslink.com/m/2L6DxwCZtIs</v>
      </c>
      <c r="D642"/>
      <c r="E642">
        <v>2373</v>
      </c>
      <c r="F642">
        <v>27.9</v>
      </c>
      <c r="G642"/>
      <c r="H642"/>
      <c r="I642">
        <v>400</v>
      </c>
      <c r="J642"/>
      <c r="K642" t="inlineStr">
        <is>
          <t>高中数学</t>
        </is>
      </c>
      <c r="L642"/>
      <c r="M642" t="inlineStr">
        <is>
          <t>天星教育旗舰店</t>
        </is>
      </c>
      <c r="N642">
        <v>228000</v>
      </c>
      <c r="O642">
        <v>4.53</v>
      </c>
      <c r="P642">
        <v>135000</v>
      </c>
      <c r="Q642" t="inlineStr">
        <is>
          <t>689a9830d023a300013cb383</t>
        </is>
      </c>
      <c r="R642" t="inlineStr">
        <is>
          <t>🚫重复</t>
        </is>
      </c>
      <c r="S642" t="inlineStr">
        <is>
          <t>高中/高考资料</t>
        </is>
      </c>
      <c r="T642" t="inlineStr">
        <is>
          <t>0.01</t>
        </is>
      </c>
      <c r="U642" s="3">
        <v>46112.78107638889</v>
      </c>
      <c r="V642" t="inlineStr">
        <is>
          <t>虚拟产品</t>
        </is>
      </c>
      <c r="W642" s="3">
        <v>46034</v>
      </c>
      <c r="X642" t="inlineStr">
        <is>
          <t>01</t>
        </is>
      </c>
      <c r="Y642" t="inlineStr">
        <is>
          <t>2026-Q1</t>
        </is>
      </c>
    </row>
    <row r="643" ht="38.25" customHeight="1">
      <c r="A643" t="inlineStr">
        <is>
          <t>2025高考数学冲刺系列，高中各章节必会知识点梳理大全</t>
        </is>
      </c>
      <c r="B643" t="inlineStr">
        <is>
          <t>__upload_recv83CeKuAQk7.jpg</t>
        </is>
      </c>
      <c r="C643" s="2" t="str">
        <f>=HYPERLINK("https://xhslink.com/m/AZ2n3DiOuZ3", "https://xhslink.com/m/AZ2n3DiOuZ3")</f>
        <v>https://xhslink.com/m/AZ2n3DiOuZ3</v>
      </c>
      <c r="D643"/>
      <c r="E643">
        <v>2171</v>
      </c>
      <c r="F643">
        <v>5.9</v>
      </c>
      <c r="G643"/>
      <c r="H643"/>
      <c r="I643">
        <v>600</v>
      </c>
      <c r="J643"/>
      <c r="K643" t="inlineStr">
        <is>
          <t>高中数学</t>
        </is>
      </c>
      <c r="L643"/>
      <c r="M643" t="inlineStr">
        <is>
          <t>初高中数学提分资料库的店</t>
        </is>
      </c>
      <c r="N643">
        <v>10000</v>
      </c>
      <c r="O643">
        <v>4.11</v>
      </c>
      <c r="P643">
        <v>25000</v>
      </c>
      <c r="Q643" t="inlineStr">
        <is>
          <t>67d959ce9707490001b3b525</t>
        </is>
      </c>
      <c r="R643"/>
      <c r="S643" t="inlineStr">
        <is>
          <t>高中/高考资料</t>
        </is>
      </c>
      <c r="T643" t="inlineStr">
        <is>
          <t>0.22</t>
        </is>
      </c>
      <c r="U643" s="3">
        <v>46112.78107638889</v>
      </c>
      <c r="V643" t="inlineStr">
        <is>
          <t>虚拟产品</t>
        </is>
      </c>
      <c r="W643" s="3">
        <v>46034</v>
      </c>
      <c r="X643" t="inlineStr">
        <is>
          <t>01</t>
        </is>
      </c>
      <c r="Y643" t="inlineStr">
        <is>
          <t>2026-Q1</t>
        </is>
      </c>
    </row>
    <row r="644" ht="38.25" customHeight="1">
      <c r="A644" t="inlineStr">
        <is>
          <t>高中数学教资面试/教招面试/试讲逐字稿230篇/结构化试讲答辩</t>
        </is>
      </c>
      <c r="B644" t="inlineStr">
        <is>
          <t>__upload_recv83CeKut1G2.jpg</t>
        </is>
      </c>
      <c r="C644" s="2" t="str">
        <f>=HYPERLINK("https://xhslink.com/m/81Ml6uFhs6k", "https://xhslink.com/m/81Ml6uFhs6k")</f>
        <v>https://xhslink.com/m/81Ml6uFhs6k</v>
      </c>
      <c r="D644"/>
      <c r="E644">
        <v>2018</v>
      </c>
      <c r="F644">
        <v>18.9</v>
      </c>
      <c r="G644"/>
      <c r="H644"/>
      <c r="I644">
        <v>500</v>
      </c>
      <c r="J644"/>
      <c r="K644" t="inlineStr">
        <is>
          <t>高中数学</t>
        </is>
      </c>
      <c r="L644"/>
      <c r="M644" t="inlineStr">
        <is>
          <t>小璐学姐教育咨询的店</t>
        </is>
      </c>
      <c r="N644">
        <v>2487</v>
      </c>
      <c r="O644">
        <v>4.06</v>
      </c>
      <c r="P644">
        <v>9602</v>
      </c>
      <c r="Q644" t="inlineStr">
        <is>
          <t>66e14316ae7d140001a7792f</t>
        </is>
      </c>
      <c r="R644"/>
      <c r="S644" t="inlineStr">
        <is>
          <t>教资资料</t>
        </is>
      </c>
      <c r="T644" t="inlineStr">
        <is>
          <t>0.81</t>
        </is>
      </c>
      <c r="U644" s="3">
        <v>46112.78107638889</v>
      </c>
      <c r="V644" t="inlineStr">
        <is>
          <t>虚拟产品</t>
        </is>
      </c>
      <c r="W644" s="3">
        <v>46034</v>
      </c>
      <c r="X644" t="inlineStr">
        <is>
          <t>01</t>
        </is>
      </c>
      <c r="Y644" t="inlineStr">
        <is>
          <t>2026-Q1</t>
        </is>
      </c>
    </row>
    <row r="645" ht="38.25" customHeight="1">
      <c r="A645" t="inlineStr">
        <is>
          <t>上岸熊·26上教资笔试中学科三重点笔记/精讲课</t>
        </is>
      </c>
      <c r="B645" t="inlineStr">
        <is>
          <t>__upload_recv83CeKuMRKu.jpg</t>
        </is>
      </c>
      <c r="C645" s="2" t="str">
        <f>=HYPERLINK("https://xhslink.com/m/30xsbmTK39M", "https://xhslink.com/m/30xsbmTK39M")</f>
        <v>https://xhslink.com/m/30xsbmTK39M</v>
      </c>
      <c r="D645"/>
      <c r="E645">
        <v>2103</v>
      </c>
      <c r="F645">
        <v>29.9</v>
      </c>
      <c r="G645"/>
      <c r="H645"/>
      <c r="I645"/>
      <c r="J645">
        <v>100</v>
      </c>
      <c r="K645" t="inlineStr">
        <is>
          <t>高中数学</t>
        </is>
      </c>
      <c r="L645"/>
      <c r="M645" t="inlineStr">
        <is>
          <t>珞珞Y资料库的店</t>
        </is>
      </c>
      <c r="N645">
        <v>6401</v>
      </c>
      <c r="O645">
        <v>4.67</v>
      </c>
      <c r="P645">
        <v>17000</v>
      </c>
      <c r="Q645" t="inlineStr">
        <is>
          <t>681ad64a0e004a000107680f</t>
        </is>
      </c>
      <c r="R645" t="inlineStr">
        <is>
          <t>🚫重复</t>
        </is>
      </c>
      <c r="S645" t="inlineStr">
        <is>
          <t>教资资料</t>
        </is>
      </c>
      <c r="T645" t="inlineStr">
        <is>
          <t>0.33</t>
        </is>
      </c>
      <c r="U645" s="3">
        <v>46112.78107638889</v>
      </c>
      <c r="V645" t="inlineStr">
        <is>
          <t>虚拟产品</t>
        </is>
      </c>
      <c r="W645" s="3">
        <v>46034</v>
      </c>
      <c r="X645" t="inlineStr">
        <is>
          <t>01</t>
        </is>
      </c>
      <c r="Y645" t="inlineStr">
        <is>
          <t>2026-Q1</t>
        </is>
      </c>
    </row>
    <row r="646" ht="38.25" customHeight="1">
      <c r="A646" t="inlineStr">
        <is>
          <t>Planwith · 活页错题本初中生高中生专用加厚小学数学笔记本本子b5a5</t>
        </is>
      </c>
      <c r="B646" t="inlineStr">
        <is>
          <t>__upload_recv83CeKuDFHa.jpg</t>
        </is>
      </c>
      <c r="C646" s="2" t="str">
        <f>=HYPERLINK("https://xhslink.com/m/4mFj3A6pT8n", "https://xhslink.com/m/4mFj3A6pT8n")</f>
        <v>https://xhslink.com/m/4mFj3A6pT8n</v>
      </c>
      <c r="D646"/>
      <c r="E646">
        <v>1874</v>
      </c>
      <c r="F646">
        <v>18.8</v>
      </c>
      <c r="G646"/>
      <c r="H646"/>
      <c r="I646">
        <v>400</v>
      </c>
      <c r="J646"/>
      <c r="K646" t="inlineStr">
        <is>
          <t>高中数学</t>
        </is>
      </c>
      <c r="L646"/>
      <c r="M646" t="inlineStr">
        <is>
          <t>PlanWith 友计划的店</t>
        </is>
      </c>
      <c r="N646">
        <v>329000</v>
      </c>
      <c r="O646">
        <v>4.62</v>
      </c>
      <c r="P646">
        <v>386000</v>
      </c>
      <c r="Q646" t="inlineStr">
        <is>
          <t>6842be5fd4dabb0001857d18</t>
        </is>
      </c>
      <c r="R646"/>
      <c r="S646" t="inlineStr">
        <is>
          <t>中小学教辅/教材</t>
        </is>
      </c>
      <c r="T646" t="inlineStr">
        <is>
          <t>0.01</t>
        </is>
      </c>
      <c r="U646" s="3">
        <v>46112.78107638889</v>
      </c>
      <c r="V646" t="inlineStr">
        <is>
          <t>虚拟产品</t>
        </is>
      </c>
      <c r="W646" s="3">
        <v>46034</v>
      </c>
      <c r="X646" t="inlineStr">
        <is>
          <t>01</t>
        </is>
      </c>
      <c r="Y646" t="inlineStr">
        <is>
          <t>2026-Q1</t>
        </is>
      </c>
    </row>
    <row r="647" ht="38.25" customHeight="1">
      <c r="A647" t="inlineStr">
        <is>
          <t>历年高考真题分类汇编全国卷英语文数化学生物地理历史政治练习题</t>
        </is>
      </c>
      <c r="B647" t="inlineStr">
        <is>
          <t>__upload_recv83CeKuWuMd.jpg</t>
        </is>
      </c>
      <c r="C647" s="2" t="str">
        <f>=HYPERLINK("https://xhslink.com/m/62BtYUXLKw3", "https://xhslink.com/m/62BtYUXLKw3")</f>
        <v>https://xhslink.com/m/62BtYUXLKw3</v>
      </c>
      <c r="D647"/>
      <c r="E647">
        <v>1564</v>
      </c>
      <c r="F647">
        <v>7.8</v>
      </c>
      <c r="G647"/>
      <c r="H647"/>
      <c r="I647">
        <v>700</v>
      </c>
      <c r="J647"/>
      <c r="K647" t="inlineStr">
        <is>
          <t>高中数学</t>
        </is>
      </c>
      <c r="L647"/>
      <c r="M647" t="inlineStr">
        <is>
          <t>状元学习的店</t>
        </is>
      </c>
      <c r="N647">
        <v>5449</v>
      </c>
      <c r="O647">
        <v>4.07</v>
      </c>
      <c r="P647">
        <v>2879</v>
      </c>
      <c r="Q647" t="inlineStr">
        <is>
          <t>68c2bdd0d1f7b80001227a7b</t>
        </is>
      </c>
      <c r="R647"/>
      <c r="S647" t="inlineStr">
        <is>
          <t>高中/高考资料</t>
        </is>
      </c>
      <c r="T647" t="inlineStr">
        <is>
          <t>0.29</t>
        </is>
      </c>
      <c r="U647" s="3">
        <v>46112.78107638889</v>
      </c>
      <c r="V647" t="inlineStr">
        <is>
          <t>虚拟产品</t>
        </is>
      </c>
      <c r="W647" s="3">
        <v>46034</v>
      </c>
      <c r="X647" t="inlineStr">
        <is>
          <t>01</t>
        </is>
      </c>
      <c r="Y647" t="inlineStr">
        <is>
          <t>2026-Q1</t>
        </is>
      </c>
    </row>
    <row r="648" ht="38.25" customHeight="1">
      <c r="A648" t="inlineStr">
        <is>
          <t>高中生物课件（注意是自制版），看好笔记再下单!!发网盘，不退换</t>
        </is>
      </c>
      <c r="B648" t="inlineStr">
        <is>
          <t>__upload_recv83CeKuS8yQ.jpg</t>
        </is>
      </c>
      <c r="C648" s="2" t="str">
        <f>=HYPERLINK("https://xhslink.com/m/72p2PT57a7B", "https://xhslink.com/m/72p2PT57a7B")</f>
        <v>https://xhslink.com/m/72p2PT57a7B</v>
      </c>
      <c r="D648"/>
      <c r="E648">
        <v>1413</v>
      </c>
      <c r="F648">
        <v>16.99</v>
      </c>
      <c r="G648"/>
      <c r="H648"/>
      <c r="I648">
        <v>400</v>
      </c>
      <c r="J648"/>
      <c r="K648" t="inlineStr">
        <is>
          <t>高中数学</t>
        </is>
      </c>
      <c r="L648"/>
      <c r="M648" t="inlineStr">
        <is>
          <t>生物小马老师的店</t>
        </is>
      </c>
      <c r="N648">
        <v>4341</v>
      </c>
      <c r="O648">
        <v>3.95</v>
      </c>
      <c r="P648">
        <v>1702</v>
      </c>
      <c r="Q648" t="inlineStr">
        <is>
          <t>67dd4de029b9f70001e2e10f</t>
        </is>
      </c>
      <c r="R648" t="inlineStr">
        <is>
          <t>🚫重复</t>
        </is>
      </c>
      <c r="S648" t="inlineStr">
        <is>
          <t>中小学教辅/教材</t>
        </is>
      </c>
      <c r="T648" t="inlineStr">
        <is>
          <t>0.33</t>
        </is>
      </c>
      <c r="U648" s="3">
        <v>46112.78107638889</v>
      </c>
      <c r="V648" t="inlineStr">
        <is>
          <t>虚拟产品</t>
        </is>
      </c>
      <c r="W648" s="3">
        <v>46034</v>
      </c>
      <c r="X648" t="inlineStr">
        <is>
          <t>01</t>
        </is>
      </c>
      <c r="Y648" t="inlineStr">
        <is>
          <t>2026-Q1</t>
        </is>
      </c>
    </row>
    <row r="649" ht="38.25" customHeight="1">
      <c r="A649" t="inlineStr">
        <is>
          <t>高中数学必修一二选修一二三题型讲义新教材新高考备考辅导电子版</t>
        </is>
      </c>
      <c r="B649" t="inlineStr">
        <is>
          <t>__upload_recv83CeKusCLQ.jpg</t>
        </is>
      </c>
      <c r="C649" s="2" t="str">
        <f>=HYPERLINK("https://xhslink.com/m/7zFKXKPQOiO", "https://xhslink.com/m/7zFKXKPQOiO")</f>
        <v>https://xhslink.com/m/7zFKXKPQOiO</v>
      </c>
      <c r="D649"/>
      <c r="E649">
        <v>1409</v>
      </c>
      <c r="F649">
        <v>21.99</v>
      </c>
      <c r="G649"/>
      <c r="H649"/>
      <c r="I649">
        <v>400</v>
      </c>
      <c r="J649"/>
      <c r="K649" t="inlineStr">
        <is>
          <t>高中数学</t>
        </is>
      </c>
      <c r="L649"/>
      <c r="M649" t="inlineStr">
        <is>
          <t>刘老师（金榜题名）的店</t>
        </is>
      </c>
      <c r="N649">
        <v>1486</v>
      </c>
      <c r="O649">
        <v>4.05</v>
      </c>
      <c r="P649">
        <v>6390</v>
      </c>
      <c r="Q649" t="inlineStr">
        <is>
          <t>681efbc07f3a7d00019e60f4</t>
        </is>
      </c>
      <c r="R649"/>
      <c r="S649" t="inlineStr">
        <is>
          <t>高中/高考资料</t>
        </is>
      </c>
      <c r="T649" t="inlineStr">
        <is>
          <t>0.95</t>
        </is>
      </c>
      <c r="U649" s="3">
        <v>46112.78107638889</v>
      </c>
      <c r="V649" t="inlineStr">
        <is>
          <t>虚拟产品</t>
        </is>
      </c>
      <c r="W649" s="3">
        <v>46034</v>
      </c>
      <c r="X649" t="inlineStr">
        <is>
          <t>01</t>
        </is>
      </c>
      <c r="Y649" t="inlineStr">
        <is>
          <t>2026-Q1</t>
        </is>
      </c>
    </row>
    <row r="650" ht="38.25" customHeight="1">
      <c r="A650" t="inlineStr">
        <is>
          <t>2026高考真题知识点讲义一轮二轮复习数学英语文生物理化学政word</t>
        </is>
      </c>
      <c r="B650" t="inlineStr">
        <is>
          <t>__upload_recv83CeKuIfr6.jpg</t>
        </is>
      </c>
      <c r="C650" s="2" t="str">
        <f>=HYPERLINK("https://xhslink.com/m/vkfATYOSMA", "https://xhslink.com/m/vkfATYOSMA")</f>
        <v>https://xhslink.com/m/vkfATYOSMA</v>
      </c>
      <c r="D650"/>
      <c r="E650">
        <v>1347</v>
      </c>
      <c r="F650">
        <v>7.88</v>
      </c>
      <c r="G650"/>
      <c r="H650"/>
      <c r="I650">
        <v>1000</v>
      </c>
      <c r="J650"/>
      <c r="K650" t="inlineStr">
        <is>
          <t>高中数学</t>
        </is>
      </c>
      <c r="L650"/>
      <c r="M650" t="inlineStr">
        <is>
          <t>婷婷老师的学习库的店</t>
        </is>
      </c>
      <c r="N650">
        <v>3885</v>
      </c>
      <c r="O650">
        <v>4.42</v>
      </c>
      <c r="P650">
        <v>15000</v>
      </c>
      <c r="Q650" t="inlineStr">
        <is>
          <t>686fca96527b4d0001edfcd6</t>
        </is>
      </c>
      <c r="R650" t="inlineStr">
        <is>
          <t>🚫重复</t>
        </is>
      </c>
      <c r="S650" t="inlineStr">
        <is>
          <t>高中/高考资料</t>
        </is>
      </c>
      <c r="T650" t="inlineStr">
        <is>
          <t>0.35</t>
        </is>
      </c>
      <c r="U650" s="3">
        <v>46112.78107638889</v>
      </c>
      <c r="V650" t="inlineStr">
        <is>
          <t>虚拟产品</t>
        </is>
      </c>
      <c r="W650" s="3">
        <v>46034</v>
      </c>
      <c r="X650" t="inlineStr">
        <is>
          <t>01</t>
        </is>
      </c>
      <c r="Y650" t="inlineStr">
        <is>
          <t>2026-Q1</t>
        </is>
      </c>
    </row>
    <row r="651" ht="38.25" customHeight="1">
      <c r="A651" t="inlineStr">
        <is>
          <t>高中数学试讲｜试讲稿｜人教A版 电子版 人工发货，1小时内发货！</t>
        </is>
      </c>
      <c r="B651" t="inlineStr">
        <is>
          <t>__upload_recv83CeKuI75s.jpg</t>
        </is>
      </c>
      <c r="C651" s="2" t="str">
        <f>=HYPERLINK("https://xhslink.com/m/4ZOFpZLVUmM", "https://xhslink.com/m/4ZOFpZLVUmM")</f>
        <v>https://xhslink.com/m/4ZOFpZLVUmM</v>
      </c>
      <c r="D651"/>
      <c r="E651">
        <v>980</v>
      </c>
      <c r="F651">
        <v>39.9</v>
      </c>
      <c r="G651"/>
      <c r="H651"/>
      <c r="I651">
        <v>400</v>
      </c>
      <c r="J651"/>
      <c r="K651" t="inlineStr">
        <is>
          <t>高中数学</t>
        </is>
      </c>
      <c r="L651"/>
      <c r="M651" t="inlineStr">
        <is>
          <t>姜姜是数学老师的店</t>
        </is>
      </c>
      <c r="N651">
        <v>1926</v>
      </c>
      <c r="O651">
        <v>4.02</v>
      </c>
      <c r="P651">
        <v>1361</v>
      </c>
      <c r="Q651" t="inlineStr">
        <is>
          <t>68455b46802c620001caf71c</t>
        </is>
      </c>
      <c r="R651"/>
      <c r="S651" t="inlineStr">
        <is>
          <t>高中/高考资料</t>
        </is>
      </c>
      <c r="T651" t="inlineStr">
        <is>
          <t>0.51</t>
        </is>
      </c>
      <c r="U651" s="3">
        <v>46112.78107638889</v>
      </c>
      <c r="V651" t="inlineStr">
        <is>
          <t>虚拟产品</t>
        </is>
      </c>
      <c r="W651" s="3">
        <v>46034</v>
      </c>
      <c r="X651" t="inlineStr">
        <is>
          <t>01</t>
        </is>
      </c>
      <c r="Y651" t="inlineStr">
        <is>
          <t>2026-Q1</t>
        </is>
      </c>
    </row>
    <row r="652" ht="38.25" customHeight="1">
      <c r="A652" t="inlineStr">
        <is>
          <t>高中数学《函数概念和性质》知识点+题型总结电子版</t>
        </is>
      </c>
      <c r="B652" t="inlineStr">
        <is>
          <t>__upload_recv83CeKuYF8k.jpg</t>
        </is>
      </c>
      <c r="C652" s="2" t="str">
        <f>=HYPERLINK("https://xhslink.com/m/8z08rq2fUwv", "https://xhslink.com/m/8z08rq2fUwv")</f>
        <v>https://xhslink.com/m/8z08rq2fUwv</v>
      </c>
      <c r="D652"/>
      <c r="E652">
        <v>963</v>
      </c>
      <c r="F652">
        <v>6.9</v>
      </c>
      <c r="G652"/>
      <c r="H652"/>
      <c r="I652">
        <v>500</v>
      </c>
      <c r="J652"/>
      <c r="K652" t="inlineStr">
        <is>
          <t>高中数学</t>
        </is>
      </c>
      <c r="L652"/>
      <c r="M652" t="inlineStr">
        <is>
          <t>教数学的张张的店</t>
        </is>
      </c>
      <c r="N652">
        <v>2360</v>
      </c>
      <c r="O652">
        <v>4.39</v>
      </c>
      <c r="P652">
        <v>11000</v>
      </c>
      <c r="Q652" t="inlineStr">
        <is>
          <t>684158723aaa1e000199bbeb</t>
        </is>
      </c>
      <c r="R652" t="inlineStr">
        <is>
          <t>🚫重复</t>
        </is>
      </c>
      <c r="S652" t="inlineStr">
        <is>
          <t>高中/高考资料</t>
        </is>
      </c>
      <c r="T652" t="inlineStr">
        <is>
          <t>0.41</t>
        </is>
      </c>
      <c r="U652" s="3">
        <v>46112.78107638889</v>
      </c>
      <c r="V652" t="inlineStr">
        <is>
          <t>虚拟产品</t>
        </is>
      </c>
      <c r="W652" s="3">
        <v>46034</v>
      </c>
      <c r="X652" t="inlineStr">
        <is>
          <t>01</t>
        </is>
      </c>
      <c r="Y652" t="inlineStr">
        <is>
          <t>2026-Q1</t>
        </is>
      </c>
    </row>
    <row r="653" ht="38.25" customHeight="1">
      <c r="A653" t="inlineStr">
        <is>
          <t>高中数学：圆锥曲线经典12大题型</t>
        </is>
      </c>
      <c r="B653" t="inlineStr">
        <is>
          <t>__upload_recv83CeKul7Z2.jpg</t>
        </is>
      </c>
      <c r="C653" s="2" t="str">
        <f>=HYPERLINK("https://xhslink.com/m/AdvmsKVYtKT", "https://xhslink.com/m/AdvmsKVYtKT")</f>
        <v>https://xhslink.com/m/AdvmsKVYtKT</v>
      </c>
      <c r="D653"/>
      <c r="E653">
        <v>933</v>
      </c>
      <c r="F653">
        <v>5</v>
      </c>
      <c r="G653"/>
      <c r="H653"/>
      <c r="I653">
        <v>600</v>
      </c>
      <c r="J653"/>
      <c r="K653" t="inlineStr">
        <is>
          <t>高中数学</t>
        </is>
      </c>
      <c r="L653"/>
      <c r="M653" t="inlineStr">
        <is>
          <t>高中数学math的店</t>
        </is>
      </c>
      <c r="N653">
        <v>13000</v>
      </c>
      <c r="O653">
        <v>4.12</v>
      </c>
      <c r="P653">
        <v>2016</v>
      </c>
      <c r="Q653" t="inlineStr">
        <is>
          <t>688a441ce019f200014fbd61</t>
        </is>
      </c>
      <c r="R653"/>
      <c r="S653" t="inlineStr">
        <is>
          <t>高中/高考资料</t>
        </is>
      </c>
      <c r="T653" t="inlineStr">
        <is>
          <t>0.07</t>
        </is>
      </c>
      <c r="U653" s="3">
        <v>46112.78107638889</v>
      </c>
      <c r="V653" t="inlineStr">
        <is>
          <t>虚拟产品</t>
        </is>
      </c>
      <c r="W653" s="3">
        <v>46034</v>
      </c>
      <c r="X653" t="inlineStr">
        <is>
          <t>01</t>
        </is>
      </c>
      <c r="Y653" t="inlineStr">
        <is>
          <t>2026-Q1</t>
        </is>
      </c>
    </row>
    <row r="654" ht="38.25" customHeight="1">
      <c r="A654" t="inlineStr">
        <is>
          <t>高中数学11大专题提分技巧专项知识点学习复习训练精品电子资料</t>
        </is>
      </c>
      <c r="B654" t="inlineStr">
        <is>
          <t>__upload_recv83CeKuwV8o.jpg</t>
        </is>
      </c>
      <c r="C654" s="2" t="str">
        <f>=HYPERLINK("https://xhslink.com/m/4OPGm1z8wHt", "https://xhslink.com/m/4OPGm1z8wHt")</f>
        <v>https://xhslink.com/m/4OPGm1z8wHt</v>
      </c>
      <c r="D654"/>
      <c r="E654">
        <v>906</v>
      </c>
      <c r="F654">
        <v>4.9</v>
      </c>
      <c r="G654"/>
      <c r="H654"/>
      <c r="I654">
        <v>400</v>
      </c>
      <c r="J654"/>
      <c r="K654" t="inlineStr">
        <is>
          <t>高中数学</t>
        </is>
      </c>
      <c r="L654"/>
      <c r="M654" t="inlineStr">
        <is>
          <t>赖老师的资料库的店</t>
        </is>
      </c>
      <c r="N654">
        <v>380</v>
      </c>
      <c r="O654">
        <v>3.97</v>
      </c>
      <c r="P654">
        <v>4026</v>
      </c>
      <c r="Q654" t="inlineStr">
        <is>
          <t>6877dd0ceab7930001fa749d</t>
        </is>
      </c>
      <c r="R654"/>
      <c r="S654" t="inlineStr">
        <is>
          <t>高中/高考资料</t>
        </is>
      </c>
      <c r="T654" t="inlineStr">
        <is>
          <t>2.38</t>
        </is>
      </c>
      <c r="U654" s="3">
        <v>46112.78107638889</v>
      </c>
      <c r="V654" t="inlineStr">
        <is>
          <t>虚拟产品</t>
        </is>
      </c>
      <c r="W654" s="3">
        <v>46034</v>
      </c>
      <c r="X654" t="inlineStr">
        <is>
          <t>01</t>
        </is>
      </c>
      <c r="Y654" t="inlineStr">
        <is>
          <t>2026-Q1</t>
        </is>
      </c>
    </row>
    <row r="655" ht="38.25" customHeight="1">
      <c r="A655" t="inlineStr">
        <is>
          <t>新版高中数学人教版同步练习讲义+PPT精讲精练高一高二高三电子版</t>
        </is>
      </c>
      <c r="B655" t="inlineStr">
        <is>
          <t>__upload_recv83CeKu4CPZ.jpg</t>
        </is>
      </c>
      <c r="C655" s="2" t="str">
        <f>=HYPERLINK("https://xhslink.com/m/6CYxjY1Hqx9", "https://xhslink.com/m/6CYxjY1Hqx9")</f>
        <v>https://xhslink.com/m/6CYxjY1Hqx9</v>
      </c>
      <c r="D655"/>
      <c r="E655">
        <v>861</v>
      </c>
      <c r="F655">
        <v>3.9</v>
      </c>
      <c r="G655"/>
      <c r="H655"/>
      <c r="I655">
        <v>600</v>
      </c>
      <c r="J655"/>
      <c r="K655" t="inlineStr">
        <is>
          <t>高中数学</t>
        </is>
      </c>
      <c r="L655"/>
      <c r="M655" t="inlineStr">
        <is>
          <t>清华齐老师（宝藏资料）的店</t>
        </is>
      </c>
      <c r="N655">
        <v>1586</v>
      </c>
      <c r="O655">
        <v>4.32</v>
      </c>
      <c r="P655">
        <v>10000</v>
      </c>
      <c r="Q655" t="inlineStr">
        <is>
          <t>6888c376a7c1e30001907920</t>
        </is>
      </c>
      <c r="R655" t="inlineStr">
        <is>
          <t>🚫重复</t>
        </is>
      </c>
      <c r="S655" t="inlineStr">
        <is>
          <t>高中/高考资料</t>
        </is>
      </c>
      <c r="T655" t="inlineStr">
        <is>
          <t>0.54</t>
        </is>
      </c>
      <c r="U655" s="3">
        <v>46112.78107638889</v>
      </c>
      <c r="V655" t="inlineStr">
        <is>
          <t>虚拟产品</t>
        </is>
      </c>
      <c r="W655" s="3">
        <v>46034</v>
      </c>
      <c r="X655" t="inlineStr">
        <is>
          <t>01</t>
        </is>
      </c>
      <c r="Y655" t="inlineStr">
        <is>
          <t>2026-Q1</t>
        </is>
      </c>
    </row>
    <row r="656" ht="38.25" customHeight="1">
      <c r="A656" t="inlineStr">
        <is>
          <t>26广东学考春季高考语数英17-25年真题含答案解析冲刺资料电子版</t>
        </is>
      </c>
      <c r="B656" t="inlineStr">
        <is>
          <t>__upload_recv83CeKut2oJ.jpg</t>
        </is>
      </c>
      <c r="C656" s="2" t="str">
        <f>=HYPERLINK("https://xhslink.com/m/8powQAWqSf6", "https://xhslink.com/m/8powQAWqSf6")</f>
        <v>https://xhslink.com/m/8powQAWqSf6</v>
      </c>
      <c r="D656"/>
      <c r="E656">
        <v>806</v>
      </c>
      <c r="F656">
        <v>6.9</v>
      </c>
      <c r="G656"/>
      <c r="H656"/>
      <c r="I656">
        <v>700</v>
      </c>
      <c r="J656"/>
      <c r="K656" t="inlineStr">
        <is>
          <t>高中数学</t>
        </is>
      </c>
      <c r="L656"/>
      <c r="M656" t="inlineStr">
        <is>
          <t>大模型小李的店</t>
        </is>
      </c>
      <c r="N656">
        <v>759</v>
      </c>
      <c r="O656">
        <v>3.99</v>
      </c>
      <c r="P656">
        <v>1346</v>
      </c>
      <c r="Q656" t="inlineStr">
        <is>
          <t>69140c10b95c2800015aab91</t>
        </is>
      </c>
      <c r="R656"/>
      <c r="S656" t="inlineStr">
        <is>
          <t>高中/高考资料</t>
        </is>
      </c>
      <c r="T656" t="inlineStr">
        <is>
          <t>1.06</t>
        </is>
      </c>
      <c r="U656" s="3">
        <v>46112.78107638889</v>
      </c>
      <c r="V656" t="inlineStr">
        <is>
          <t>虚拟产品</t>
        </is>
      </c>
      <c r="W656" s="3">
        <v>46034</v>
      </c>
      <c r="X656" t="inlineStr">
        <is>
          <t>01</t>
        </is>
      </c>
      <c r="Y656" t="inlineStr">
        <is>
          <t>2026-Q1</t>
        </is>
      </c>
    </row>
    <row r="657" ht="38.25" customHeight="1">
      <c r="A657" t="inlineStr">
        <is>
          <t>25下教资面试中小学幼儿各学科试讲模板/真题逐字稿/结构化/答辩</t>
        </is>
      </c>
      <c r="B657" t="inlineStr">
        <is>
          <t>__upload_recv83CeKuwdpB.jpg</t>
        </is>
      </c>
      <c r="C657" s="2" t="str">
        <f>=HYPERLINK("https://xhslink.com/m/A9dThVnHVIP", "https://xhslink.com/m/A9dThVnHVIP")</f>
        <v>https://xhslink.com/m/A9dThVnHVIP</v>
      </c>
      <c r="D657"/>
      <c r="E657">
        <v>723</v>
      </c>
      <c r="F657">
        <v>3.99</v>
      </c>
      <c r="G657"/>
      <c r="H657"/>
      <c r="I657">
        <v>500</v>
      </c>
      <c r="J657"/>
      <c r="K657" t="inlineStr">
        <is>
          <t>高中数学</t>
        </is>
      </c>
      <c r="L657"/>
      <c r="M657" t="inlineStr">
        <is>
          <t>漫福学姐的店</t>
        </is>
      </c>
      <c r="N657">
        <v>842</v>
      </c>
      <c r="O657">
        <v>4.1</v>
      </c>
      <c r="P657">
        <v>13000</v>
      </c>
      <c r="Q657" t="inlineStr">
        <is>
          <t>691d4a0031f80200019ef3ee</t>
        </is>
      </c>
      <c r="R657" t="inlineStr">
        <is>
          <t>🚫重复</t>
        </is>
      </c>
      <c r="S657" t="inlineStr">
        <is>
          <t>教资资料</t>
        </is>
      </c>
      <c r="T657" t="inlineStr">
        <is>
          <t>0.86</t>
        </is>
      </c>
      <c r="U657" s="3">
        <v>46112.78107638889</v>
      </c>
      <c r="V657" t="inlineStr">
        <is>
          <t>虚拟产品</t>
        </is>
      </c>
      <c r="W657" s="3">
        <v>46034</v>
      </c>
      <c r="X657" t="inlineStr">
        <is>
          <t>01</t>
        </is>
      </c>
      <c r="Y657" t="inlineStr">
        <is>
          <t>2026-Q1</t>
        </is>
      </c>
    </row>
    <row r="658" ht="38.25" customHeight="1">
      <c r="A658" t="inlineStr">
        <is>
          <t>人教版高中物理生物化学政治历史地理知识点默写小纸条每日一练</t>
        </is>
      </c>
      <c r="B658" t="inlineStr">
        <is>
          <t>__upload_recv83CeKuFXG2.jpg</t>
        </is>
      </c>
      <c r="C658" s="2" t="str">
        <f>=HYPERLINK("https://xhslink.com/m/8tDfnHmCBZc", "https://xhslink.com/m/8tDfnHmCBZc")</f>
        <v>https://xhslink.com/m/8tDfnHmCBZc</v>
      </c>
      <c r="D658"/>
      <c r="E658">
        <v>691</v>
      </c>
      <c r="F658">
        <v>7.9</v>
      </c>
      <c r="G658"/>
      <c r="H658"/>
      <c r="I658">
        <v>600</v>
      </c>
      <c r="J658"/>
      <c r="K658" t="inlineStr">
        <is>
          <t>高中数学</t>
        </is>
      </c>
      <c r="L658"/>
      <c r="M658" t="inlineStr">
        <is>
          <t>高分学子资料驿站的店</t>
        </is>
      </c>
      <c r="N658">
        <v>623</v>
      </c>
      <c r="O658">
        <v>4.27</v>
      </c>
      <c r="P658">
        <v>1390</v>
      </c>
      <c r="Q658" t="inlineStr">
        <is>
          <t>6905f1c9473090000168d85d</t>
        </is>
      </c>
      <c r="R658"/>
      <c r="S658" t="inlineStr">
        <is>
          <t>高中/高考资料</t>
        </is>
      </c>
      <c r="T658" t="inlineStr">
        <is>
          <t>1.11</t>
        </is>
      </c>
      <c r="U658" s="3">
        <v>46112.78107638889</v>
      </c>
      <c r="V658" t="inlineStr">
        <is>
          <t>虚拟产品</t>
        </is>
      </c>
      <c r="W658" s="3">
        <v>46034</v>
      </c>
      <c r="X658" t="inlineStr">
        <is>
          <t>01</t>
        </is>
      </c>
      <c r="Y658" t="inlineStr">
        <is>
          <t>2026-Q1</t>
        </is>
      </c>
    </row>
    <row r="659" ht="38.25" customHeight="1">
      <c r="A659" t="inlineStr">
        <is>
          <t>2025年高中语文数学英语物化生政史地高一高二期中期末模拟考试卷</t>
        </is>
      </c>
      <c r="B659" t="inlineStr">
        <is>
          <t>__upload_recv83CeKuecty.jpg</t>
        </is>
      </c>
      <c r="C659" s="2" t="str">
        <f>=HYPERLINK("https://xhslink.com/m/AyWqixP29om", "https://xhslink.com/m/AyWqixP29om")</f>
        <v>https://xhslink.com/m/AyWqixP29om</v>
      </c>
      <c r="D659"/>
      <c r="E659">
        <v>575</v>
      </c>
      <c r="F659">
        <v>5</v>
      </c>
      <c r="G659"/>
      <c r="H659"/>
      <c r="I659">
        <v>400</v>
      </c>
      <c r="J659"/>
      <c r="K659" t="inlineStr">
        <is>
          <t>高中数学</t>
        </is>
      </c>
      <c r="L659"/>
      <c r="M659" t="inlineStr">
        <is>
          <t>高分资料库的店</t>
        </is>
      </c>
      <c r="N659">
        <v>8717</v>
      </c>
      <c r="O659">
        <v>4.45</v>
      </c>
      <c r="P659">
        <v>29000</v>
      </c>
      <c r="Q659" t="inlineStr">
        <is>
          <t>694a25691224b7000179cefd</t>
        </is>
      </c>
      <c r="R659" t="inlineStr">
        <is>
          <t>🚫重复</t>
        </is>
      </c>
      <c r="S659" t="inlineStr">
        <is>
          <t>高中/高考资料</t>
        </is>
      </c>
      <c r="T659" t="inlineStr">
        <is>
          <t>0.07</t>
        </is>
      </c>
      <c r="U659" s="3">
        <v>46112.78107638889</v>
      </c>
      <c r="V659" t="inlineStr">
        <is>
          <t>虚拟产品</t>
        </is>
      </c>
      <c r="W659" s="3">
        <v>46034</v>
      </c>
      <c r="X659" t="inlineStr">
        <is>
          <t>01</t>
        </is>
      </c>
      <c r="Y659" t="inlineStr">
        <is>
          <t>2026-Q1</t>
        </is>
      </c>
    </row>
    <row r="660" ht="38.25" customHeight="1">
      <c r="A660" t="inlineStr">
        <is>
          <t>人教A版高中数学必修一  基础版 备课刷题好用讲义电子版</t>
        </is>
      </c>
      <c r="B660" t="inlineStr">
        <is>
          <t>__upload_recv83CeKucus3.jpg</t>
        </is>
      </c>
      <c r="C660" s="2" t="str">
        <f>=HYPERLINK("https://xhslink.com/m/2fjj2glg3g6", "https://xhslink.com/m/2fjj2glg3g6")</f>
        <v>https://xhslink.com/m/2fjj2glg3g6</v>
      </c>
      <c r="D660"/>
      <c r="E660">
        <v>520</v>
      </c>
      <c r="F660">
        <v>10.9</v>
      </c>
      <c r="G660"/>
      <c r="H660"/>
      <c r="I660">
        <v>400</v>
      </c>
      <c r="J660"/>
      <c r="K660" t="inlineStr">
        <is>
          <t>高中数学</t>
        </is>
      </c>
      <c r="L660"/>
      <c r="M660" t="inlineStr">
        <is>
          <t>教数学的张张的店</t>
        </is>
      </c>
      <c r="N660">
        <v>2360</v>
      </c>
      <c r="O660">
        <v>4.39</v>
      </c>
      <c r="P660">
        <v>11000</v>
      </c>
      <c r="Q660" t="inlineStr">
        <is>
          <t>68a4667bcf8afd00010c4d78</t>
        </is>
      </c>
      <c r="R660" t="inlineStr">
        <is>
          <t>🚫重复</t>
        </is>
      </c>
      <c r="S660" t="inlineStr">
        <is>
          <t>高中/高考资料</t>
        </is>
      </c>
      <c r="T660" t="inlineStr">
        <is>
          <t>0.22</t>
        </is>
      </c>
      <c r="U660" s="3">
        <v>46112.78107638889</v>
      </c>
      <c r="V660" t="inlineStr">
        <is>
          <t>虚拟产品</t>
        </is>
      </c>
      <c r="W660" s="3">
        <v>46034</v>
      </c>
      <c r="X660" t="inlineStr">
        <is>
          <t>01</t>
        </is>
      </c>
      <c r="Y660" t="inlineStr">
        <is>
          <t>2026-Q1</t>
        </is>
      </c>
    </row>
    <row r="661" ht="38.25" customHeight="1">
      <c r="A661" t="inlineStr">
        <is>
          <t>iPhone苹果手机一键自动记账快捷指令app+numbers记账本模板教程</t>
        </is>
      </c>
      <c r="B661" t="inlineStr">
        <is>
          <t>__upload_recv83CeKuuD7n.jpg</t>
        </is>
      </c>
      <c r="C661" s="2" t="str">
        <f>=HYPERLINK("https://xhslink.com/m/3JaODzMy0FP", "https://xhslink.com/m/3JaODzMy0FP")</f>
        <v>https://xhslink.com/m/3JaODzMy0FP</v>
      </c>
      <c r="D661"/>
      <c r="E661">
        <v>22000</v>
      </c>
      <c r="F661">
        <v>9.9</v>
      </c>
      <c r="G661"/>
      <c r="H661"/>
      <c r="I661">
        <v>3000</v>
      </c>
      <c r="J661"/>
      <c r="K661" t="inlineStr">
        <is>
          <t>快捷指令</t>
        </is>
      </c>
      <c r="L661"/>
      <c r="M661" t="inlineStr">
        <is>
          <t>数码大管家的店</t>
        </is>
      </c>
      <c r="N661">
        <v>13000</v>
      </c>
      <c r="O661">
        <v>4.08</v>
      </c>
      <c r="P661">
        <v>24000</v>
      </c>
      <c r="Q661" t="inlineStr">
        <is>
          <t>66a7be77e8ac780001e5c224</t>
        </is>
      </c>
      <c r="R661"/>
      <c r="S661" t="inlineStr">
        <is>
          <t>软件应用</t>
        </is>
      </c>
      <c r="T661" t="inlineStr">
        <is>
          <t>1.69</t>
        </is>
      </c>
      <c r="U661" s="3">
        <v>46112.78107638889</v>
      </c>
      <c r="V661" t="inlineStr">
        <is>
          <t>虚拟产品</t>
        </is>
      </c>
      <c r="W661" s="3">
        <v>46034</v>
      </c>
      <c r="X661" t="inlineStr">
        <is>
          <t>01</t>
        </is>
      </c>
      <c r="Y661" t="inlineStr">
        <is>
          <t>2026-Q1</t>
        </is>
      </c>
    </row>
    <row r="662" ht="38.25" customHeight="1">
      <c r="A662" t="inlineStr">
        <is>
          <t>小红书快捷指令去水印保存live实况图｜视频｜图片｜原图高清保存</t>
        </is>
      </c>
      <c r="B662" t="inlineStr">
        <is>
          <t>__upload_recv83CeKuJuS9.jpg</t>
        </is>
      </c>
      <c r="C662" s="2" t="str">
        <f>=HYPERLINK("https://xhslink.com/m/1FwVk7A7GxR", "https://xhslink.com/m/1FwVk7A7GxR")</f>
        <v>https://xhslink.com/m/1FwVk7A7GxR</v>
      </c>
      <c r="D662"/>
      <c r="E662">
        <v>3945</v>
      </c>
      <c r="F662">
        <v>1.9</v>
      </c>
      <c r="G662"/>
      <c r="H662"/>
      <c r="I662">
        <v>1000</v>
      </c>
      <c r="J662"/>
      <c r="K662" t="inlineStr">
        <is>
          <t>快捷指令</t>
        </is>
      </c>
      <c r="L662" t="inlineStr">
        <is>
          <t>🔥低粉爆款</t>
        </is>
      </c>
      <c r="M662" t="inlineStr">
        <is>
          <t>像素奶盖📸的店</t>
        </is>
      </c>
      <c r="N662">
        <v>239</v>
      </c>
      <c r="O662">
        <v>4.08</v>
      </c>
      <c r="P662">
        <v>10000</v>
      </c>
      <c r="Q662" t="inlineStr">
        <is>
          <t>691098b5886bed0001fb7b76</t>
        </is>
      </c>
      <c r="R662"/>
      <c r="S662" t="inlineStr">
        <is>
          <t>设计素材</t>
        </is>
      </c>
      <c r="T662" t="inlineStr">
        <is>
          <t>16.51</t>
        </is>
      </c>
      <c r="U662" s="3">
        <v>46112.78107638889</v>
      </c>
      <c r="V662" t="inlineStr">
        <is>
          <t>虚拟产品</t>
        </is>
      </c>
      <c r="W662" s="3">
        <v>46034</v>
      </c>
      <c r="X662" t="inlineStr">
        <is>
          <t>01</t>
        </is>
      </c>
      <c r="Y662" t="inlineStr">
        <is>
          <t>2026-Q1</t>
        </is>
      </c>
    </row>
    <row r="663" ht="38.25" customHeight="1">
      <c r="A663" t="inlineStr">
        <is>
          <t>Ins · 快捷指令ig去水印保存 · 图片 · 视频 · iPhone无需下载APP</t>
        </is>
      </c>
      <c r="B663" t="inlineStr">
        <is>
          <t>__upload_recv83CeKuf7XK.jpg</t>
        </is>
      </c>
      <c r="C663" s="2" t="str">
        <f>=HYPERLINK("https://xhslink.com/m/62h32TfG0Z", "https://xhslink.com/m/62h32TfG0Z")</f>
        <v>https://xhslink.com/m/62h32TfG0Z</v>
      </c>
      <c r="D663"/>
      <c r="E663">
        <v>6149</v>
      </c>
      <c r="F663">
        <v>6.8</v>
      </c>
      <c r="G663"/>
      <c r="H663"/>
      <c r="I663">
        <v>500</v>
      </c>
      <c r="J663"/>
      <c r="K663" t="inlineStr">
        <is>
          <t>快捷指令</t>
        </is>
      </c>
      <c r="L663"/>
      <c r="M663" t="inlineStr">
        <is>
          <t>争取明年开大G的店</t>
        </is>
      </c>
      <c r="N663">
        <v>2724</v>
      </c>
      <c r="O663">
        <v>4.62</v>
      </c>
      <c r="P663">
        <v>22000</v>
      </c>
      <c r="Q663" t="inlineStr">
        <is>
          <t>66a9aef2c205ae00012af9cf</t>
        </is>
      </c>
      <c r="R663" t="inlineStr">
        <is>
          <t>🚫重复</t>
        </is>
      </c>
      <c r="S663" t="inlineStr">
        <is>
          <t>设计素材</t>
        </is>
      </c>
      <c r="T663" t="inlineStr">
        <is>
          <t>2.26</t>
        </is>
      </c>
      <c r="U663" s="3">
        <v>46112.78107638889</v>
      </c>
      <c r="V663" t="inlineStr">
        <is>
          <t>虚拟产品</t>
        </is>
      </c>
      <c r="W663" s="3">
        <v>46034</v>
      </c>
      <c r="X663" t="inlineStr">
        <is>
          <t>01</t>
        </is>
      </c>
      <c r="Y663" t="inlineStr">
        <is>
          <t>2026-Q1</t>
        </is>
      </c>
    </row>
    <row r="664" ht="38.25" customHeight="1">
      <c r="A664" t="inlineStr">
        <is>
          <t>iPhone快捷指令，抖音下载视频无水印   安卓勿拍</t>
        </is>
      </c>
      <c r="B664" t="inlineStr">
        <is>
          <t>__upload_recv83CeKuI4LB.jpg</t>
        </is>
      </c>
      <c r="C664" s="2" t="str">
        <f>=HYPERLINK("https://xhslink.com/m/ASgPtFbCv8x", "https://xhslink.com/m/ASgPtFbCv8x")</f>
        <v>https://xhslink.com/m/ASgPtFbCv8x</v>
      </c>
      <c r="D664"/>
      <c r="E664">
        <v>1692</v>
      </c>
      <c r="F664">
        <v>1.99</v>
      </c>
      <c r="G664"/>
      <c r="H664"/>
      <c r="I664">
        <v>1000</v>
      </c>
      <c r="J664"/>
      <c r="K664" t="inlineStr">
        <is>
          <t>快捷指令</t>
        </is>
      </c>
      <c r="L664" t="inlineStr">
        <is>
          <t>🔥低粉爆款</t>
        </is>
      </c>
      <c r="M664" t="inlineStr">
        <is>
          <t>是一个小小的的店</t>
        </is>
      </c>
      <c r="N664">
        <v>271</v>
      </c>
      <c r="O664">
        <v>3.87</v>
      </c>
      <c r="P664">
        <v>4621</v>
      </c>
      <c r="Q664" t="inlineStr">
        <is>
          <t>67c91340f2389c0001133d0d</t>
        </is>
      </c>
      <c r="R664"/>
      <c r="S664" t="inlineStr">
        <is>
          <t>软件应用</t>
        </is>
      </c>
      <c r="T664" t="inlineStr">
        <is>
          <t>6.24</t>
        </is>
      </c>
      <c r="U664" s="3">
        <v>46112.78107638889</v>
      </c>
      <c r="V664" t="inlineStr">
        <is>
          <t>虚拟产品</t>
        </is>
      </c>
      <c r="W664" s="3">
        <v>46034</v>
      </c>
      <c r="X664" t="inlineStr">
        <is>
          <t>01</t>
        </is>
      </c>
      <c r="Y664" t="inlineStr">
        <is>
          <t>2026-Q1</t>
        </is>
      </c>
    </row>
    <row r="665" ht="38.25" customHeight="1">
      <c r="A665" t="inlineStr">
        <is>
          <t>小红书去水印·快捷指令·图片·视频·live图，操作简单，包教包会</t>
        </is>
      </c>
      <c r="B665" t="inlineStr">
        <is>
          <t>__upload_recv83CeKuB8jT.jpg</t>
        </is>
      </c>
      <c r="C665" s="2" t="str">
        <f>=HYPERLINK("https://xhslink.com/m/6txbpRZbj1C", "https://xhslink.com/m/6txbpRZbj1C")</f>
        <v>https://xhslink.com/m/6txbpRZbj1C</v>
      </c>
      <c r="D665"/>
      <c r="E665">
        <v>1525</v>
      </c>
      <c r="F665">
        <v>2.66</v>
      </c>
      <c r="G665"/>
      <c r="H665"/>
      <c r="I665">
        <v>1000</v>
      </c>
      <c r="J665"/>
      <c r="K665" t="inlineStr">
        <is>
          <t>快捷指令</t>
        </is>
      </c>
      <c r="L665" t="inlineStr">
        <is>
          <t>🔥低粉爆款</t>
        </is>
      </c>
      <c r="M665" t="inlineStr">
        <is>
          <t>程序员小Q的店</t>
        </is>
      </c>
      <c r="N665">
        <v>38</v>
      </c>
      <c r="O665">
        <v>4.18</v>
      </c>
      <c r="P665">
        <v>1540</v>
      </c>
      <c r="Q665" t="inlineStr">
        <is>
          <t>6911da3baf86f8000116da19</t>
        </is>
      </c>
      <c r="R665"/>
      <c r="S665" t="inlineStr">
        <is>
          <t>设计素材</t>
        </is>
      </c>
      <c r="T665" t="inlineStr">
        <is>
          <t>40.13</t>
        </is>
      </c>
      <c r="U665" s="3">
        <v>46112.78107638889</v>
      </c>
      <c r="V665" t="inlineStr">
        <is>
          <t>虚拟产品</t>
        </is>
      </c>
      <c r="W665" s="3">
        <v>46034</v>
      </c>
      <c r="X665" t="inlineStr">
        <is>
          <t>01</t>
        </is>
      </c>
      <c r="Y665" t="inlineStr">
        <is>
          <t>2026-Q1</t>
        </is>
      </c>
    </row>
    <row r="666" ht="38.25" customHeight="1">
      <c r="A666" t="inlineStr">
        <is>
          <t>律师案件管理系统表格</t>
        </is>
      </c>
      <c r="B666" t="inlineStr">
        <is>
          <t>__upload_recv83CeKuN5uD.jpg</t>
        </is>
      </c>
      <c r="C666" s="2" t="str">
        <f>=HYPERLINK("https://xhslink.com/m/8k4BOuphuhJ", "https://xhslink.com/m/8k4BOuphuhJ")</f>
        <v>https://xhslink.com/m/8k4BOuphuhJ</v>
      </c>
      <c r="D666"/>
      <c r="E666">
        <v>1998</v>
      </c>
      <c r="F666">
        <v>39.9</v>
      </c>
      <c r="G666"/>
      <c r="H666"/>
      <c r="I666">
        <v>600</v>
      </c>
      <c r="J666"/>
      <c r="K666" t="inlineStr">
        <is>
          <t>飞书模版</t>
        </is>
      </c>
      <c r="L666"/>
      <c r="M666" t="inlineStr">
        <is>
          <t>爱研究的周律师的店</t>
        </is>
      </c>
      <c r="N666">
        <v>1015</v>
      </c>
      <c r="O666">
        <v>4.09</v>
      </c>
      <c r="P666">
        <v>2204</v>
      </c>
      <c r="Q666" t="inlineStr">
        <is>
          <t>687c8e3e4daa7100010d52da</t>
        </is>
      </c>
      <c r="R666"/>
      <c r="S666" t="inlineStr">
        <is>
          <t>无匹配类别</t>
        </is>
      </c>
      <c r="T666" t="inlineStr">
        <is>
          <t>1.97</t>
        </is>
      </c>
      <c r="U666" s="3">
        <v>46112.78107638889</v>
      </c>
      <c r="V666" t="inlineStr">
        <is>
          <t>虚拟产品</t>
        </is>
      </c>
      <c r="W666" s="3">
        <v>46034</v>
      </c>
      <c r="X666" t="inlineStr">
        <is>
          <t>01</t>
        </is>
      </c>
      <c r="Y666" t="inlineStr">
        <is>
          <t>2026-Q1</t>
        </is>
      </c>
    </row>
    <row r="667" ht="38.25" customHeight="1">
      <c r="A667" t="inlineStr">
        <is>
          <t>公务员国考省考历年真题套卷</t>
        </is>
      </c>
      <c r="B667" t="inlineStr">
        <is>
          <t>__upload_recv8ah9QpU2wc.jpg</t>
        </is>
      </c>
      <c r="C667" s="2" t="str">
        <f>=HYPERLINK("https://xhslink.com/m/6FOOn8iUArn", "https://xhslink.com/m/6FOOn8iUArn")</f>
        <v>https://xhslink.com/m/6FOOn8iUArn</v>
      </c>
      <c r="D667"/>
      <c r="E667">
        <v>6643</v>
      </c>
      <c r="F667">
        <v>16</v>
      </c>
      <c r="G667"/>
      <c r="H667"/>
      <c r="I667">
        <v>1000</v>
      </c>
      <c r="J667"/>
      <c r="K667" t="inlineStr">
        <is>
          <t>公务员行测题库</t>
        </is>
      </c>
      <c r="L667"/>
      <c r="M667" t="inlineStr">
        <is>
          <t>小吴的考公书斋的店</t>
        </is>
      </c>
      <c r="N667">
        <v>5821</v>
      </c>
      <c r="O667">
        <v>4.44</v>
      </c>
      <c r="P667">
        <v>13000</v>
      </c>
      <c r="Q667" t="inlineStr">
        <is>
          <t>66a21bd34895030001934198</t>
        </is>
      </c>
      <c r="R667" t="inlineStr">
        <is>
          <t>🚫重复</t>
        </is>
      </c>
      <c r="S667" t="inlineStr">
        <is>
          <t>考公资料</t>
        </is>
      </c>
      <c r="T667" t="inlineStr">
        <is>
          <t>1.14</t>
        </is>
      </c>
      <c r="U667" s="3">
        <v>46112.78107638889</v>
      </c>
      <c r="V667" t="inlineStr">
        <is>
          <t>虚拟产品</t>
        </is>
      </c>
      <c r="W667" s="3">
        <v>46035</v>
      </c>
      <c r="X667" t="inlineStr">
        <is>
          <t>01</t>
        </is>
      </c>
      <c r="Y667" t="inlineStr">
        <is>
          <t>2026-Q1</t>
        </is>
      </c>
    </row>
    <row r="668" ht="38.25" customHeight="1">
      <c r="A668" t="inlineStr">
        <is>
          <t>简历模板个人求职大学生无经验应届生面试word电子版简历999套</t>
        </is>
      </c>
      <c r="B668" t="inlineStr">
        <is>
          <t>__upload_recv8ahaWnEI6I.jpg</t>
        </is>
      </c>
      <c r="C668" s="2" t="str">
        <f>=HYPERLINK("https://xhslink.com/m/8n83NVkhBYr", "https://xhslink.com/m/8n83NVkhBYr")</f>
        <v>https://xhslink.com/m/8n83NVkhBYr</v>
      </c>
      <c r="D668"/>
      <c r="E668">
        <v>84000</v>
      </c>
      <c r="F668">
        <v>0.88</v>
      </c>
      <c r="G668"/>
      <c r="H668"/>
      <c r="I668">
        <v>1000</v>
      </c>
      <c r="J668"/>
      <c r="K668" t="inlineStr">
        <is>
          <t>简历</t>
        </is>
      </c>
      <c r="L668" t="inlineStr">
        <is>
          <t>🔥低粉爆款</t>
        </is>
      </c>
      <c r="M668" t="inlineStr">
        <is>
          <t>小轩素材的店</t>
        </is>
      </c>
      <c r="N668">
        <v>26000</v>
      </c>
      <c r="O668">
        <v>4.3</v>
      </c>
      <c r="P668">
        <v>309000</v>
      </c>
      <c r="Q668" t="inlineStr">
        <is>
          <t>6857d0293a11a800011c047c</t>
        </is>
      </c>
      <c r="R668" t="inlineStr">
        <is>
          <t>🚫重复</t>
        </is>
      </c>
      <c r="S668" t="inlineStr">
        <is>
          <t>求职面试/职场</t>
        </is>
      </c>
      <c r="T668" t="inlineStr">
        <is>
          <t>3.23</t>
        </is>
      </c>
      <c r="U668" s="3">
        <v>46112.78107638889</v>
      </c>
      <c r="V668" t="inlineStr">
        <is>
          <t>虚拟产品</t>
        </is>
      </c>
      <c r="W668" s="3">
        <v>46035</v>
      </c>
      <c r="X668" t="inlineStr">
        <is>
          <t>01</t>
        </is>
      </c>
      <c r="Y668" t="inlineStr">
        <is>
          <t>2026-Q1</t>
        </is>
      </c>
    </row>
    <row r="669" ht="38.25" customHeight="1">
      <c r="A669" t="inlineStr">
        <is>
          <t>有趣简历原创A18·简约清爽军绿色大学生无经验通用简历模板套装</t>
        </is>
      </c>
      <c r="B669" t="inlineStr">
        <is>
          <t>__upload_recv8ahaWnPoZL.jpg</t>
        </is>
      </c>
      <c r="C669" s="2" t="str">
        <f>=HYPERLINK("https://xhslink.com/m/Fqpuk0LdOF", "https://xhslink.com/m/Fqpuk0LdOF")</f>
        <v>https://xhslink.com/m/Fqpuk0LdOF</v>
      </c>
      <c r="D669"/>
      <c r="E669">
        <v>21000</v>
      </c>
      <c r="F669">
        <v>0.1</v>
      </c>
      <c r="G669"/>
      <c r="H669"/>
      <c r="I669">
        <v>2000</v>
      </c>
      <c r="J669"/>
      <c r="K669" t="inlineStr">
        <is>
          <t>简历</t>
        </is>
      </c>
      <c r="L669"/>
      <c r="M669" t="inlineStr">
        <is>
          <t>有趣 简历的店</t>
        </is>
      </c>
      <c r="N669">
        <v>20000</v>
      </c>
      <c r="O669">
        <v>4.41</v>
      </c>
      <c r="P669">
        <v>146000</v>
      </c>
      <c r="Q669" t="inlineStr">
        <is>
          <t>666b2f2ba9c8b700011c5ac3</t>
        </is>
      </c>
      <c r="R669" t="inlineStr">
        <is>
          <t>🚫重复</t>
        </is>
      </c>
      <c r="S669" t="inlineStr">
        <is>
          <t>求职面试/职场</t>
        </is>
      </c>
      <c r="T669" t="inlineStr">
        <is>
          <t>1.05</t>
        </is>
      </c>
      <c r="U669" s="3">
        <v>46112.78107638889</v>
      </c>
      <c r="V669" t="inlineStr">
        <is>
          <t>虚拟产品</t>
        </is>
      </c>
      <c r="W669" s="3">
        <v>46035</v>
      </c>
      <c r="X669" t="inlineStr">
        <is>
          <t>01</t>
        </is>
      </c>
      <c r="Y669" t="inlineStr">
        <is>
          <t>2026-Q1</t>
        </is>
      </c>
    </row>
    <row r="670" ht="38.25" customHeight="1">
      <c r="A670" t="inlineStr">
        <is>
          <t>【笔记同款】简历模板-拍下秒发-手机/平板/电脑可制作</t>
        </is>
      </c>
      <c r="B670" t="inlineStr">
        <is>
          <t>__upload_recv8ahaWnnTf4.jpg</t>
        </is>
      </c>
      <c r="C670" s="2" t="str">
        <f>=HYPERLINK("https://xhslink.com/m/AxFh2nJvDSE", "https://xhslink.com/m/AxFh2nJvDSE")</f>
        <v>https://xhslink.com/m/AxFh2nJvDSE</v>
      </c>
      <c r="D670"/>
      <c r="E670">
        <v>13000</v>
      </c>
      <c r="F670">
        <v>3.98</v>
      </c>
      <c r="G670"/>
      <c r="H670"/>
      <c r="I670">
        <v>6000</v>
      </c>
      <c r="J670"/>
      <c r="K670" t="inlineStr">
        <is>
          <t>简历</t>
        </is>
      </c>
      <c r="L670"/>
      <c r="M670" t="inlineStr">
        <is>
          <t>阿啾爱学习的店</t>
        </is>
      </c>
      <c r="N670">
        <v>29000</v>
      </c>
      <c r="O670">
        <v>4.35</v>
      </c>
      <c r="P670">
        <v>48000</v>
      </c>
      <c r="Q670" t="inlineStr">
        <is>
          <t>68859dbcebefca0001338e6a</t>
        </is>
      </c>
      <c r="R670"/>
      <c r="S670" t="inlineStr">
        <is>
          <t>求职面试/职场</t>
        </is>
      </c>
      <c r="T670" t="inlineStr">
        <is>
          <t>0.45</t>
        </is>
      </c>
      <c r="U670" s="3">
        <v>46112.78107638889</v>
      </c>
      <c r="V670" t="inlineStr">
        <is>
          <t>虚拟产品</t>
        </is>
      </c>
      <c r="W670" s="3">
        <v>46035</v>
      </c>
      <c r="X670" t="inlineStr">
        <is>
          <t>01</t>
        </is>
      </c>
      <c r="Y670" t="inlineStr">
        <is>
          <t>2026-Q1</t>
        </is>
      </c>
    </row>
    <row r="671" ht="38.25" customHeight="1">
      <c r="A671" t="inlineStr">
        <is>
          <t>应届生无经验通用求职简历模版多种风格样式大学生简历模版</t>
        </is>
      </c>
      <c r="B671" t="inlineStr">
        <is>
          <t>__upload_recv8ahaWnyrvC.jpg</t>
        </is>
      </c>
      <c r="C671" s="2" t="str">
        <f>=HYPERLINK("https://xhslink.com/m/1iJBNTdrQAR", "https://xhslink.com/m/1iJBNTdrQAR")</f>
        <v>https://xhslink.com/m/1iJBNTdrQAR</v>
      </c>
      <c r="D671"/>
      <c r="E671">
        <v>9815</v>
      </c>
      <c r="F671">
        <v>1.99</v>
      </c>
      <c r="G671"/>
      <c r="H671"/>
      <c r="I671">
        <v>600</v>
      </c>
      <c r="J671"/>
      <c r="K671" t="inlineStr">
        <is>
          <t>简历</t>
        </is>
      </c>
      <c r="L671"/>
      <c r="M671" t="inlineStr">
        <is>
          <t>饭饭简历的店</t>
        </is>
      </c>
      <c r="N671">
        <v>3676</v>
      </c>
      <c r="O671">
        <v>4.17</v>
      </c>
      <c r="P671">
        <v>14000</v>
      </c>
      <c r="Q671" t="inlineStr">
        <is>
          <t>6770efbeada6590001232ea8</t>
        </is>
      </c>
      <c r="R671" t="inlineStr">
        <is>
          <t>🚫重复</t>
        </is>
      </c>
      <c r="S671" t="inlineStr">
        <is>
          <t>求职面试/职场</t>
        </is>
      </c>
      <c r="T671" t="inlineStr">
        <is>
          <t>2.67</t>
        </is>
      </c>
      <c r="U671" s="3">
        <v>46112.78107638889</v>
      </c>
      <c r="V671" t="inlineStr">
        <is>
          <t>虚拟产品</t>
        </is>
      </c>
      <c r="W671" s="3">
        <v>46035</v>
      </c>
      <c r="X671" t="inlineStr">
        <is>
          <t>01</t>
        </is>
      </c>
      <c r="Y671" t="inlineStr">
        <is>
          <t>2026-Q1</t>
        </is>
      </c>
    </row>
    <row r="672" ht="38.25" customHeight="1">
      <c r="A672" t="inlineStr">
        <is>
          <t>通用现代个人简历模版！！—（XH002）</t>
        </is>
      </c>
      <c r="B672" t="inlineStr">
        <is>
          <t>__upload_recv8ahaWnwnoU.jpg</t>
        </is>
      </c>
      <c r="C672" s="2" t="str">
        <f>=HYPERLINK("https://xhslink.com/m/5Z2FYbm9G01", "https://xhslink.com/m/5Z2FYbm9G01")</f>
        <v>https://xhslink.com/m/5Z2FYbm9G01</v>
      </c>
      <c r="D672"/>
      <c r="E672">
        <v>6677</v>
      </c>
      <c r="F672">
        <v>2.9</v>
      </c>
      <c r="G672"/>
      <c r="H672"/>
      <c r="I672">
        <v>900</v>
      </c>
      <c r="J672"/>
      <c r="K672" t="inlineStr">
        <is>
          <t>简历</t>
        </is>
      </c>
      <c r="L672" t="inlineStr">
        <is>
          <t>🔥低粉爆款</t>
        </is>
      </c>
      <c r="M672" t="inlineStr">
        <is>
          <t>子言学姐简历模板的店</t>
        </is>
      </c>
      <c r="N672">
        <v>985</v>
      </c>
      <c r="O672">
        <v>3.72</v>
      </c>
      <c r="P672">
        <v>10000</v>
      </c>
      <c r="Q672" t="inlineStr">
        <is>
          <t>661d0a35abd09900013cef03</t>
        </is>
      </c>
      <c r="R672"/>
      <c r="S672" t="inlineStr">
        <is>
          <t>求职面试/职场</t>
        </is>
      </c>
      <c r="T672" t="inlineStr">
        <is>
          <t>6.78</t>
        </is>
      </c>
      <c r="U672" s="3">
        <v>46112.78107638889</v>
      </c>
      <c r="V672" t="inlineStr">
        <is>
          <t>虚拟产品</t>
        </is>
      </c>
      <c r="W672" s="3">
        <v>46035</v>
      </c>
      <c r="X672" t="inlineStr">
        <is>
          <t>01</t>
        </is>
      </c>
      <c r="Y672" t="inlineStr">
        <is>
          <t>2026-Q1</t>
        </is>
      </c>
    </row>
    <row r="673" ht="38.25" customHeight="1">
      <c r="A673" t="inlineStr">
        <is>
          <t>小升初入学幼升小学生个人简历word模板升学自荐信单页多页电子版</t>
        </is>
      </c>
      <c r="B673" t="inlineStr">
        <is>
          <t>__upload_recv8ahaWne90H.jpg</t>
        </is>
      </c>
      <c r="C673" s="2" t="str">
        <f>=HYPERLINK("https://xhslink.com/m/6mfpym2ISP2", "https://xhslink.com/m/6mfpym2ISP2")</f>
        <v>https://xhslink.com/m/6mfpym2ISP2</v>
      </c>
      <c r="D673"/>
      <c r="E673">
        <v>5815</v>
      </c>
      <c r="F673">
        <v>4.98</v>
      </c>
      <c r="G673"/>
      <c r="H673"/>
      <c r="I673">
        <v>400</v>
      </c>
      <c r="J673"/>
      <c r="K673" t="inlineStr">
        <is>
          <t>简历</t>
        </is>
      </c>
      <c r="L673"/>
      <c r="M673" t="inlineStr">
        <is>
          <t>果果素材的店</t>
        </is>
      </c>
      <c r="N673">
        <v>6561</v>
      </c>
      <c r="O673">
        <v>4.18</v>
      </c>
      <c r="P673">
        <v>42000</v>
      </c>
      <c r="Q673" t="inlineStr">
        <is>
          <t>65e6eecf3f330b0001fc187e</t>
        </is>
      </c>
      <c r="R673" t="inlineStr">
        <is>
          <t>🚫重复</t>
        </is>
      </c>
      <c r="S673" t="inlineStr">
        <is>
          <t>中小学教辅/教材</t>
        </is>
      </c>
      <c r="T673" t="inlineStr">
        <is>
          <t>0.89</t>
        </is>
      </c>
      <c r="U673" s="3">
        <v>46112.78107638889</v>
      </c>
      <c r="V673" t="inlineStr">
        <is>
          <t>虚拟产品</t>
        </is>
      </c>
      <c r="W673" s="3">
        <v>46035</v>
      </c>
      <c r="X673" t="inlineStr">
        <is>
          <t>01</t>
        </is>
      </c>
      <c r="Y673" t="inlineStr">
        <is>
          <t>2026-Q1</t>
        </is>
      </c>
    </row>
    <row r="674" ht="38.25" customHeight="1">
      <c r="A674" t="inlineStr">
        <is>
          <t>（12款模板都发）应届生无经验简历模板大学生三无简历模板</t>
        </is>
      </c>
      <c r="B674" t="inlineStr">
        <is>
          <t>__upload_recv8ahaWnGSIp.jpg</t>
        </is>
      </c>
      <c r="C674" s="2" t="str">
        <f>=HYPERLINK("https://xhslink.com/m/9wVW3PDW7yo", "https://xhslink.com/m/9wVW3PDW7yo")</f>
        <v>https://xhslink.com/m/9wVW3PDW7yo</v>
      </c>
      <c r="D674"/>
      <c r="E674">
        <v>5074</v>
      </c>
      <c r="F674">
        <v>4.99</v>
      </c>
      <c r="G674"/>
      <c r="H674"/>
      <c r="I674">
        <v>400</v>
      </c>
      <c r="J674"/>
      <c r="K674" t="inlineStr">
        <is>
          <t>简历</t>
        </is>
      </c>
      <c r="L674"/>
      <c r="M674" t="inlineStr">
        <is>
          <t>三无大学生简历的店</t>
        </is>
      </c>
      <c r="N674">
        <v>8001</v>
      </c>
      <c r="O674">
        <v>3.93</v>
      </c>
      <c r="P674">
        <v>50000</v>
      </c>
      <c r="Q674" t="inlineStr">
        <is>
          <t>668df9e9232a810001114208</t>
        </is>
      </c>
      <c r="R674"/>
      <c r="S674" t="inlineStr">
        <is>
          <t>求职面试/职场</t>
        </is>
      </c>
      <c r="T674" t="inlineStr">
        <is>
          <t>0.63</t>
        </is>
      </c>
      <c r="U674" s="3">
        <v>46112.78107638889</v>
      </c>
      <c r="V674" t="inlineStr">
        <is>
          <t>虚拟产品</t>
        </is>
      </c>
      <c r="W674" s="3">
        <v>46035</v>
      </c>
      <c r="X674" t="inlineStr">
        <is>
          <t>01</t>
        </is>
      </c>
      <c r="Y674" t="inlineStr">
        <is>
          <t>2026-Q1</t>
        </is>
      </c>
    </row>
    <row r="675" ht="38.25" customHeight="1">
      <c r="A675" t="inlineStr">
        <is>
          <t>四页·简历模板·封面+简历+自荐信+尾页-手机可编辑-A04</t>
        </is>
      </c>
      <c r="B675" t="inlineStr">
        <is>
          <t>__upload_recv8ahaWnHmGs.jpg</t>
        </is>
      </c>
      <c r="C675" s="2" t="str">
        <f>=HYPERLINK("https://xhslink.com/m/2ApEjysHyFW", "https://xhslink.com/m/2ApEjysHyFW")</f>
        <v>https://xhslink.com/m/2ApEjysHyFW</v>
      </c>
      <c r="D675"/>
      <c r="E675">
        <v>4893</v>
      </c>
      <c r="F675">
        <v>2.98</v>
      </c>
      <c r="G675"/>
      <c r="H675"/>
      <c r="I675">
        <v>500</v>
      </c>
      <c r="J675"/>
      <c r="K675" t="inlineStr">
        <is>
          <t>简历</t>
        </is>
      </c>
      <c r="L675"/>
      <c r="M675" t="inlineStr">
        <is>
          <t>大学生求职简历模板的店</t>
        </is>
      </c>
      <c r="N675">
        <v>19000</v>
      </c>
      <c r="O675">
        <v>4.41</v>
      </c>
      <c r="P675">
        <v>59000</v>
      </c>
      <c r="Q675" t="inlineStr">
        <is>
          <t>66efbe8ecddd6a0001c8fadd</t>
        </is>
      </c>
      <c r="R675" t="inlineStr">
        <is>
          <t>🚫重复</t>
        </is>
      </c>
      <c r="S675" t="inlineStr">
        <is>
          <t>求职面试/职场</t>
        </is>
      </c>
      <c r="T675" t="inlineStr">
        <is>
          <t>0.26</t>
        </is>
      </c>
      <c r="U675" s="3">
        <v>46112.78107638889</v>
      </c>
      <c r="V675" t="inlineStr">
        <is>
          <t>虚拟产品</t>
        </is>
      </c>
      <c r="W675" s="3">
        <v>46035</v>
      </c>
      <c r="X675" t="inlineStr">
        <is>
          <t>01</t>
        </is>
      </c>
      <c r="Y675" t="inlineStr">
        <is>
          <t>2026-Q1</t>
        </is>
      </c>
    </row>
    <row r="676" ht="38.25" customHeight="1">
      <c r="A676" t="inlineStr">
        <is>
          <t>家教简历红色+蓝色款式-虚拟定制商品</t>
        </is>
      </c>
      <c r="B676" t="inlineStr">
        <is>
          <t>__upload_recv8ahaWnriut.jpg</t>
        </is>
      </c>
      <c r="C676" s="2" t="str">
        <f>=HYPERLINK("https://xhslink.com/m/23ZQSBCskAU", "https://xhslink.com/m/23ZQSBCskAU")</f>
        <v>https://xhslink.com/m/23ZQSBCskAU</v>
      </c>
      <c r="D676"/>
      <c r="E676">
        <v>4867</v>
      </c>
      <c r="F676">
        <v>1.99</v>
      </c>
      <c r="G676"/>
      <c r="H676"/>
      <c r="I676">
        <v>400</v>
      </c>
      <c r="J676"/>
      <c r="K676" t="inlineStr">
        <is>
          <t>简历</t>
        </is>
      </c>
      <c r="L676"/>
      <c r="M676" t="inlineStr">
        <is>
          <t>Britney暮光的店</t>
        </is>
      </c>
      <c r="N676">
        <v>21000</v>
      </c>
      <c r="O676">
        <v>4.34</v>
      </c>
      <c r="P676">
        <v>5825</v>
      </c>
      <c r="Q676" t="inlineStr">
        <is>
          <t>677d3a6f041cf30001d82f35</t>
        </is>
      </c>
      <c r="R676"/>
      <c r="S676" t="inlineStr">
        <is>
          <t>求职面试/职场</t>
        </is>
      </c>
      <c r="T676" t="inlineStr">
        <is>
          <t>0.23</t>
        </is>
      </c>
      <c r="U676" s="3">
        <v>46112.78107638889</v>
      </c>
      <c r="V676" t="inlineStr">
        <is>
          <t>虚拟产品</t>
        </is>
      </c>
      <c r="W676" s="3">
        <v>46035</v>
      </c>
      <c r="X676" t="inlineStr">
        <is>
          <t>01</t>
        </is>
      </c>
      <c r="Y676" t="inlineStr">
        <is>
          <t>2026-Q1</t>
        </is>
      </c>
    </row>
    <row r="677" ht="38.25" customHeight="1">
      <c r="A677" t="inlineStr">
        <is>
          <t>表格简历模板合集·支持24小时自动秒发·B10有趣简历原创简历</t>
        </is>
      </c>
      <c r="B677" t="inlineStr">
        <is>
          <t>__upload_recv8ahaWnDHKu.jpg</t>
        </is>
      </c>
      <c r="C677" s="2" t="str">
        <f>=HYPERLINK("https://xhslink.com/m/1zgeMDSnXzm", "https://xhslink.com/m/1zgeMDSnXzm")</f>
        <v>https://xhslink.com/m/1zgeMDSnXzm</v>
      </c>
      <c r="D677"/>
      <c r="E677">
        <v>4526</v>
      </c>
      <c r="F677">
        <v>0.1</v>
      </c>
      <c r="G677"/>
      <c r="H677"/>
      <c r="I677">
        <v>800</v>
      </c>
      <c r="J677"/>
      <c r="K677" t="inlineStr">
        <is>
          <t>简历</t>
        </is>
      </c>
      <c r="L677"/>
      <c r="M677" t="inlineStr">
        <is>
          <t>有趣 简历的店</t>
        </is>
      </c>
      <c r="N677">
        <v>20000</v>
      </c>
      <c r="O677">
        <v>4.41</v>
      </c>
      <c r="P677">
        <v>146000</v>
      </c>
      <c r="Q677" t="inlineStr">
        <is>
          <t>66967b69eee210000191817b</t>
        </is>
      </c>
      <c r="R677" t="inlineStr">
        <is>
          <t>🚫重复</t>
        </is>
      </c>
      <c r="S677" t="inlineStr">
        <is>
          <t>求职面试/职场</t>
        </is>
      </c>
      <c r="T677" t="inlineStr">
        <is>
          <t>0.23</t>
        </is>
      </c>
      <c r="U677" s="3">
        <v>46112.78107638889</v>
      </c>
      <c r="V677" t="inlineStr">
        <is>
          <t>虚拟产品</t>
        </is>
      </c>
      <c r="W677" s="3">
        <v>46035</v>
      </c>
      <c r="X677" t="inlineStr">
        <is>
          <t>01</t>
        </is>
      </c>
      <c r="Y677" t="inlineStr">
        <is>
          <t>2026-Q1</t>
        </is>
      </c>
    </row>
    <row r="678" ht="38.25" customHeight="1">
      <c r="A678" t="inlineStr">
        <is>
          <t>个人简历模板大全word可编辑大学生求职简约三四页高端电子版通用</t>
        </is>
      </c>
      <c r="B678" t="inlineStr">
        <is>
          <t>__upload_recv8ahaWnzxws.jpg</t>
        </is>
      </c>
      <c r="C678" s="2" t="str">
        <f>=HYPERLINK("https://xhslink.com/m/8WvFf7lPyTW", "https://xhslink.com/m/8WvFf7lPyTW")</f>
        <v>https://xhslink.com/m/8WvFf7lPyTW</v>
      </c>
      <c r="D678"/>
      <c r="E678">
        <v>4388</v>
      </c>
      <c r="F678">
        <v>0.1</v>
      </c>
      <c r="G678"/>
      <c r="H678"/>
      <c r="I678">
        <v>4000</v>
      </c>
      <c r="J678"/>
      <c r="K678" t="inlineStr">
        <is>
          <t>简历</t>
        </is>
      </c>
      <c r="L678" t="inlineStr">
        <is>
          <t>🔥低粉爆款</t>
        </is>
      </c>
      <c r="M678" t="inlineStr">
        <is>
          <t>蓝胖薯的店</t>
        </is>
      </c>
      <c r="N678">
        <v>135</v>
      </c>
      <c r="O678">
        <v>4.06</v>
      </c>
      <c r="P678">
        <v>6153</v>
      </c>
      <c r="Q678" t="inlineStr">
        <is>
          <t>69219895ce3eb500019ba18a</t>
        </is>
      </c>
      <c r="R678"/>
      <c r="S678" t="inlineStr">
        <is>
          <t>求职面试/职场</t>
        </is>
      </c>
      <c r="T678" t="inlineStr">
        <is>
          <t>32.50</t>
        </is>
      </c>
      <c r="U678" s="3">
        <v>46112.78107638889</v>
      </c>
      <c r="V678" t="inlineStr">
        <is>
          <t>虚拟产品</t>
        </is>
      </c>
      <c r="W678" s="3">
        <v>46035</v>
      </c>
      <c r="X678" t="inlineStr">
        <is>
          <t>01</t>
        </is>
      </c>
      <c r="Y678" t="inlineStr">
        <is>
          <t>2026-Q1</t>
        </is>
      </c>
    </row>
    <row r="679" ht="38.25" customHeight="1">
      <c r="A679" t="inlineStr">
        <is>
          <t>简历模板个人求职大学生无经验应届生面试word电子版简历999套</t>
        </is>
      </c>
      <c r="B679" t="inlineStr">
        <is>
          <t>__upload_recv8ahaWnr8AW.jpg</t>
        </is>
      </c>
      <c r="C679" s="2" t="str">
        <f>=HYPERLINK("https://xhslink.com/m/2lqgLtbWyhU", "https://xhslink.com/m/2lqgLtbWyhU")</f>
        <v>https://xhslink.com/m/2lqgLtbWyhU</v>
      </c>
      <c r="D679"/>
      <c r="E679">
        <v>2358</v>
      </c>
      <c r="F679">
        <v>0.99</v>
      </c>
      <c r="G679"/>
      <c r="H679"/>
      <c r="I679">
        <v>2000</v>
      </c>
      <c r="J679"/>
      <c r="K679" t="inlineStr">
        <is>
          <t>简历</t>
        </is>
      </c>
      <c r="L679" t="inlineStr">
        <is>
          <t>🔥低粉爆款</t>
        </is>
      </c>
      <c r="M679" t="inlineStr">
        <is>
          <t>小鱼素材🐟的店</t>
        </is>
      </c>
      <c r="N679">
        <v>615</v>
      </c>
      <c r="O679">
        <v>4.36</v>
      </c>
      <c r="P679">
        <v>3934</v>
      </c>
      <c r="Q679" t="inlineStr">
        <is>
          <t>68abc88fe5da740015c6bc0d</t>
        </is>
      </c>
      <c r="R679"/>
      <c r="S679" t="inlineStr">
        <is>
          <t>求职面试/职场</t>
        </is>
      </c>
      <c r="T679" t="inlineStr">
        <is>
          <t>3.83</t>
        </is>
      </c>
      <c r="U679" s="3">
        <v>46112.78107638889</v>
      </c>
      <c r="V679" t="inlineStr">
        <is>
          <t>虚拟产品</t>
        </is>
      </c>
      <c r="W679" s="3">
        <v>46035</v>
      </c>
      <c r="X679" t="inlineStr">
        <is>
          <t>01</t>
        </is>
      </c>
      <c r="Y679" t="inlineStr">
        <is>
          <t>2026-Q1</t>
        </is>
      </c>
    </row>
    <row r="680" ht="38.25" customHeight="1">
      <c r="A680" t="inlineStr">
        <is>
          <t>简历模板个人求职大学生无经验Word电子版简历直接套用上百种</t>
        </is>
      </c>
      <c r="B680" t="inlineStr">
        <is>
          <t>__upload_recv8ahaWn9dCJ.jpg</t>
        </is>
      </c>
      <c r="C680" s="2" t="str">
        <f>=HYPERLINK("https://xhslink.com/m/pNEVKkcuaM", "https://xhslink.com/m/pNEVKkcuaM")</f>
        <v>https://xhslink.com/m/pNEVKkcuaM</v>
      </c>
      <c r="D680"/>
      <c r="E680">
        <v>2057</v>
      </c>
      <c r="F680">
        <v>1.99</v>
      </c>
      <c r="G680"/>
      <c r="H680"/>
      <c r="I680">
        <v>800</v>
      </c>
      <c r="J680"/>
      <c r="K680" t="inlineStr">
        <is>
          <t>简历</t>
        </is>
      </c>
      <c r="L680"/>
      <c r="M680" t="inlineStr">
        <is>
          <t>饭饭简历的店</t>
        </is>
      </c>
      <c r="N680">
        <v>3676</v>
      </c>
      <c r="O680">
        <v>4.17</v>
      </c>
      <c r="P680">
        <v>14000</v>
      </c>
      <c r="Q680" t="inlineStr">
        <is>
          <t>68185a543366f10001928a2d</t>
        </is>
      </c>
      <c r="R680" t="inlineStr">
        <is>
          <t>🚫重复</t>
        </is>
      </c>
      <c r="S680" t="inlineStr">
        <is>
          <t>求职面试/职场</t>
        </is>
      </c>
      <c r="T680" t="inlineStr">
        <is>
          <t>0.56</t>
        </is>
      </c>
      <c r="U680" s="3">
        <v>46112.78107638889</v>
      </c>
      <c r="V680" t="inlineStr">
        <is>
          <t>虚拟产品</t>
        </is>
      </c>
      <c r="W680" s="3">
        <v>46035</v>
      </c>
      <c r="X680" t="inlineStr">
        <is>
          <t>01</t>
        </is>
      </c>
      <c r="Y680" t="inlineStr">
        <is>
          <t>2026-Q1</t>
        </is>
      </c>
    </row>
    <row r="681" ht="38.25" customHeight="1">
      <c r="A681" t="inlineStr">
        <is>
          <t>BGJL-31 简约清新万能通用项目文员档案管理员办公助理个人简历表</t>
        </is>
      </c>
      <c r="B681" t="inlineStr">
        <is>
          <t>__upload_recv8ahaWncYm2.jpg</t>
        </is>
      </c>
      <c r="C681" s="2" t="str">
        <f>=HYPERLINK("https://xhslink.com/m/8EctLuWTYBO", "https://xhslink.com/m/8EctLuWTYBO")</f>
        <v>https://xhslink.com/m/8EctLuWTYBO</v>
      </c>
      <c r="D681"/>
      <c r="E681">
        <v>1744</v>
      </c>
      <c r="F681">
        <v>3.88</v>
      </c>
      <c r="G681"/>
      <c r="H681"/>
      <c r="I681">
        <v>900</v>
      </c>
      <c r="J681"/>
      <c r="K681" t="inlineStr">
        <is>
          <t>简历</t>
        </is>
      </c>
      <c r="L681"/>
      <c r="M681" t="inlineStr">
        <is>
          <t>阿飞简历的店</t>
        </is>
      </c>
      <c r="N681">
        <v>1701</v>
      </c>
      <c r="O681">
        <v>3.92</v>
      </c>
      <c r="P681">
        <v>10000</v>
      </c>
      <c r="Q681" t="inlineStr">
        <is>
          <t>68beebb20c1e9b0001031a6d</t>
        </is>
      </c>
      <c r="R681" t="inlineStr">
        <is>
          <t>🚫重复</t>
        </is>
      </c>
      <c r="S681" t="inlineStr">
        <is>
          <t>求职面试/职场</t>
        </is>
      </c>
      <c r="T681" t="inlineStr">
        <is>
          <t>1.03</t>
        </is>
      </c>
      <c r="U681" s="3">
        <v>46112.78107638889</v>
      </c>
      <c r="V681" t="inlineStr">
        <is>
          <t>虚拟产品</t>
        </is>
      </c>
      <c r="W681" s="3">
        <v>46035</v>
      </c>
      <c r="X681" t="inlineStr">
        <is>
          <t>01</t>
        </is>
      </c>
      <c r="Y681" t="inlineStr">
        <is>
          <t>2026-Q1</t>
        </is>
      </c>
    </row>
    <row r="682" ht="38.25" customHeight="1">
      <c r="A682" t="inlineStr">
        <is>
          <t>999+三无大学生简历模版丨简历模板（整理费）丨网盘链接发货</t>
        </is>
      </c>
      <c r="B682" t="inlineStr">
        <is>
          <t>__upload_recv8ahaWnIVLA.jpg</t>
        </is>
      </c>
      <c r="C682" s="2" t="str">
        <f>=HYPERLINK("https://xhslink.com/m/9T3xIwUa15f", "https://xhslink.com/m/9T3xIwUa15f")</f>
        <v>https://xhslink.com/m/9T3xIwUa15f</v>
      </c>
      <c r="D682"/>
      <c r="E682">
        <v>1742</v>
      </c>
      <c r="F682">
        <v>19.99</v>
      </c>
      <c r="G682"/>
      <c r="H682"/>
      <c r="I682">
        <v>1000</v>
      </c>
      <c r="J682"/>
      <c r="K682" t="inlineStr">
        <is>
          <t>简历</t>
        </is>
      </c>
      <c r="L682"/>
      <c r="M682" t="inlineStr">
        <is>
          <t>小禾素材的店</t>
        </is>
      </c>
      <c r="N682">
        <v>649</v>
      </c>
      <c r="O682">
        <v>4.14</v>
      </c>
      <c r="P682">
        <v>19000</v>
      </c>
      <c r="Q682" t="inlineStr">
        <is>
          <t>68fd795fbecfcc00015400c1</t>
        </is>
      </c>
      <c r="R682" t="inlineStr">
        <is>
          <t>🚫重复</t>
        </is>
      </c>
      <c r="S682" t="inlineStr">
        <is>
          <t>求职面试/职场</t>
        </is>
      </c>
      <c r="T682" t="inlineStr">
        <is>
          <t>2.68</t>
        </is>
      </c>
      <c r="U682" s="3">
        <v>46112.78107638889</v>
      </c>
      <c r="V682" t="inlineStr">
        <is>
          <t>虚拟产品</t>
        </is>
      </c>
      <c r="W682" s="3">
        <v>46035</v>
      </c>
      <c r="X682" t="inlineStr">
        <is>
          <t>01</t>
        </is>
      </c>
      <c r="Y682" t="inlineStr">
        <is>
          <t>2026-Q1</t>
        </is>
      </c>
    </row>
    <row r="683" ht="38.25" customHeight="1">
      <c r="A683" t="inlineStr">
        <is>
          <t>【简历模板】-笔记同款-拍下秒发-单页多页/多款颜色</t>
        </is>
      </c>
      <c r="B683" t="inlineStr">
        <is>
          <t>__upload_recv8ahaWn7ukz.jpg</t>
        </is>
      </c>
      <c r="C683" s="2" t="str">
        <f>=HYPERLINK("https://xhslink.com/m/79bOln5OxzW", "https://xhslink.com/m/79bOln5OxzW")</f>
        <v>https://xhslink.com/m/79bOln5OxzW</v>
      </c>
      <c r="D683"/>
      <c r="E683">
        <v>1545</v>
      </c>
      <c r="F683">
        <v>0.99</v>
      </c>
      <c r="G683"/>
      <c r="H683"/>
      <c r="I683">
        <v>1000</v>
      </c>
      <c r="J683"/>
      <c r="K683" t="inlineStr">
        <is>
          <t>简历</t>
        </is>
      </c>
      <c r="L683"/>
      <c r="M683" t="inlineStr">
        <is>
          <t>学姐阿妍-的店</t>
        </is>
      </c>
      <c r="N683">
        <v>26000</v>
      </c>
      <c r="O683">
        <v>4.39</v>
      </c>
      <c r="P683">
        <v>22000</v>
      </c>
      <c r="Q683" t="inlineStr">
        <is>
          <t>69240f12603b4e0001142e1b</t>
        </is>
      </c>
      <c r="R683" t="inlineStr">
        <is>
          <t>🚫重复</t>
        </is>
      </c>
      <c r="S683" t="inlineStr">
        <is>
          <t>求职面试/职场</t>
        </is>
      </c>
      <c r="T683" t="inlineStr">
        <is>
          <t>0.06</t>
        </is>
      </c>
      <c r="U683" s="3">
        <v>46112.78107638889</v>
      </c>
      <c r="V683" t="inlineStr">
        <is>
          <t>虚拟产品</t>
        </is>
      </c>
      <c r="W683" s="3">
        <v>46035</v>
      </c>
      <c r="X683" t="inlineStr">
        <is>
          <t>01</t>
        </is>
      </c>
      <c r="Y683" t="inlineStr">
        <is>
          <t>2026-Q1</t>
        </is>
      </c>
    </row>
    <row r="684" ht="38.25" customHeight="1">
      <c r="A684" t="inlineStr">
        <is>
          <t>【个人简历PPT模板】简约大学生自我介绍 工作求职 面试 岗位竞聘</t>
        </is>
      </c>
      <c r="B684" t="inlineStr">
        <is>
          <t>__upload_recv8ahaWnjeLl.jpg</t>
        </is>
      </c>
      <c r="C684" s="2" t="str">
        <f>=HYPERLINK("https://xhslink.com/m/3WpmPUH2iVP", "https://xhslink.com/m/3WpmPUH2iVP")</f>
        <v>https://xhslink.com/m/3WpmPUH2iVP</v>
      </c>
      <c r="D684"/>
      <c r="E684">
        <v>1521</v>
      </c>
      <c r="F684">
        <v>5.9</v>
      </c>
      <c r="G684"/>
      <c r="H684"/>
      <c r="I684">
        <v>400</v>
      </c>
      <c r="J684"/>
      <c r="K684" t="inlineStr">
        <is>
          <t>简历</t>
        </is>
      </c>
      <c r="L684" t="inlineStr">
        <is>
          <t>🔥低粉爆款</t>
        </is>
      </c>
      <c r="M684" t="inlineStr">
        <is>
          <t>小小花海的PPT&amp;游戏世界的店</t>
        </is>
      </c>
      <c r="N684">
        <v>166</v>
      </c>
      <c r="O684">
        <v>3.95</v>
      </c>
      <c r="P684">
        <v>1689</v>
      </c>
      <c r="Q684" t="inlineStr">
        <is>
          <t>680670b261f357000111b9f4</t>
        </is>
      </c>
      <c r="R684"/>
      <c r="S684" t="inlineStr">
        <is>
          <t>PPT模板</t>
        </is>
      </c>
      <c r="T684" t="inlineStr">
        <is>
          <t>9.16</t>
        </is>
      </c>
      <c r="U684" s="3">
        <v>46112.78107638889</v>
      </c>
      <c r="V684" t="inlineStr">
        <is>
          <t>虚拟产品</t>
        </is>
      </c>
      <c r="W684" s="3">
        <v>46035</v>
      </c>
      <c r="X684" t="inlineStr">
        <is>
          <t>01</t>
        </is>
      </c>
      <c r="Y684" t="inlineStr">
        <is>
          <t>2026-Q1</t>
        </is>
      </c>
    </row>
    <row r="685" ht="38.25" customHeight="1">
      <c r="A685" t="inlineStr">
        <is>
          <t>HR都无法拒绝的简历|个人简历模板（整理费）|1个月无限次提取</t>
        </is>
      </c>
      <c r="B685" t="inlineStr">
        <is>
          <t>__upload_recv8ahaWnab1v.jpg</t>
        </is>
      </c>
      <c r="C685" s="2" t="str">
        <f>=HYPERLINK("https://xhslink.com/m/1T6tV9ZSkrt", "https://xhslink.com/m/1T6tV9ZSkrt")</f>
        <v>https://xhslink.com/m/1T6tV9ZSkrt</v>
      </c>
      <c r="D685"/>
      <c r="E685">
        <v>1443</v>
      </c>
      <c r="F685">
        <v>0.99</v>
      </c>
      <c r="G685"/>
      <c r="H685"/>
      <c r="I685">
        <v>1000</v>
      </c>
      <c r="J685"/>
      <c r="K685" t="inlineStr">
        <is>
          <t>简历</t>
        </is>
      </c>
      <c r="L685"/>
      <c r="M685" t="inlineStr">
        <is>
          <t>简禾工坊的店</t>
        </is>
      </c>
      <c r="N685">
        <v>5348</v>
      </c>
      <c r="O685">
        <v>4.13</v>
      </c>
      <c r="P685">
        <v>35000</v>
      </c>
      <c r="Q685" t="inlineStr">
        <is>
          <t>694657f1110a7f0001442e49</t>
        </is>
      </c>
      <c r="R685"/>
      <c r="S685" t="inlineStr">
        <is>
          <t>求职面试/职场</t>
        </is>
      </c>
      <c r="T685" t="inlineStr">
        <is>
          <t>0.27</t>
        </is>
      </c>
      <c r="U685" s="3">
        <v>46112.78107638889</v>
      </c>
      <c r="V685" t="inlineStr">
        <is>
          <t>虚拟产品</t>
        </is>
      </c>
      <c r="W685" s="3">
        <v>46035</v>
      </c>
      <c r="X685" t="inlineStr">
        <is>
          <t>01</t>
        </is>
      </c>
      <c r="Y685" t="inlineStr">
        <is>
          <t>2026-Q1</t>
        </is>
      </c>
    </row>
    <row r="686" ht="38.25" customHeight="1">
      <c r="A686" t="inlineStr">
        <is>
          <t>家教简历模板，双色word版</t>
        </is>
      </c>
      <c r="B686" t="inlineStr">
        <is>
          <t>__upload_recv8ahaWnGyNX.jpg</t>
        </is>
      </c>
      <c r="C686" s="2" t="str">
        <f>=HYPERLINK("https://xhslink.com/m/5CZix7TomM7", "https://xhslink.com/m/5CZix7TomM7")</f>
        <v>https://xhslink.com/m/5CZix7TomM7</v>
      </c>
      <c r="D686"/>
      <c r="E686">
        <v>1430</v>
      </c>
      <c r="F686">
        <v>1.88</v>
      </c>
      <c r="G686"/>
      <c r="H686"/>
      <c r="I686">
        <v>500</v>
      </c>
      <c r="J686"/>
      <c r="K686" t="inlineStr">
        <is>
          <t>简历</t>
        </is>
      </c>
      <c r="L686"/>
      <c r="M686" t="inlineStr">
        <is>
          <t>爱多工作室的店</t>
        </is>
      </c>
      <c r="N686">
        <v>1987</v>
      </c>
      <c r="O686">
        <v>4.2</v>
      </c>
      <c r="P686">
        <v>28000</v>
      </c>
      <c r="Q686" t="inlineStr">
        <is>
          <t>685949b4a0660200010132ab</t>
        </is>
      </c>
      <c r="R686"/>
      <c r="S686" t="inlineStr">
        <is>
          <t>求职面试/职场</t>
        </is>
      </c>
      <c r="T686" t="inlineStr">
        <is>
          <t>0.72</t>
        </is>
      </c>
      <c r="U686" s="3">
        <v>46112.78107638889</v>
      </c>
      <c r="V686" t="inlineStr">
        <is>
          <t>虚拟产品</t>
        </is>
      </c>
      <c r="W686" s="3">
        <v>46035</v>
      </c>
      <c r="X686" t="inlineStr">
        <is>
          <t>01</t>
        </is>
      </c>
      <c r="Y686" t="inlineStr">
        <is>
          <t>2026-Q1</t>
        </is>
      </c>
    </row>
    <row r="687" ht="38.25" customHeight="1">
      <c r="A687" t="inlineStr">
        <is>
          <t>作品集模板ppt高级感简约艺术平面设计画册个人简历求职面试模版</t>
        </is>
      </c>
      <c r="B687" t="inlineStr">
        <is>
          <t>__upload_recv8ahaWnBJku.jpg</t>
        </is>
      </c>
      <c r="C687" s="2" t="str">
        <f>=HYPERLINK("https://xhslink.com/m/8jr2gSnVt23", "https://xhslink.com/m/8jr2gSnVt23")</f>
        <v>https://xhslink.com/m/8jr2gSnVt23</v>
      </c>
      <c r="D687"/>
      <c r="E687">
        <v>1344</v>
      </c>
      <c r="F687">
        <v>4.9</v>
      </c>
      <c r="G687"/>
      <c r="H687"/>
      <c r="I687">
        <v>700</v>
      </c>
      <c r="J687"/>
      <c r="K687" t="inlineStr">
        <is>
          <t>简历</t>
        </is>
      </c>
      <c r="L687"/>
      <c r="M687" t="inlineStr">
        <is>
          <t>三只喵ppt的店</t>
        </is>
      </c>
      <c r="N687">
        <v>3318</v>
      </c>
      <c r="O687">
        <v>4.3</v>
      </c>
      <c r="P687">
        <v>34000</v>
      </c>
      <c r="Q687" t="inlineStr">
        <is>
          <t>680a4d0d8b72060001ef090a</t>
        </is>
      </c>
      <c r="R687" t="inlineStr">
        <is>
          <t>🚫重复</t>
        </is>
      </c>
      <c r="S687" t="inlineStr">
        <is>
          <t>PPT模板</t>
        </is>
      </c>
      <c r="T687" t="inlineStr">
        <is>
          <t>0.41</t>
        </is>
      </c>
      <c r="U687" s="3">
        <v>46112.78107638889</v>
      </c>
      <c r="V687" t="inlineStr">
        <is>
          <t>虚拟产品</t>
        </is>
      </c>
      <c r="W687" s="3">
        <v>46035</v>
      </c>
      <c r="X687" t="inlineStr">
        <is>
          <t>01</t>
        </is>
      </c>
      <c r="Y687" t="inlineStr">
        <is>
          <t>2026-Q1</t>
        </is>
      </c>
    </row>
    <row r="688" ht="38.25" customHeight="1">
      <c r="A688" t="inlineStr">
        <is>
          <t>简历模板求职2025简历简约word电子版大学生应届生200套手机制作</t>
        </is>
      </c>
      <c r="B688" t="inlineStr">
        <is>
          <t>__upload_recv8ahaWnmg5z.jpg</t>
        </is>
      </c>
      <c r="C688" s="2" t="str">
        <f>=HYPERLINK("https://xhslink.com/m/R8D1th3Knr", "https://xhslink.com/m/R8D1th3Knr")</f>
        <v>https://xhslink.com/m/R8D1th3Knr</v>
      </c>
      <c r="D688"/>
      <c r="E688">
        <v>1141</v>
      </c>
      <c r="F688">
        <v>1</v>
      </c>
      <c r="G688"/>
      <c r="H688"/>
      <c r="I688">
        <v>700</v>
      </c>
      <c r="J688"/>
      <c r="K688" t="inlineStr">
        <is>
          <t>简历</t>
        </is>
      </c>
      <c r="L688"/>
      <c r="M688" t="inlineStr">
        <is>
          <t>瑧妮学姐的店</t>
        </is>
      </c>
      <c r="N688">
        <v>3168</v>
      </c>
      <c r="O688">
        <v>4.36</v>
      </c>
      <c r="P688">
        <v>1196</v>
      </c>
      <c r="Q688" t="inlineStr">
        <is>
          <t>6893161fe08d4d00010de64a</t>
        </is>
      </c>
      <c r="R688"/>
      <c r="S688" t="inlineStr">
        <is>
          <t>求职面试/职场</t>
        </is>
      </c>
      <c r="T688" t="inlineStr">
        <is>
          <t>0.36</t>
        </is>
      </c>
      <c r="U688" s="3">
        <v>46112.78107638889</v>
      </c>
      <c r="V688" t="inlineStr">
        <is>
          <t>虚拟产品</t>
        </is>
      </c>
      <c r="W688" s="3">
        <v>46035</v>
      </c>
      <c r="X688" t="inlineStr">
        <is>
          <t>01</t>
        </is>
      </c>
      <c r="Y688" t="inlineStr">
        <is>
          <t>2026-Q1</t>
        </is>
      </c>
    </row>
    <row r="689" ht="38.25" customHeight="1">
      <c r="A689" t="inlineStr">
        <is>
          <t>医学生找工作简历、自我介绍PPT、面试常见问题。</t>
        </is>
      </c>
      <c r="B689" t="inlineStr">
        <is>
          <t>__upload_recv8ahaWnxdzZ.jpg</t>
        </is>
      </c>
      <c r="C689" s="2" t="str">
        <f>=HYPERLINK("https://xhslink.com/m/4A4J0pjFy1M", "https://xhslink.com/m/4A4J0pjFy1M")</f>
        <v>https://xhslink.com/m/4A4J0pjFy1M</v>
      </c>
      <c r="D689"/>
      <c r="E689">
        <v>1136</v>
      </c>
      <c r="F689">
        <v>9.9</v>
      </c>
      <c r="G689"/>
      <c r="H689"/>
      <c r="I689">
        <v>800</v>
      </c>
      <c r="J689"/>
      <c r="K689" t="inlineStr">
        <is>
          <t>简历</t>
        </is>
      </c>
      <c r="L689"/>
      <c r="M689" t="inlineStr">
        <is>
          <t>条条的美好时光的店</t>
        </is>
      </c>
      <c r="N689">
        <v>18000</v>
      </c>
      <c r="O689">
        <v>4.37</v>
      </c>
      <c r="P689">
        <v>1560</v>
      </c>
      <c r="Q689" t="inlineStr">
        <is>
          <t>68c5982dfb0cef000110022c</t>
        </is>
      </c>
      <c r="R689"/>
      <c r="S689" t="inlineStr">
        <is>
          <t>求职面试/职场</t>
        </is>
      </c>
      <c r="T689" t="inlineStr">
        <is>
          <t>0.06</t>
        </is>
      </c>
      <c r="U689" s="3">
        <v>46112.78107638889</v>
      </c>
      <c r="V689" t="inlineStr">
        <is>
          <t>虚拟产品</t>
        </is>
      </c>
      <c r="W689" s="3">
        <v>46035</v>
      </c>
      <c r="X689" t="inlineStr">
        <is>
          <t>01</t>
        </is>
      </c>
      <c r="Y689" t="inlineStr">
        <is>
          <t>2026-Q1</t>
        </is>
      </c>
    </row>
    <row r="690" ht="38.25" customHeight="1">
      <c r="A690" t="inlineStr">
        <is>
          <t>简历模板个人求职大学生无经验应届生面试word电子版简历</t>
        </is>
      </c>
      <c r="B690" t="inlineStr">
        <is>
          <t>__upload_recv8ahaWn44at.jpg</t>
        </is>
      </c>
      <c r="C690" s="2" t="str">
        <f>=HYPERLINK("https://xhslink.com/m/3UZmzJBte3a", "https://xhslink.com/m/3UZmzJBte3a")</f>
        <v>https://xhslink.com/m/3UZmzJBte3a</v>
      </c>
      <c r="D690"/>
      <c r="E690">
        <v>1129</v>
      </c>
      <c r="F690">
        <v>3.88</v>
      </c>
      <c r="G690"/>
      <c r="H690"/>
      <c r="I690">
        <v>400</v>
      </c>
      <c r="J690"/>
      <c r="K690" t="inlineStr">
        <is>
          <t>简历</t>
        </is>
      </c>
      <c r="L690"/>
      <c r="M690" t="inlineStr">
        <is>
          <t>超爱发光的店</t>
        </is>
      </c>
      <c r="N690">
        <v>2941</v>
      </c>
      <c r="O690">
        <v>4.22</v>
      </c>
      <c r="P690">
        <v>49000</v>
      </c>
      <c r="Q690" t="inlineStr">
        <is>
          <t>6723a589175dab000156d8cd</t>
        </is>
      </c>
      <c r="R690"/>
      <c r="S690" t="inlineStr">
        <is>
          <t>求职面试/职场</t>
        </is>
      </c>
      <c r="T690" t="inlineStr">
        <is>
          <t>0.38</t>
        </is>
      </c>
      <c r="U690" s="3">
        <v>46112.78107638889</v>
      </c>
      <c r="V690" t="inlineStr">
        <is>
          <t>虚拟产品</t>
        </is>
      </c>
      <c r="W690" s="3">
        <v>46035</v>
      </c>
      <c r="X690" t="inlineStr">
        <is>
          <t>01</t>
        </is>
      </c>
      <c r="Y690" t="inlineStr">
        <is>
          <t>2026-Q1</t>
        </is>
      </c>
    </row>
    <row r="691" ht="38.25" customHeight="1">
      <c r="A691" t="inlineStr">
        <is>
          <t>(4个配色+100份模板）何运晨简历模板word格式可编辑修改可打印</t>
        </is>
      </c>
      <c r="B691" t="inlineStr">
        <is>
          <t>__upload_recv8ahrhTY8Go.jpg</t>
        </is>
      </c>
      <c r="C691" s="2" t="str">
        <f>=HYPERLINK("https://xhslink.com/m/A2KWXCp9cyA", "https://xhslink.com/m/A2KWXCp9cyA")</f>
        <v>https://xhslink.com/m/A2KWXCp9cyA</v>
      </c>
      <c r="D691"/>
      <c r="E691">
        <v>1037</v>
      </c>
      <c r="F691">
        <v>4.9</v>
      </c>
      <c r="G691"/>
      <c r="H691"/>
      <c r="I691">
        <v>700</v>
      </c>
      <c r="J691"/>
      <c r="K691" t="inlineStr">
        <is>
          <t>简历</t>
        </is>
      </c>
      <c r="L691"/>
      <c r="M691" t="inlineStr">
        <is>
          <t>简历Cathy学姐的店</t>
        </is>
      </c>
      <c r="N691">
        <v>395</v>
      </c>
      <c r="O691">
        <v>4.28</v>
      </c>
      <c r="P691">
        <v>1753</v>
      </c>
      <c r="Q691" t="inlineStr">
        <is>
          <t>67c58a9f3298ba00016f0fde</t>
        </is>
      </c>
      <c r="R691"/>
      <c r="S691" t="inlineStr">
        <is>
          <t>求职面试/职场</t>
        </is>
      </c>
      <c r="T691" t="inlineStr">
        <is>
          <t>2.63</t>
        </is>
      </c>
      <c r="U691" s="3">
        <v>46112.78107638889</v>
      </c>
      <c r="V691" t="inlineStr">
        <is>
          <t>虚拟产品</t>
        </is>
      </c>
      <c r="W691" s="3">
        <v>46035</v>
      </c>
      <c r="X691" t="inlineStr">
        <is>
          <t>01</t>
        </is>
      </c>
      <c r="Y691" t="inlineStr">
        <is>
          <t>2026-Q1</t>
        </is>
      </c>
    </row>
    <row r="692" ht="38.25" customHeight="1">
      <c r="A692" t="inlineStr">
        <is>
          <t>医疗专用大学生简历模板（手机可编辑+多颜色简历模板+简历范文）</t>
        </is>
      </c>
      <c r="B692" t="inlineStr">
        <is>
          <t>__upload_recv8ahsn2TP5M.jpg</t>
        </is>
      </c>
      <c r="C692" s="2" t="str">
        <f>=HYPERLINK("https://xhslink.com/m/33FaYWG9Rgd", "https://xhslink.com/m/33FaYWG9Rgd")</f>
        <v>https://xhslink.com/m/33FaYWG9Rgd</v>
      </c>
      <c r="D692"/>
      <c r="E692">
        <v>1020</v>
      </c>
      <c r="F692">
        <v>3</v>
      </c>
      <c r="G692"/>
      <c r="H692"/>
      <c r="I692">
        <v>500</v>
      </c>
      <c r="J692"/>
      <c r="K692" t="inlineStr">
        <is>
          <t>简历</t>
        </is>
      </c>
      <c r="L692" t="inlineStr">
        <is>
          <t>🔥低粉爆款</t>
        </is>
      </c>
      <c r="M692" t="inlineStr">
        <is>
          <t>克杨职场-求职助手版的店</t>
        </is>
      </c>
      <c r="N692">
        <v>140</v>
      </c>
      <c r="O692">
        <v>4.32</v>
      </c>
      <c r="P692">
        <v>4259</v>
      </c>
      <c r="Q692" t="inlineStr">
        <is>
          <t>6866898ef563b80001ccfd1d</t>
        </is>
      </c>
      <c r="R692"/>
      <c r="S692" t="inlineStr">
        <is>
          <t>求职面试/职场</t>
        </is>
      </c>
      <c r="T692" t="inlineStr">
        <is>
          <t>7.29</t>
        </is>
      </c>
      <c r="U692" s="3">
        <v>46112.78107638889</v>
      </c>
      <c r="V692" t="inlineStr">
        <is>
          <t>虚拟产品</t>
        </is>
      </c>
      <c r="W692" s="3">
        <v>46035</v>
      </c>
      <c r="X692" t="inlineStr">
        <is>
          <t>01</t>
        </is>
      </c>
      <c r="Y692" t="inlineStr">
        <is>
          <t>2026-Q1</t>
        </is>
      </c>
    </row>
    <row r="693" ht="38.25" customHeight="1">
      <c r="A693" t="inlineStr">
        <is>
          <t>【笔记同款】简历模板-拍下秒发-手机/平板/电脑可制作-多款多色</t>
        </is>
      </c>
      <c r="B693" t="inlineStr">
        <is>
          <t>__upload_recv8ahsn2UMtJ.jpg</t>
        </is>
      </c>
      <c r="C693" s="2" t="str">
        <f>=HYPERLINK("https://xhslink.com/m/iilPFDCmBO", "https://xhslink.com/m/iilPFDCmBO")</f>
        <v>https://xhslink.com/m/iilPFDCmBO</v>
      </c>
      <c r="D693"/>
      <c r="E693">
        <v>969</v>
      </c>
      <c r="F693">
        <v>1.8</v>
      </c>
      <c r="G693"/>
      <c r="H693"/>
      <c r="I693">
        <v>900</v>
      </c>
      <c r="J693"/>
      <c r="K693" t="inlineStr">
        <is>
          <t>简历</t>
        </is>
      </c>
      <c r="L693"/>
      <c r="M693" t="inlineStr">
        <is>
          <t>早点睡🛌💤的店</t>
        </is>
      </c>
      <c r="N693">
        <v>1125</v>
      </c>
      <c r="O693">
        <v>4.13</v>
      </c>
      <c r="P693">
        <v>985</v>
      </c>
      <c r="Q693" t="inlineStr">
        <is>
          <t>694944b1d96c450001992e90</t>
        </is>
      </c>
      <c r="R693"/>
      <c r="S693" t="inlineStr">
        <is>
          <t>求职面试/职场</t>
        </is>
      </c>
      <c r="T693" t="inlineStr">
        <is>
          <t>0.86</t>
        </is>
      </c>
      <c r="U693" s="3">
        <v>46112.78107638889</v>
      </c>
      <c r="V693" t="inlineStr">
        <is>
          <t>虚拟产品</t>
        </is>
      </c>
      <c r="W693" s="3">
        <v>46035</v>
      </c>
      <c r="X693" t="inlineStr">
        <is>
          <t>01</t>
        </is>
      </c>
      <c r="Y693" t="inlineStr">
        <is>
          <t>2026-Q1</t>
        </is>
      </c>
    </row>
    <row r="694" ht="38.25" customHeight="1">
      <c r="A694" t="inlineStr">
        <is>
          <t>【P07】大学生职业规划就业赛道PPT*简历[示例教师]</t>
        </is>
      </c>
      <c r="B694" t="inlineStr">
        <is>
          <t>__upload_recv8ahsn2vpIM.jpg</t>
        </is>
      </c>
      <c r="C694" s="2" t="str">
        <f>=HYPERLINK("https://xhslink.com/m/4vS96Dr1js5", "https://xhslink.com/m/4vS96Dr1js5")</f>
        <v>https://xhslink.com/m/4vS96Dr1js5</v>
      </c>
      <c r="D694"/>
      <c r="E694">
        <v>707</v>
      </c>
      <c r="F694">
        <v>16.88</v>
      </c>
      <c r="G694"/>
      <c r="H694"/>
      <c r="I694">
        <v>700</v>
      </c>
      <c r="J694"/>
      <c r="K694" t="inlineStr">
        <is>
          <t>简历</t>
        </is>
      </c>
      <c r="L694"/>
      <c r="M694" t="inlineStr">
        <is>
          <t>职业印记的店</t>
        </is>
      </c>
      <c r="N694">
        <v>352</v>
      </c>
      <c r="O694">
        <v>4.27</v>
      </c>
      <c r="P694">
        <v>4625</v>
      </c>
      <c r="Q694" t="inlineStr">
        <is>
          <t>690c4222b96b160001c2024f</t>
        </is>
      </c>
      <c r="R694"/>
      <c r="S694" t="inlineStr">
        <is>
          <t>PPT模板</t>
        </is>
      </c>
      <c r="T694" t="inlineStr">
        <is>
          <t>2.01</t>
        </is>
      </c>
      <c r="U694" s="3">
        <v>46112.78107638889</v>
      </c>
      <c r="V694" t="inlineStr">
        <is>
          <t>虚拟产品</t>
        </is>
      </c>
      <c r="W694" s="3">
        <v>46035</v>
      </c>
      <c r="X694" t="inlineStr">
        <is>
          <t>01</t>
        </is>
      </c>
      <c r="Y694" t="inlineStr">
        <is>
          <t>2026-Q1</t>
        </is>
      </c>
    </row>
    <row r="695" ht="38.25" customHeight="1">
      <c r="A695" t="inlineStr">
        <is>
          <t>【自动秒发】可编辑word简历模板2026更新简历合集大学生三无简历</t>
        </is>
      </c>
      <c r="B695" t="inlineStr">
        <is>
          <t>__upload_recv8ahsn2ioQv.jpg</t>
        </is>
      </c>
      <c r="C695" s="2" t="str">
        <f>=HYPERLINK("https://xhslink.com/m/4T7qcczPgRA", "https://xhslink.com/m/4T7qcczPgRA")</f>
        <v>https://xhslink.com/m/4T7qcczPgRA</v>
      </c>
      <c r="D695"/>
      <c r="E695">
        <v>562</v>
      </c>
      <c r="F695">
        <v>0.9</v>
      </c>
      <c r="G695"/>
      <c r="H695"/>
      <c r="I695"/>
      <c r="J695"/>
      <c r="K695" t="inlineStr">
        <is>
          <t>简历</t>
        </is>
      </c>
      <c r="L695"/>
      <c r="M695" t="inlineStr">
        <is>
          <t>简历计划的店</t>
        </is>
      </c>
      <c r="N695">
        <v>1167</v>
      </c>
      <c r="O695">
        <v>4.01</v>
      </c>
      <c r="P695">
        <v>6002</v>
      </c>
      <c r="Q695" t="inlineStr">
        <is>
          <t>693bda11bd92f50001cd469e</t>
        </is>
      </c>
      <c r="R695"/>
      <c r="S695" t="inlineStr">
        <is>
          <t>求职面试/职场</t>
        </is>
      </c>
      <c r="T695" t="inlineStr">
        <is>
          <t>0.48</t>
        </is>
      </c>
      <c r="U695" s="3">
        <v>46112.78107638889</v>
      </c>
      <c r="V695" t="inlineStr">
        <is>
          <t>虚拟产品</t>
        </is>
      </c>
      <c r="W695" s="3">
        <v>46035</v>
      </c>
      <c r="X695" t="inlineStr">
        <is>
          <t>01</t>
        </is>
      </c>
      <c r="Y695" t="inlineStr">
        <is>
          <t>2026-Q1</t>
        </is>
      </c>
    </row>
    <row r="696" ht="38.25" customHeight="1">
      <c r="A696" t="inlineStr">
        <is>
          <t>HR都无法拒绝的简历|个人简历模板（整理费）|1个月无限次提取</t>
        </is>
      </c>
      <c r="B696" t="inlineStr">
        <is>
          <t>__upload_recv8ahsn233w4.jpg</t>
        </is>
      </c>
      <c r="C696" s="2" t="str">
        <f>=HYPERLINK("https://xhslink.com/m/AgH8dxHwUFK", "https://xhslink.com/m/AgH8dxHwUFK")</f>
        <v>https://xhslink.com/m/AgH8dxHwUFK</v>
      </c>
      <c r="D696"/>
      <c r="E696">
        <v>434</v>
      </c>
      <c r="F696">
        <v>0.99</v>
      </c>
      <c r="G696"/>
      <c r="H696"/>
      <c r="I696">
        <v>400</v>
      </c>
      <c r="J696"/>
      <c r="K696" t="inlineStr">
        <is>
          <t>简历</t>
        </is>
      </c>
      <c r="L696" t="inlineStr">
        <is>
          <t>🔥低粉爆款</t>
        </is>
      </c>
      <c r="M696" t="inlineStr">
        <is>
          <t>红色高跟鞋dyj的店</t>
        </is>
      </c>
      <c r="N696">
        <v>131</v>
      </c>
      <c r="O696">
        <v>4.33</v>
      </c>
      <c r="P696">
        <v>1046</v>
      </c>
      <c r="Q696" t="inlineStr">
        <is>
          <t>68c2f904f9d8290001c612d0</t>
        </is>
      </c>
      <c r="R696"/>
      <c r="S696" t="inlineStr">
        <is>
          <t>求职面试/职场</t>
        </is>
      </c>
      <c r="T696" t="inlineStr">
        <is>
          <t>3.31</t>
        </is>
      </c>
      <c r="U696" s="3">
        <v>46112.78107638889</v>
      </c>
      <c r="V696" t="inlineStr">
        <is>
          <t>虚拟产品</t>
        </is>
      </c>
      <c r="W696" s="3">
        <v>46035</v>
      </c>
      <c r="X696" t="inlineStr">
        <is>
          <t>01</t>
        </is>
      </c>
      <c r="Y696" t="inlineStr">
        <is>
          <t>2026-Q1</t>
        </is>
      </c>
    </row>
    <row r="697" ht="38.25" customHeight="1">
      <c r="A697" t="inlineStr">
        <is>
          <t>【劳动合同 劳务合同】各行业通用精简版，招聘求职，自行修改打</t>
        </is>
      </c>
      <c r="B697" t="inlineStr">
        <is>
          <t>__upload_recv8ahsn2SxVc.jpg</t>
        </is>
      </c>
      <c r="C697" s="2" t="str">
        <f>=HYPERLINK("https://xhslink.com/m/1k4Ia7IqiCj", "https://xhslink.com/m/1k4Ia7IqiCj")</f>
        <v>https://xhslink.com/m/1k4Ia7IqiCj</v>
      </c>
      <c r="D697"/>
      <c r="E697">
        <v>4247</v>
      </c>
      <c r="F697">
        <v>1.99</v>
      </c>
      <c r="G697"/>
      <c r="H697"/>
      <c r="I697">
        <v>1000</v>
      </c>
      <c r="J697"/>
      <c r="K697" t="inlineStr">
        <is>
          <t>简历</t>
        </is>
      </c>
      <c r="L697" t="inlineStr">
        <is>
          <t>🔥低粉爆款</t>
        </is>
      </c>
      <c r="M697" t="inlineStr">
        <is>
          <t>菜籽资料库的店</t>
        </is>
      </c>
      <c r="N697">
        <v>316</v>
      </c>
      <c r="O697">
        <v>4.25</v>
      </c>
      <c r="P697">
        <v>4838</v>
      </c>
      <c r="Q697" t="inlineStr">
        <is>
          <t>67f4891ef0efe50001ba489b</t>
        </is>
      </c>
      <c r="R697"/>
      <c r="S697" t="inlineStr">
        <is>
          <t>求职面试/职场</t>
        </is>
      </c>
      <c r="T697" t="inlineStr">
        <is>
          <t>13.44</t>
        </is>
      </c>
      <c r="U697" s="3">
        <v>46112.78107638889</v>
      </c>
      <c r="V697" t="inlineStr">
        <is>
          <t>虚拟产品</t>
        </is>
      </c>
      <c r="W697" s="3">
        <v>46035</v>
      </c>
      <c r="X697" t="inlineStr">
        <is>
          <t>01</t>
        </is>
      </c>
      <c r="Y697" t="inlineStr">
        <is>
          <t>2026-Q1</t>
        </is>
      </c>
    </row>
    <row r="698" ht="38.25" customHeight="1">
      <c r="A698" t="inlineStr">
        <is>
          <t>66页高校硕士博士求职面试教学科研岗大学生求职面试答辩PPT模板</t>
        </is>
      </c>
      <c r="B698" t="inlineStr">
        <is>
          <t>__upload_recv8ahsn2gJ5K.jpg</t>
        </is>
      </c>
      <c r="C698" s="2" t="str">
        <f>=HYPERLINK("https://xhslink.com/m/7hweyhEMOp1", "https://xhslink.com/m/7hweyhEMOp1")</f>
        <v>https://xhslink.com/m/7hweyhEMOp1</v>
      </c>
      <c r="D698"/>
      <c r="E698">
        <v>705</v>
      </c>
      <c r="F698">
        <v>8.8</v>
      </c>
      <c r="G698"/>
      <c r="H698"/>
      <c r="I698"/>
      <c r="J698"/>
      <c r="K698" t="inlineStr">
        <is>
          <t>简历</t>
        </is>
      </c>
      <c r="L698"/>
      <c r="M698" t="inlineStr">
        <is>
          <t>DNAPPT-高质感PPT的店</t>
        </is>
      </c>
      <c r="N698">
        <v>3886</v>
      </c>
      <c r="O698">
        <v>4.07</v>
      </c>
      <c r="P698">
        <v>9757</v>
      </c>
      <c r="Q698" t="inlineStr">
        <is>
          <t>691a9e6dcba79f0001ee2473</t>
        </is>
      </c>
      <c r="R698"/>
      <c r="S698" t="inlineStr">
        <is>
          <t>PPT模板</t>
        </is>
      </c>
      <c r="T698" t="inlineStr">
        <is>
          <t>0.18</t>
        </is>
      </c>
      <c r="U698" s="3">
        <v>46112.78107638889</v>
      </c>
      <c r="V698" t="inlineStr">
        <is>
          <t>虚拟产品</t>
        </is>
      </c>
      <c r="W698" s="3">
        <v>46035</v>
      </c>
      <c r="X698" t="inlineStr">
        <is>
          <t>01</t>
        </is>
      </c>
      <c r="Y698" t="inlineStr">
        <is>
          <t>2026-Q1</t>
        </is>
      </c>
    </row>
    <row r="699" ht="38.25" customHeight="1">
      <c r="A699" t="inlineStr">
        <is>
          <t>ppt · wps超级会员简历PPT模板ai下载海报文件PDF格式转换图片编辑转换</t>
        </is>
      </c>
      <c r="B699" t="inlineStr">
        <is>
          <t>__upload_recv8ahsn2HPMV.jpg</t>
        </is>
      </c>
      <c r="C699" s="2" t="str">
        <f>=HYPERLINK("https://xhslink.com/m/7Wq6d2NI5XJ", "https://xhslink.com/m/7Wq6d2NI5XJ")</f>
        <v>https://xhslink.com/m/7Wq6d2NI5XJ</v>
      </c>
      <c r="D699"/>
      <c r="E699">
        <v>22000</v>
      </c>
      <c r="F699">
        <v>1.55</v>
      </c>
      <c r="G699"/>
      <c r="H699"/>
      <c r="I699">
        <v>7000</v>
      </c>
      <c r="J699"/>
      <c r="K699" t="inlineStr">
        <is>
          <t>简历</t>
        </is>
      </c>
      <c r="L699" t="inlineStr">
        <is>
          <t>🔥低粉爆款</t>
        </is>
      </c>
      <c r="M699" t="inlineStr">
        <is>
          <t>兔叽叽小铺的店</t>
        </is>
      </c>
      <c r="N699">
        <v>716</v>
      </c>
      <c r="O699">
        <v>4.29</v>
      </c>
      <c r="P699">
        <v>35000</v>
      </c>
      <c r="Q699" t="inlineStr">
        <is>
          <t>69017228c074c500015bf06f</t>
        </is>
      </c>
      <c r="R699"/>
      <c r="S699" t="inlineStr">
        <is>
          <t>PPT模板</t>
        </is>
      </c>
      <c r="T699" t="inlineStr">
        <is>
          <t>30.73</t>
        </is>
      </c>
      <c r="U699" s="3">
        <v>46112.78107638889</v>
      </c>
      <c r="V699" t="inlineStr">
        <is>
          <t>虚拟产品</t>
        </is>
      </c>
      <c r="W699" s="3">
        <v>46035</v>
      </c>
      <c r="X699" t="inlineStr">
        <is>
          <t>01</t>
        </is>
      </c>
      <c r="Y699" t="inlineStr">
        <is>
          <t>2026-Q1</t>
        </is>
      </c>
    </row>
    <row r="700" ht="38.25" customHeight="1">
      <c r="A700" t="inlineStr">
        <is>
          <t>WPS超级会员1天一天三天七天svip稻壳ai会员ppt模版pdf个人简历</t>
        </is>
      </c>
      <c r="B700" t="inlineStr">
        <is>
          <t>__upload_recv8ahsn2zwRN.jpg</t>
        </is>
      </c>
      <c r="C700" s="2" t="str">
        <f>=HYPERLINK("https://xhslink.com/m/7Y8FwyYehuW", "https://xhslink.com/m/7Y8FwyYehuW")</f>
        <v>https://xhslink.com/m/7Y8FwyYehuW</v>
      </c>
      <c r="D700"/>
      <c r="E700">
        <v>15000</v>
      </c>
      <c r="F700">
        <v>1.28</v>
      </c>
      <c r="G700"/>
      <c r="H700"/>
      <c r="I700">
        <v>8000</v>
      </c>
      <c r="J700"/>
      <c r="K700" t="inlineStr">
        <is>
          <t>简历</t>
        </is>
      </c>
      <c r="L700" t="inlineStr">
        <is>
          <t>🔥低粉爆款</t>
        </is>
      </c>
      <c r="M700" t="inlineStr">
        <is>
          <t>WPS会员大大全的店</t>
        </is>
      </c>
      <c r="N700">
        <v>210</v>
      </c>
      <c r="O700">
        <v>4.39</v>
      </c>
      <c r="P700">
        <v>15000</v>
      </c>
      <c r="Q700" t="inlineStr">
        <is>
          <t>684d42010ec1ca000170a89b</t>
        </is>
      </c>
      <c r="R700"/>
      <c r="S700" t="inlineStr">
        <is>
          <t>PPT模板</t>
        </is>
      </c>
      <c r="T700" t="inlineStr">
        <is>
          <t>71.43</t>
        </is>
      </c>
      <c r="U700" s="3">
        <v>46112.78107638889</v>
      </c>
      <c r="V700" t="inlineStr">
        <is>
          <t>虚拟产品</t>
        </is>
      </c>
      <c r="W700" s="3">
        <v>46035</v>
      </c>
      <c r="X700" t="inlineStr">
        <is>
          <t>01</t>
        </is>
      </c>
      <c r="Y700" t="inlineStr">
        <is>
          <t>2026-Q1</t>
        </is>
      </c>
    </row>
    <row r="701" ht="38.25" customHeight="1">
      <c r="A701" t="inlineStr">
        <is>
          <t>职场新人快速成长指南知识库丨求职+入职+认知+方法+SOP+思维逻辑</t>
        </is>
      </c>
      <c r="B701" t="inlineStr">
        <is>
          <t>__upload_recv8ahsn2BrKk.jpg</t>
        </is>
      </c>
      <c r="C701" s="2" t="str">
        <f>=HYPERLINK("https://xhslink.com/m/4EPpvbot2W6", "https://xhslink.com/m/4EPpvbot2W6")</f>
        <v>https://xhslink.com/m/4EPpvbot2W6</v>
      </c>
      <c r="D701"/>
      <c r="E701">
        <v>4136</v>
      </c>
      <c r="F701">
        <v>24.9</v>
      </c>
      <c r="G701"/>
      <c r="H701"/>
      <c r="I701"/>
      <c r="J701">
        <v>100</v>
      </c>
      <c r="K701" t="inlineStr">
        <is>
          <t>简历</t>
        </is>
      </c>
      <c r="L701"/>
      <c r="M701" t="inlineStr">
        <is>
          <t>木南说职的店</t>
        </is>
      </c>
      <c r="N701">
        <v>6399</v>
      </c>
      <c r="O701">
        <v>4.43</v>
      </c>
      <c r="P701">
        <v>4341</v>
      </c>
      <c r="Q701" t="inlineStr">
        <is>
          <t>68859b4d4f80eb00017b33cf</t>
        </is>
      </c>
      <c r="R701" t="inlineStr">
        <is>
          <t>🚫重复</t>
        </is>
      </c>
      <c r="S701" t="inlineStr">
        <is>
          <t>求职面试/职场</t>
        </is>
      </c>
      <c r="T701" t="inlineStr">
        <is>
          <t>0.65</t>
        </is>
      </c>
      <c r="U701" s="3">
        <v>46112.78107638889</v>
      </c>
      <c r="V701" t="inlineStr">
        <is>
          <t>虚拟产品</t>
        </is>
      </c>
      <c r="W701" s="3">
        <v>46035</v>
      </c>
      <c r="X701" t="inlineStr">
        <is>
          <t>01</t>
        </is>
      </c>
      <c r="Y701" t="inlineStr">
        <is>
          <t>2026-Q1</t>
        </is>
      </c>
    </row>
    <row r="702" ht="38.25" customHeight="1">
      <c r="A702" t="inlineStr">
        <is>
          <t>大学生职业生涯规划书《word》完整版电子文档可编辑</t>
        </is>
      </c>
      <c r="B702" t="inlineStr">
        <is>
          <t>__upload_recv8ahsn2gCy4.jpg</t>
        </is>
      </c>
      <c r="C702" s="2" t="str">
        <f>=HYPERLINK("https://xhslink.com/m/7Ni7UA2iQr2", "https://xhslink.com/m/7Ni7UA2iQr2")</f>
        <v>https://xhslink.com/m/7Ni7UA2iQr2</v>
      </c>
      <c r="D702"/>
      <c r="E702">
        <v>3797</v>
      </c>
      <c r="F702">
        <v>9.9</v>
      </c>
      <c r="G702"/>
      <c r="H702"/>
      <c r="I702">
        <v>700</v>
      </c>
      <c r="J702"/>
      <c r="K702" t="inlineStr">
        <is>
          <t>简历</t>
        </is>
      </c>
      <c r="L702"/>
      <c r="M702" t="inlineStr">
        <is>
          <t>洋洋学姐🧚（规划书）的店</t>
        </is>
      </c>
      <c r="N702">
        <v>10000</v>
      </c>
      <c r="O702">
        <v>4.28</v>
      </c>
      <c r="P702">
        <v>5019</v>
      </c>
      <c r="Q702" t="inlineStr">
        <is>
          <t>67a1d2f875ca3a00015d3bcf</t>
        </is>
      </c>
      <c r="R702" t="inlineStr">
        <is>
          <t>🚫重复</t>
        </is>
      </c>
      <c r="S702" t="inlineStr">
        <is>
          <t>求职面试/职场</t>
        </is>
      </c>
      <c r="T702" t="inlineStr">
        <is>
          <t>0.38</t>
        </is>
      </c>
      <c r="U702" s="3">
        <v>46112.78107638889</v>
      </c>
      <c r="V702" t="inlineStr">
        <is>
          <t>虚拟产品</t>
        </is>
      </c>
      <c r="W702" s="3">
        <v>46035</v>
      </c>
      <c r="X702" t="inlineStr">
        <is>
          <t>01</t>
        </is>
      </c>
      <c r="Y702" t="inlineStr">
        <is>
          <t>2026-Q1</t>
        </is>
      </c>
    </row>
    <row r="703" ht="38.25" customHeight="1">
      <c r="A703" t="inlineStr">
        <is>
          <t>03 | 成长赛道&amp;就业赛道-大学生职业生涯规划书通用PPT模板</t>
        </is>
      </c>
      <c r="B703" t="inlineStr">
        <is>
          <t>__upload_recv8ahsn2c4xX.jpg</t>
        </is>
      </c>
      <c r="C703" s="2" t="str">
        <f>=HYPERLINK("https://xhslink.com/m/4zKsyoOL1t2", "https://xhslink.com/m/4zKsyoOL1t2")</f>
        <v>https://xhslink.com/m/4zKsyoOL1t2</v>
      </c>
      <c r="D703"/>
      <c r="E703">
        <v>3488</v>
      </c>
      <c r="F703">
        <v>1.59</v>
      </c>
      <c r="G703"/>
      <c r="H703"/>
      <c r="I703">
        <v>1000</v>
      </c>
      <c r="J703"/>
      <c r="K703" t="inlineStr">
        <is>
          <t>简历</t>
        </is>
      </c>
      <c r="L703"/>
      <c r="M703" t="inlineStr">
        <is>
          <t>卓越简历的店</t>
        </is>
      </c>
      <c r="N703">
        <v>5176</v>
      </c>
      <c r="O703">
        <v>3.8</v>
      </c>
      <c r="P703">
        <v>50000</v>
      </c>
      <c r="Q703" t="inlineStr">
        <is>
          <t>654c4322efa5e40001f63363</t>
        </is>
      </c>
      <c r="R703"/>
      <c r="S703" t="inlineStr">
        <is>
          <t>PPT模板</t>
        </is>
      </c>
      <c r="T703" t="inlineStr">
        <is>
          <t>0.67</t>
        </is>
      </c>
      <c r="U703" s="3">
        <v>46112.78107638889</v>
      </c>
      <c r="V703" t="inlineStr">
        <is>
          <t>虚拟产品</t>
        </is>
      </c>
      <c r="W703" s="3">
        <v>46035</v>
      </c>
      <c r="X703" t="inlineStr">
        <is>
          <t>01</t>
        </is>
      </c>
      <c r="Y703" t="inlineStr">
        <is>
          <t>2026-Q1</t>
        </is>
      </c>
    </row>
    <row r="704" ht="38.25" customHeight="1">
      <c r="A704" t="inlineStr">
        <is>
          <t>00大学生职业规划大赛成长赛道word、ppt以及各专业作品</t>
        </is>
      </c>
      <c r="B704" t="inlineStr">
        <is>
          <t>__upload_recv8ahsn2a9G5.jpg</t>
        </is>
      </c>
      <c r="C704" s="2" t="str">
        <f>=HYPERLINK("https://xhslink.com/m/347qMLp1fON", "https://xhslink.com/m/347qMLp1fON")</f>
        <v>https://xhslink.com/m/347qMLp1fON</v>
      </c>
      <c r="D704"/>
      <c r="E704">
        <v>3120</v>
      </c>
      <c r="F704">
        <v>5.9</v>
      </c>
      <c r="G704"/>
      <c r="H704"/>
      <c r="I704">
        <v>700</v>
      </c>
      <c r="J704"/>
      <c r="K704" t="inlineStr">
        <is>
          <t>简历</t>
        </is>
      </c>
      <c r="L704"/>
      <c r="M704" t="inlineStr">
        <is>
          <t>小师父的简历的店</t>
        </is>
      </c>
      <c r="N704">
        <v>2167</v>
      </c>
      <c r="O704">
        <v>3.92</v>
      </c>
      <c r="P704">
        <v>15000</v>
      </c>
      <c r="Q704" t="inlineStr">
        <is>
          <t>65431fa6b909a800017d5deb</t>
        </is>
      </c>
      <c r="R704"/>
      <c r="S704" t="inlineStr">
        <is>
          <t>PPT模板</t>
        </is>
      </c>
      <c r="T704" t="inlineStr">
        <is>
          <t>1.44</t>
        </is>
      </c>
      <c r="U704" s="3">
        <v>46112.78107638889</v>
      </c>
      <c r="V704" t="inlineStr">
        <is>
          <t>虚拟产品</t>
        </is>
      </c>
      <c r="W704" s="3">
        <v>46035</v>
      </c>
      <c r="X704" t="inlineStr">
        <is>
          <t>01</t>
        </is>
      </c>
      <c r="Y704" t="inlineStr">
        <is>
          <t>2026-Q1</t>
        </is>
      </c>
    </row>
    <row r="705" ht="38.25" customHeight="1">
      <c r="A705" t="inlineStr">
        <is>
          <t>大学生职业生涯规划书『PPT』完整版电子文档可编辑</t>
        </is>
      </c>
      <c r="B705" t="inlineStr">
        <is>
          <t>__upload_recv8ahsn2OfO2.jpg</t>
        </is>
      </c>
      <c r="C705" s="2" t="str">
        <f>=HYPERLINK("https://xhslink.com/m/WcO8uSlDrL", "https://xhslink.com/m/WcO8uSlDrL")</f>
        <v>https://xhslink.com/m/WcO8uSlDrL</v>
      </c>
      <c r="D705"/>
      <c r="E705">
        <v>1621</v>
      </c>
      <c r="F705">
        <v>9.9</v>
      </c>
      <c r="G705"/>
      <c r="H705"/>
      <c r="I705">
        <v>600</v>
      </c>
      <c r="J705"/>
      <c r="K705" t="inlineStr">
        <is>
          <t>简历</t>
        </is>
      </c>
      <c r="L705"/>
      <c r="M705" t="inlineStr">
        <is>
          <t>职业生涯规划书服务的店</t>
        </is>
      </c>
      <c r="N705">
        <v>3176</v>
      </c>
      <c r="O705">
        <v>3.93</v>
      </c>
      <c r="P705">
        <v>2206</v>
      </c>
      <c r="Q705" t="inlineStr">
        <is>
          <t>68fc972f427261000150460d</t>
        </is>
      </c>
      <c r="R705"/>
      <c r="S705" t="inlineStr">
        <is>
          <t>PPT模板</t>
        </is>
      </c>
      <c r="T705" t="inlineStr">
        <is>
          <t>0.51</t>
        </is>
      </c>
      <c r="U705" s="3">
        <v>46112.78107638889</v>
      </c>
      <c r="V705" t="inlineStr">
        <is>
          <t>虚拟产品</t>
        </is>
      </c>
      <c r="W705" s="3">
        <v>46035</v>
      </c>
      <c r="X705" t="inlineStr">
        <is>
          <t>01</t>
        </is>
      </c>
      <c r="Y705" t="inlineStr">
        <is>
          <t>2026-Q1</t>
        </is>
      </c>
    </row>
    <row r="706" ht="38.25" customHeight="1">
      <c r="A706" t="inlineStr">
        <is>
          <t>新版中石油校招社招面试笔试历年真题备考资料汇总（新版）</t>
        </is>
      </c>
      <c r="B706" t="inlineStr">
        <is>
          <t>__upload_recv8ahsn2wHpG.jpg</t>
        </is>
      </c>
      <c r="C706" s="2" t="str">
        <f>=HYPERLINK("https://xhslink.com/m/gH5kkScUlD", "https://xhslink.com/m/gH5kkScUlD")</f>
        <v>https://xhslink.com/m/gH5kkScUlD</v>
      </c>
      <c r="D706"/>
      <c r="E706">
        <v>1015</v>
      </c>
      <c r="F706">
        <v>9.9</v>
      </c>
      <c r="G706"/>
      <c r="H706"/>
      <c r="I706">
        <v>800</v>
      </c>
      <c r="J706"/>
      <c r="K706" t="inlineStr">
        <is>
          <t>简历</t>
        </is>
      </c>
      <c r="L706"/>
      <c r="M706" t="inlineStr">
        <is>
          <t>HR玲子的店</t>
        </is>
      </c>
      <c r="N706">
        <v>2136</v>
      </c>
      <c r="O706">
        <v>4.26</v>
      </c>
      <c r="P706">
        <v>17000</v>
      </c>
      <c r="Q706" t="inlineStr">
        <is>
          <t>67374cc61044850001227d33</t>
        </is>
      </c>
      <c r="R706"/>
      <c r="S706" t="inlineStr">
        <is>
          <t>求职面试/职场</t>
        </is>
      </c>
      <c r="T706" t="inlineStr">
        <is>
          <t>0.48</t>
        </is>
      </c>
      <c r="U706" s="3">
        <v>46112.78107638889</v>
      </c>
      <c r="V706" t="inlineStr">
        <is>
          <t>虚拟产品</t>
        </is>
      </c>
      <c r="W706" s="3">
        <v>46035</v>
      </c>
      <c r="X706" t="inlineStr">
        <is>
          <t>01</t>
        </is>
      </c>
      <c r="Y706" t="inlineStr">
        <is>
          <t>2026-Q1</t>
        </is>
      </c>
    </row>
    <row r="707" ht="38.25" customHeight="1">
      <c r="A707" t="inlineStr">
        <is>
          <t>职业生涯规划书成品范文word+ppt+pdf职业生涯比赛成长赛道模板</t>
        </is>
      </c>
      <c r="B707" t="inlineStr">
        <is>
          <t>__upload_recv8ahsn2wyRI.jpg</t>
        </is>
      </c>
      <c r="C707" s="2" t="str">
        <f>=HYPERLINK("https://xhslink.com/m/1K1Ygthhu2C", "https://xhslink.com/m/1K1Ygthhu2C")</f>
        <v>https://xhslink.com/m/1K1Ygthhu2C</v>
      </c>
      <c r="D707"/>
      <c r="E707">
        <v>734</v>
      </c>
      <c r="F707">
        <v>1.98</v>
      </c>
      <c r="G707"/>
      <c r="H707"/>
      <c r="I707">
        <v>600</v>
      </c>
      <c r="J707"/>
      <c r="K707" t="inlineStr">
        <is>
          <t>简历</t>
        </is>
      </c>
      <c r="L707"/>
      <c r="M707" t="inlineStr">
        <is>
          <t>赵小小的店</t>
        </is>
      </c>
      <c r="N707">
        <v>4354</v>
      </c>
      <c r="O707">
        <v>4.3</v>
      </c>
      <c r="P707">
        <v>50000</v>
      </c>
      <c r="Q707" t="inlineStr">
        <is>
          <t>68e769b04daabe0001904ceb</t>
        </is>
      </c>
      <c r="R707" t="inlineStr">
        <is>
          <t>🚫重复</t>
        </is>
      </c>
      <c r="S707" t="inlineStr">
        <is>
          <t>PPT模板</t>
        </is>
      </c>
      <c r="T707" t="inlineStr">
        <is>
          <t>0.17</t>
        </is>
      </c>
      <c r="U707" s="3">
        <v>46112.78107638889</v>
      </c>
      <c r="V707" t="inlineStr">
        <is>
          <t>虚拟产品</t>
        </is>
      </c>
      <c r="W707" s="3">
        <v>46035</v>
      </c>
      <c r="X707" t="inlineStr">
        <is>
          <t>01</t>
        </is>
      </c>
      <c r="Y707" t="inlineStr">
        <is>
          <t>2026-Q1</t>
        </is>
      </c>
    </row>
    <row r="708" ht="38.25" customHeight="1">
      <c r="A708" t="inlineStr">
        <is>
          <t>初中语文作文技巧方法提升系列电子资料包PPT课件（教师必备）</t>
        </is>
      </c>
      <c r="B708" t="inlineStr">
        <is>
          <t>__upload_recv8ahsn2G0i5.jpg</t>
        </is>
      </c>
      <c r="C708" s="2" t="str">
        <f>=HYPERLINK("https://xhslink.com/m/7iDJDdVTgOF", "https://xhslink.com/m/7iDJDdVTgOF")</f>
        <v>https://xhslink.com/m/7iDJDdVTgOF</v>
      </c>
      <c r="D708"/>
      <c r="E708">
        <v>5505</v>
      </c>
      <c r="F708">
        <v>8.8</v>
      </c>
      <c r="G708"/>
      <c r="H708"/>
      <c r="I708">
        <v>4000</v>
      </c>
      <c r="J708"/>
      <c r="K708" t="inlineStr">
        <is>
          <t>语文课件</t>
        </is>
      </c>
      <c r="L708" t="inlineStr">
        <is>
          <t>🔥低粉爆款</t>
        </is>
      </c>
      <c r="M708" t="inlineStr">
        <is>
          <t>阳光泡芙的店</t>
        </is>
      </c>
      <c r="N708">
        <v>1600</v>
      </c>
      <c r="O708">
        <v>4.43</v>
      </c>
      <c r="P708">
        <v>7084</v>
      </c>
      <c r="Q708" t="inlineStr">
        <is>
          <t>68d227d1057f5700151f0329</t>
        </is>
      </c>
      <c r="R708" t="inlineStr">
        <is>
          <t>🚫重复</t>
        </is>
      </c>
      <c r="S708" t="inlineStr">
        <is>
          <t>中小学教辅/教材</t>
        </is>
      </c>
      <c r="T708" t="inlineStr">
        <is>
          <t>3.44</t>
        </is>
      </c>
      <c r="U708" s="3">
        <v>46112.78107638889</v>
      </c>
      <c r="V708" t="inlineStr">
        <is>
          <t>虚拟产品</t>
        </is>
      </c>
      <c r="W708" s="3">
        <v>46035</v>
      </c>
      <c r="X708" t="inlineStr">
        <is>
          <t>01</t>
        </is>
      </c>
      <c r="Y708" t="inlineStr">
        <is>
          <t>2026-Q1</t>
        </is>
      </c>
    </row>
    <row r="709" ht="38.25" customHeight="1">
      <c r="A709" t="inlineStr">
        <is>
          <t>2025新版三年级语文上册任务群课件ppt+教案</t>
        </is>
      </c>
      <c r="B709" t="inlineStr">
        <is>
          <t>__upload_recv8ahsn2FRmP.jpg</t>
        </is>
      </c>
      <c r="C709" s="2" t="str">
        <f>=HYPERLINK("https://xhslink.com/m/3wZgGKAyV7s", "https://xhslink.com/m/3wZgGKAyV7s")</f>
        <v>https://xhslink.com/m/3wZgGKAyV7s</v>
      </c>
      <c r="D709"/>
      <c r="E709">
        <v>4994</v>
      </c>
      <c r="F709">
        <v>9.9</v>
      </c>
      <c r="G709"/>
      <c r="H709"/>
      <c r="I709">
        <v>3000</v>
      </c>
      <c r="J709"/>
      <c r="K709" t="inlineStr">
        <is>
          <t>语文课件</t>
        </is>
      </c>
      <c r="L709"/>
      <c r="M709" t="inlineStr">
        <is>
          <t>卢月如的店</t>
        </is>
      </c>
      <c r="N709">
        <v>2281</v>
      </c>
      <c r="O709">
        <v>4.33</v>
      </c>
      <c r="P709">
        <v>15000</v>
      </c>
      <c r="Q709" t="inlineStr">
        <is>
          <t>690c711184cf4200019c0016</t>
        </is>
      </c>
      <c r="R709" t="inlineStr">
        <is>
          <t>🚫重复</t>
        </is>
      </c>
      <c r="S709" t="inlineStr">
        <is>
          <t>中小学教辅/教材</t>
        </is>
      </c>
      <c r="T709" t="inlineStr">
        <is>
          <t>2.19</t>
        </is>
      </c>
      <c r="U709" s="3">
        <v>46112.78107638889</v>
      </c>
      <c r="V709" t="inlineStr">
        <is>
          <t>虚拟产品</t>
        </is>
      </c>
      <c r="W709" s="3">
        <v>46035</v>
      </c>
      <c r="X709" t="inlineStr">
        <is>
          <t>01</t>
        </is>
      </c>
      <c r="Y709" t="inlineStr">
        <is>
          <t>2026-Q1</t>
        </is>
      </c>
    </row>
    <row r="710" ht="38.25" customHeight="1">
      <c r="A710" t="inlineStr">
        <is>
          <t>秋季开学家长会（语文）笔记同款！</t>
        </is>
      </c>
      <c r="B710" t="inlineStr">
        <is>
          <t>__upload_recv8ahsn2Ne4e.jpg</t>
        </is>
      </c>
      <c r="C710" s="2" t="str">
        <f>=HYPERLINK("https://xhslink.com/m/8kgyvI4VKjs", "https://xhslink.com/m/8kgyvI4VKjs")</f>
        <v>https://xhslink.com/m/8kgyvI4VKjs</v>
      </c>
      <c r="D710"/>
      <c r="E710">
        <v>4370</v>
      </c>
      <c r="F710">
        <v>9.9</v>
      </c>
      <c r="G710"/>
      <c r="H710"/>
      <c r="I710">
        <v>1000</v>
      </c>
      <c r="J710"/>
      <c r="K710" t="inlineStr">
        <is>
          <t>语文课件</t>
        </is>
      </c>
      <c r="L710"/>
      <c r="M710" t="inlineStr">
        <is>
          <t>小鹿伢的店</t>
        </is>
      </c>
      <c r="N710">
        <v>17000</v>
      </c>
      <c r="O710">
        <v>4.05</v>
      </c>
      <c r="P710">
        <v>66000</v>
      </c>
      <c r="Q710" t="inlineStr">
        <is>
          <t>68a067325e17a70001077862</t>
        </is>
      </c>
      <c r="R710" t="inlineStr">
        <is>
          <t>🚫重复</t>
        </is>
      </c>
      <c r="S710" t="inlineStr">
        <is>
          <t>老师资料</t>
        </is>
      </c>
      <c r="T710" t="inlineStr">
        <is>
          <t>0.26</t>
        </is>
      </c>
      <c r="U710" s="3">
        <v>46112.78107638889</v>
      </c>
      <c r="V710" t="inlineStr">
        <is>
          <t>虚拟产品</t>
        </is>
      </c>
      <c r="W710" s="3">
        <v>46035</v>
      </c>
      <c r="X710" t="inlineStr">
        <is>
          <t>01</t>
        </is>
      </c>
      <c r="Y710" t="inlineStr">
        <is>
          <t>2026-Q1</t>
        </is>
      </c>
    </row>
    <row r="711" ht="38.25" customHeight="1">
      <c r="A711" t="inlineStr">
        <is>
          <t>【K20】25新版二上语文大单元任务群公开课课件+详细教案</t>
        </is>
      </c>
      <c r="B711" t="inlineStr">
        <is>
          <t>__upload_recv8ahsn2RkeJ.jpg</t>
        </is>
      </c>
      <c r="C711" s="2" t="str">
        <f>=HYPERLINK("https://xhslink.com/m/2jpv8W3AsXO", "https://xhslink.com/m/2jpv8W3AsXO")</f>
        <v>https://xhslink.com/m/2jpv8W3AsXO</v>
      </c>
      <c r="D711"/>
      <c r="E711">
        <v>4062</v>
      </c>
      <c r="F711">
        <v>9.9</v>
      </c>
      <c r="G711"/>
      <c r="H711"/>
      <c r="I711">
        <v>2000</v>
      </c>
      <c r="J711"/>
      <c r="K711" t="inlineStr">
        <is>
          <t>语文课件</t>
        </is>
      </c>
      <c r="L711"/>
      <c r="M711" t="inlineStr">
        <is>
          <t>小雪老师的课堂的店</t>
        </is>
      </c>
      <c r="N711">
        <v>15000</v>
      </c>
      <c r="O711">
        <v>4.34</v>
      </c>
      <c r="P711">
        <v>80000</v>
      </c>
      <c r="Q711" t="inlineStr">
        <is>
          <t>6877069c22713e00011f0fe6</t>
        </is>
      </c>
      <c r="R711" t="inlineStr">
        <is>
          <t>🚫重复</t>
        </is>
      </c>
      <c r="S711" t="inlineStr">
        <is>
          <t>中小学教辅/教材</t>
        </is>
      </c>
      <c r="T711" t="inlineStr">
        <is>
          <t>0.27</t>
        </is>
      </c>
      <c r="U711" s="3">
        <v>46112.78107638889</v>
      </c>
      <c r="V711" t="inlineStr">
        <is>
          <t>虚拟产品</t>
        </is>
      </c>
      <c r="W711" s="3">
        <v>46035</v>
      </c>
      <c r="X711" t="inlineStr">
        <is>
          <t>01</t>
        </is>
      </c>
      <c r="Y711" t="inlineStr">
        <is>
          <t>2026-Q1</t>
        </is>
      </c>
    </row>
    <row r="712" ht="38.25" customHeight="1">
      <c r="A712" t="inlineStr">
        <is>
          <t>2025秋四年级上册语文（单课）课件+教案（请勿外传，违者必究）</t>
        </is>
      </c>
      <c r="B712" t="inlineStr">
        <is>
          <t>__upload_recv8ahsn25kNB.jpg</t>
        </is>
      </c>
      <c r="C712" s="2" t="str">
        <f>=HYPERLINK("https://xhslink.com/m/wfY5mwwl0", "https://xhslink.com/m/wfY5mwwl0")</f>
        <v>https://xhslink.com/m/wfY5mwwl0</v>
      </c>
      <c r="D712"/>
      <c r="E712">
        <v>4112</v>
      </c>
      <c r="F712">
        <v>5</v>
      </c>
      <c r="G712"/>
      <c r="H712"/>
      <c r="I712">
        <v>2000</v>
      </c>
      <c r="J712"/>
      <c r="K712" t="inlineStr">
        <is>
          <t>语文课件</t>
        </is>
      </c>
      <c r="L712"/>
      <c r="M712" t="inlineStr">
        <is>
          <t>想躺平的李老师的店</t>
        </is>
      </c>
      <c r="N712">
        <v>65000</v>
      </c>
      <c r="O712">
        <v>4.36</v>
      </c>
      <c r="P712">
        <v>78000</v>
      </c>
      <c r="Q712" t="inlineStr">
        <is>
          <t>693aa18c7ca5630001e00fb1</t>
        </is>
      </c>
      <c r="R712" t="inlineStr">
        <is>
          <t>🚫重复</t>
        </is>
      </c>
      <c r="S712" t="inlineStr">
        <is>
          <t>中小学教辅/教材</t>
        </is>
      </c>
      <c r="T712" t="inlineStr">
        <is>
          <t>0.06</t>
        </is>
      </c>
      <c r="U712" s="3">
        <v>46112.78107638889</v>
      </c>
      <c r="V712" t="inlineStr">
        <is>
          <t>虚拟产品</t>
        </is>
      </c>
      <c r="W712" s="3">
        <v>46035</v>
      </c>
      <c r="X712" t="inlineStr">
        <is>
          <t>01</t>
        </is>
      </c>
      <c r="Y712" t="inlineStr">
        <is>
          <t>2026-Q1</t>
        </is>
      </c>
    </row>
    <row r="713" ht="38.25" customHeight="1">
      <c r="A713" t="inlineStr">
        <is>
          <t>七年级上册历史课件（单课）购买选此链接</t>
        </is>
      </c>
      <c r="B713" t="inlineStr">
        <is>
          <t>__upload_recv8ahsn2bv9O.jpg</t>
        </is>
      </c>
      <c r="C713" s="2" t="str">
        <f>=HYPERLINK("https://xhslink.com/m/63bssObQVoM", "https://xhslink.com/m/63bssObQVoM")</f>
        <v>https://xhslink.com/m/63bssObQVoM</v>
      </c>
      <c r="D713"/>
      <c r="E713">
        <v>7351</v>
      </c>
      <c r="F713">
        <v>8</v>
      </c>
      <c r="G713"/>
      <c r="H713"/>
      <c r="I713">
        <v>400</v>
      </c>
      <c r="J713"/>
      <c r="K713" t="inlineStr">
        <is>
          <t>历史课件</t>
        </is>
      </c>
      <c r="L713"/>
      <c r="M713" t="inlineStr">
        <is>
          <t>历史圆子的店</t>
        </is>
      </c>
      <c r="N713">
        <v>14000</v>
      </c>
      <c r="O713">
        <v>4.42</v>
      </c>
      <c r="P713">
        <v>23000</v>
      </c>
      <c r="Q713" t="inlineStr">
        <is>
          <t>67613c601514ef0001b0ca44</t>
        </is>
      </c>
      <c r="R713" t="inlineStr">
        <is>
          <t>🚫重复</t>
        </is>
      </c>
      <c r="S713" t="inlineStr">
        <is>
          <t>中小学教辅/教材</t>
        </is>
      </c>
      <c r="T713" t="inlineStr">
        <is>
          <t>0.53</t>
        </is>
      </c>
      <c r="U713" s="3">
        <v>46112.78107638889</v>
      </c>
      <c r="V713" t="inlineStr">
        <is>
          <t>虚拟产品</t>
        </is>
      </c>
      <c r="W713" s="3">
        <v>46035</v>
      </c>
      <c r="X713" t="inlineStr">
        <is>
          <t>01</t>
        </is>
      </c>
      <c r="Y713" t="inlineStr">
        <is>
          <t>2026-Q1</t>
        </is>
      </c>
    </row>
    <row r="714" ht="38.25" customHeight="1">
      <c r="A714" t="inlineStr">
        <is>
          <t>社团课后延时托管兴趣班教案教学设计ppt教案持续更新110种可修改</t>
        </is>
      </c>
      <c r="B714" t="inlineStr">
        <is>
          <t>__upload_recv8ahsn2WIBb.jpg</t>
        </is>
      </c>
      <c r="C714" s="2" t="str">
        <f>=HYPERLINK("https://xhslink.com/m/5mTSQHFFYW2", "https://xhslink.com/m/5mTSQHFFYW2")</f>
        <v>https://xhslink.com/m/5mTSQHFFYW2</v>
      </c>
      <c r="D714"/>
      <c r="E714">
        <v>1937</v>
      </c>
      <c r="F714">
        <v>15.8</v>
      </c>
      <c r="G714"/>
      <c r="H714"/>
      <c r="I714">
        <v>900</v>
      </c>
      <c r="J714"/>
      <c r="K714" t="inlineStr">
        <is>
          <t>历史课件</t>
        </is>
      </c>
      <c r="L714" t="inlineStr">
        <is>
          <t>🔥低粉爆款</t>
        </is>
      </c>
      <c r="M714" t="inlineStr">
        <is>
          <t>哎呀呀淘多多的店</t>
        </is>
      </c>
      <c r="N714">
        <v>132</v>
      </c>
      <c r="O714">
        <v>4.32</v>
      </c>
      <c r="P714">
        <v>2640</v>
      </c>
      <c r="Q714" t="inlineStr">
        <is>
          <t>68b59a339b776a001575f016</t>
        </is>
      </c>
      <c r="R714" t="inlineStr">
        <is>
          <t>🚫重复</t>
        </is>
      </c>
      <c r="S714" t="inlineStr">
        <is>
          <t>PPT模板</t>
        </is>
      </c>
      <c r="T714" t="inlineStr">
        <is>
          <t>14.67</t>
        </is>
      </c>
      <c r="U714" s="3">
        <v>46112.78107638889</v>
      </c>
      <c r="V714" t="inlineStr">
        <is>
          <t>虚拟产品</t>
        </is>
      </c>
      <c r="W714" s="3">
        <v>46035</v>
      </c>
      <c r="X714" t="inlineStr">
        <is>
          <t>01</t>
        </is>
      </c>
      <c r="Y714" t="inlineStr">
        <is>
          <t>2026-Q1</t>
        </is>
      </c>
    </row>
    <row r="715" ht="38.25" customHeight="1">
      <c r="A715" t="inlineStr">
        <is>
          <t>欧式复古风格PPT模板欧洲花纹边框历史教学国外课件演讲素材PPT</t>
        </is>
      </c>
      <c r="B715" t="inlineStr">
        <is>
          <t>__upload_recv8ahsn2MC9p.jpg</t>
        </is>
      </c>
      <c r="C715" s="2" t="str">
        <f>=HYPERLINK("https://xhslink.com/m/1U6gk21YR1M", "https://xhslink.com/m/1U6gk21YR1M")</f>
        <v>https://xhslink.com/m/1U6gk21YR1M</v>
      </c>
      <c r="D715"/>
      <c r="E715">
        <v>1739</v>
      </c>
      <c r="F715">
        <v>4.9</v>
      </c>
      <c r="G715"/>
      <c r="H715"/>
      <c r="I715">
        <v>700</v>
      </c>
      <c r="J715"/>
      <c r="K715" t="inlineStr">
        <is>
          <t>历史课件</t>
        </is>
      </c>
      <c r="L715"/>
      <c r="M715" t="inlineStr">
        <is>
          <t>三只喵ppt的店</t>
        </is>
      </c>
      <c r="N715">
        <v>3318</v>
      </c>
      <c r="O715">
        <v>4.3</v>
      </c>
      <c r="P715">
        <v>34000</v>
      </c>
      <c r="Q715" t="inlineStr">
        <is>
          <t>67c5221b49f1f10001aaa810</t>
        </is>
      </c>
      <c r="R715" t="inlineStr">
        <is>
          <t>🚫重复</t>
        </is>
      </c>
      <c r="S715" t="inlineStr">
        <is>
          <t>PPT模板</t>
        </is>
      </c>
      <c r="T715" t="inlineStr">
        <is>
          <t>0.52</t>
        </is>
      </c>
      <c r="U715" s="3">
        <v>46112.78107638889</v>
      </c>
      <c r="V715" t="inlineStr">
        <is>
          <t>虚拟产品</t>
        </is>
      </c>
      <c r="W715" s="3">
        <v>46035</v>
      </c>
      <c r="X715" t="inlineStr">
        <is>
          <t>01</t>
        </is>
      </c>
      <c r="Y715" t="inlineStr">
        <is>
          <t>2026-Q1</t>
        </is>
      </c>
    </row>
    <row r="716" ht="38.25" customHeight="1">
      <c r="A716" t="inlineStr">
        <is>
          <t>【更新完】八上历史PPT单课课件及打包课件</t>
        </is>
      </c>
      <c r="B716" t="inlineStr">
        <is>
          <t>__upload_recv8ahsn2mGzb.jpg</t>
        </is>
      </c>
      <c r="C716" s="2" t="str">
        <f>=HYPERLINK("https://xhslink.com/m/35EPXUp5Qkp", "https://xhslink.com/m/35EPXUp5Qkp")</f>
        <v>https://xhslink.com/m/35EPXUp5Qkp</v>
      </c>
      <c r="D716"/>
      <c r="E716">
        <v>1109</v>
      </c>
      <c r="F716">
        <v>10</v>
      </c>
      <c r="G716"/>
      <c r="H716"/>
      <c r="I716">
        <v>400</v>
      </c>
      <c r="J716"/>
      <c r="K716" t="inlineStr">
        <is>
          <t>历史课件</t>
        </is>
      </c>
      <c r="L716"/>
      <c r="M716" t="inlineStr">
        <is>
          <t>教历史的叶叶的店</t>
        </is>
      </c>
      <c r="N716">
        <v>3482</v>
      </c>
      <c r="O716">
        <v>4.43</v>
      </c>
      <c r="P716">
        <v>2746</v>
      </c>
      <c r="Q716" t="inlineStr">
        <is>
          <t>69391b6abd92f50001982e06</t>
        </is>
      </c>
      <c r="R716" t="inlineStr">
        <is>
          <t>🚫重复</t>
        </is>
      </c>
      <c r="S716" t="inlineStr">
        <is>
          <t>PPT模板</t>
        </is>
      </c>
      <c r="T716" t="inlineStr">
        <is>
          <t>0.32</t>
        </is>
      </c>
      <c r="U716" s="3">
        <v>46112.78107638889</v>
      </c>
      <c r="V716" t="inlineStr">
        <is>
          <t>虚拟产品</t>
        </is>
      </c>
      <c r="W716" s="3">
        <v>46035</v>
      </c>
      <c r="X716" t="inlineStr">
        <is>
          <t>01</t>
        </is>
      </c>
      <c r="Y716" t="inlineStr">
        <is>
          <t>2026-Q1</t>
        </is>
      </c>
    </row>
    <row r="717" ht="38.25" customHeight="1">
      <c r="A717" t="inlineStr">
        <is>
          <t>【四年级上册】精品课件资料包（请看好课题和商品图，不要拍错</t>
        </is>
      </c>
      <c r="B717" t="inlineStr">
        <is>
          <t>__upload_recv8ahsn2JVdM.jpg</t>
        </is>
      </c>
      <c r="C717" s="2" t="str">
        <f>=HYPERLINK("https://xhslink.com/m/LQ39Dq4VKE", "https://xhslink.com/m/LQ39Dq4VKE")</f>
        <v>https://xhslink.com/m/LQ39Dq4VKE</v>
      </c>
      <c r="D717"/>
      <c r="E717">
        <v>1093</v>
      </c>
      <c r="F717">
        <v>8.9</v>
      </c>
      <c r="G717"/>
      <c r="H717"/>
      <c r="I717">
        <v>500</v>
      </c>
      <c r="J717"/>
      <c r="K717" t="inlineStr">
        <is>
          <t>历史课件</t>
        </is>
      </c>
      <c r="L717"/>
      <c r="M717" t="inlineStr">
        <is>
          <t>四喜超努力的店</t>
        </is>
      </c>
      <c r="N717">
        <v>801</v>
      </c>
      <c r="O717">
        <v>3.96</v>
      </c>
      <c r="P717">
        <v>2724</v>
      </c>
      <c r="Q717" t="inlineStr">
        <is>
          <t>69107ea8ab6540000162977b</t>
        </is>
      </c>
      <c r="R717"/>
      <c r="S717" t="inlineStr">
        <is>
          <t>中小学教辅/教材</t>
        </is>
      </c>
      <c r="T717" t="inlineStr">
        <is>
          <t>1.36</t>
        </is>
      </c>
      <c r="U717" s="3">
        <v>46112.78107638889</v>
      </c>
      <c r="V717" t="inlineStr">
        <is>
          <t>虚拟产品</t>
        </is>
      </c>
      <c r="W717" s="3">
        <v>46035</v>
      </c>
      <c r="X717" t="inlineStr">
        <is>
          <t>01</t>
        </is>
      </c>
      <c r="Y717" t="inlineStr">
        <is>
          <t>2026-Q1</t>
        </is>
      </c>
    </row>
    <row r="718" ht="38.25" customHeight="1">
      <c r="A718" t="inlineStr">
        <is>
          <t>八上历史新教材单课课件、教案、导学案（备注需要哪课）</t>
        </is>
      </c>
      <c r="B718" t="inlineStr">
        <is>
          <t>__upload_recv8ahsn21BL4.jpg</t>
        </is>
      </c>
      <c r="C718" s="2" t="str">
        <f>=HYPERLINK("https://xhslink.com/m/9JLU4j8NXrM", "https://xhslink.com/m/9JLU4j8NXrM")</f>
        <v>https://xhslink.com/m/9JLU4j8NXrM</v>
      </c>
      <c r="D718"/>
      <c r="E718">
        <v>916</v>
      </c>
      <c r="F718">
        <v>6.6</v>
      </c>
      <c r="G718"/>
      <c r="H718"/>
      <c r="I718">
        <v>400</v>
      </c>
      <c r="J718"/>
      <c r="K718" t="inlineStr">
        <is>
          <t>历史课件</t>
        </is>
      </c>
      <c r="L718"/>
      <c r="M718" t="inlineStr">
        <is>
          <t>在成为优秀历史老师的路上的店</t>
        </is>
      </c>
      <c r="N718">
        <v>16000</v>
      </c>
      <c r="O718">
        <v>4.52</v>
      </c>
      <c r="P718">
        <v>17000</v>
      </c>
      <c r="Q718" t="inlineStr">
        <is>
          <t>686294446213850001a8cb38</t>
        </is>
      </c>
      <c r="R718"/>
      <c r="S718" t="inlineStr">
        <is>
          <t>中小学教辅/教材</t>
        </is>
      </c>
      <c r="T718" t="inlineStr">
        <is>
          <t>0.06</t>
        </is>
      </c>
      <c r="U718" s="3">
        <v>46112.78107638889</v>
      </c>
      <c r="V718" t="inlineStr">
        <is>
          <t>虚拟产品</t>
        </is>
      </c>
      <c r="W718" s="3">
        <v>46035</v>
      </c>
      <c r="X718" t="inlineStr">
        <is>
          <t>01</t>
        </is>
      </c>
      <c r="Y718" t="inlineStr">
        <is>
          <t>2026-Q1</t>
        </is>
      </c>
    </row>
    <row r="719" ht="38.25" customHeight="1">
      <c r="A719" t="inlineStr">
        <is>
          <t>2026年中考一轮二轮总复习初三课件知识点专题训练模拟题历年真题</t>
        </is>
      </c>
      <c r="B719" t="inlineStr">
        <is>
          <t>__upload_recv8ahsn2uMkF.jpg</t>
        </is>
      </c>
      <c r="C719" s="2" t="str">
        <f>=HYPERLINK("https://xhslink.com/m/8OlTktIFbaw", "https://xhslink.com/m/8OlTktIFbaw")</f>
        <v>https://xhslink.com/m/8OlTktIFbaw</v>
      </c>
      <c r="D719"/>
      <c r="E719">
        <v>722</v>
      </c>
      <c r="F719">
        <v>6.88</v>
      </c>
      <c r="G719"/>
      <c r="H719"/>
      <c r="I719"/>
      <c r="J719"/>
      <c r="K719" t="inlineStr">
        <is>
          <t>历史课件</t>
        </is>
      </c>
      <c r="L719"/>
      <c r="M719" t="inlineStr">
        <is>
          <t>婷婷老师的学习库的店</t>
        </is>
      </c>
      <c r="N719">
        <v>3903</v>
      </c>
      <c r="O719">
        <v>4.5</v>
      </c>
      <c r="P719">
        <v>15000</v>
      </c>
      <c r="Q719" t="inlineStr">
        <is>
          <t>68810ac8b1b9df00017ba1de</t>
        </is>
      </c>
      <c r="R719" t="inlineStr">
        <is>
          <t>🚫重复</t>
        </is>
      </c>
      <c r="S719" t="inlineStr">
        <is>
          <t>中小学教辅/教材</t>
        </is>
      </c>
      <c r="T719" t="inlineStr">
        <is>
          <t>0.18</t>
        </is>
      </c>
      <c r="U719" s="3">
        <v>46112.78107638889</v>
      </c>
      <c r="V719" t="inlineStr">
        <is>
          <t>虚拟产品</t>
        </is>
      </c>
      <c r="W719" s="3">
        <v>46035</v>
      </c>
      <c r="X719" t="inlineStr">
        <is>
          <t>01</t>
        </is>
      </c>
      <c r="Y719" t="inlineStr">
        <is>
          <t>2026-Q1</t>
        </is>
      </c>
    </row>
    <row r="720" ht="38.25" customHeight="1">
      <c r="A720" t="inlineStr">
        <is>
          <t>26春招/秋招银行招聘笔试/题库APP/刷题软件/六大银行电子资料包</t>
        </is>
      </c>
      <c r="B720" t="inlineStr">
        <is>
          <t>__upload_recv8ahsn2a059.jpg</t>
        </is>
      </c>
      <c r="C720" s="2" t="str">
        <f>=HYPERLINK("https://xhslink.com/m/8auTM1NHQZM", "https://xhslink.com/m/8auTM1NHQZM")</f>
        <v>https://xhslink.com/m/8auTM1NHQZM</v>
      </c>
      <c r="D720"/>
      <c r="E720">
        <v>4055</v>
      </c>
      <c r="F720">
        <v>9.9</v>
      </c>
      <c r="G720"/>
      <c r="H720"/>
      <c r="I720">
        <v>1000</v>
      </c>
      <c r="J720"/>
      <c r="K720" t="inlineStr">
        <is>
          <t>春招</t>
        </is>
      </c>
      <c r="L720"/>
      <c r="M720" t="inlineStr">
        <is>
          <t>新城的日落的店</t>
        </is>
      </c>
      <c r="N720">
        <v>2161</v>
      </c>
      <c r="O720">
        <v>4.09</v>
      </c>
      <c r="P720">
        <v>10000</v>
      </c>
      <c r="Q720" t="inlineStr">
        <is>
          <t>684ceb92e17b8a0001a97136</t>
        </is>
      </c>
      <c r="R720" t="inlineStr">
        <is>
          <t>🚫重复</t>
        </is>
      </c>
      <c r="S720" t="inlineStr">
        <is>
          <t>求职面试/职场</t>
        </is>
      </c>
      <c r="T720" t="inlineStr">
        <is>
          <t>1.88</t>
        </is>
      </c>
      <c r="U720" s="3">
        <v>46112.78107638889</v>
      </c>
      <c r="V720" t="inlineStr">
        <is>
          <t>虚拟产品</t>
        </is>
      </c>
      <c r="W720" s="3">
        <v>46035</v>
      </c>
      <c r="X720" t="inlineStr">
        <is>
          <t>01</t>
        </is>
      </c>
      <c r="Y720" t="inlineStr">
        <is>
          <t>2026-Q1</t>
        </is>
      </c>
    </row>
    <row r="721" ht="38.25" customHeight="1">
      <c r="A721" t="inlineStr">
        <is>
          <t>24届25届【往届生校招汇总表】   每日更新    一键投递</t>
        </is>
      </c>
      <c r="B721" t="inlineStr">
        <is>
          <t>__upload_recv8ahsn2As6f.jpg</t>
        </is>
      </c>
      <c r="C721" s="2" t="str">
        <f>=HYPERLINK("https://xhslink.com/m/9LYnYhwBbuV", "https://xhslink.com/m/9LYnYhwBbuV")</f>
        <v>https://xhslink.com/m/9LYnYhwBbuV</v>
      </c>
      <c r="D721"/>
      <c r="E721">
        <v>2947</v>
      </c>
      <c r="F721">
        <v>39.99</v>
      </c>
      <c r="G721"/>
      <c r="H721"/>
      <c r="I721">
        <v>500</v>
      </c>
      <c r="J721"/>
      <c r="K721" t="inlineStr">
        <is>
          <t>春招</t>
        </is>
      </c>
      <c r="L721"/>
      <c r="M721" t="inlineStr">
        <is>
          <t>校招信息一锅端的店</t>
        </is>
      </c>
      <c r="N721">
        <v>10000</v>
      </c>
      <c r="O721">
        <v>4.05</v>
      </c>
      <c r="P721">
        <v>5896</v>
      </c>
      <c r="Q721" t="inlineStr">
        <is>
          <t>694d529ae7d6bb0001a9b2bf</t>
        </is>
      </c>
      <c r="R721" t="inlineStr">
        <is>
          <t>🚫重复</t>
        </is>
      </c>
      <c r="S721" t="inlineStr">
        <is>
          <t>求职面试/职场</t>
        </is>
      </c>
      <c r="T721" t="inlineStr">
        <is>
          <t>0.29</t>
        </is>
      </c>
      <c r="U721" s="3">
        <v>46112.78107638889</v>
      </c>
      <c r="V721" t="inlineStr">
        <is>
          <t>虚拟产品</t>
        </is>
      </c>
      <c r="W721" s="3">
        <v>46035</v>
      </c>
      <c r="X721" t="inlineStr">
        <is>
          <t>01</t>
        </is>
      </c>
      <c r="Y721" t="inlineStr">
        <is>
          <t>2026-Q1</t>
        </is>
      </c>
    </row>
    <row r="722" ht="38.25" customHeight="1">
      <c r="A722" t="inlineStr">
        <is>
          <t>2026六大行秋招网课笔试面试备考资料工商农业中国建设交通邮储</t>
        </is>
      </c>
      <c r="B722" t="inlineStr">
        <is>
          <t>__upload_recv8ahsn27WXA.jpg</t>
        </is>
      </c>
      <c r="C722" s="2" t="str">
        <f>=HYPERLINK("https://xhslink.com/m/AwGCHekJbt6", "https://xhslink.com/m/AwGCHekJbt6")</f>
        <v>https://xhslink.com/m/AwGCHekJbt6</v>
      </c>
      <c r="D722"/>
      <c r="E722">
        <v>2965</v>
      </c>
      <c r="F722">
        <v>5.9</v>
      </c>
      <c r="G722"/>
      <c r="H722"/>
      <c r="I722">
        <v>2000</v>
      </c>
      <c r="J722"/>
      <c r="K722" t="inlineStr">
        <is>
          <t>秋招</t>
        </is>
      </c>
      <c r="L722" t="inlineStr">
        <is>
          <t>🔥低粉爆款</t>
        </is>
      </c>
      <c r="M722" t="inlineStr">
        <is>
          <t>喵喵开心上班的店</t>
        </is>
      </c>
      <c r="N722">
        <v>163</v>
      </c>
      <c r="O722">
        <v>3.97</v>
      </c>
      <c r="P722">
        <v>2986</v>
      </c>
      <c r="Q722" t="inlineStr">
        <is>
          <t>68c49bde287c750001982104</t>
        </is>
      </c>
      <c r="R722" t="inlineStr">
        <is>
          <t>🚫重复</t>
        </is>
      </c>
      <c r="S722" t="inlineStr">
        <is>
          <t>求职面试/职场</t>
        </is>
      </c>
      <c r="T722" t="inlineStr">
        <is>
          <t>18.19</t>
        </is>
      </c>
      <c r="U722" s="3">
        <v>46112.78107638889</v>
      </c>
      <c r="V722" t="inlineStr">
        <is>
          <t>虚拟产品</t>
        </is>
      </c>
      <c r="W722" s="3">
        <v>46035</v>
      </c>
      <c r="X722" t="inlineStr">
        <is>
          <t>01</t>
        </is>
      </c>
      <c r="Y722" t="inlineStr">
        <is>
          <t>2026-Q1</t>
        </is>
      </c>
    </row>
    <row r="723" ht="38.25" customHeight="1">
      <c r="A723" t="inlineStr">
        <is>
          <t>26秋招毕马威题库第一二轮有ai</t>
        </is>
      </c>
      <c r="B723" t="inlineStr">
        <is>
          <t>__upload_recv8ahsn2ILaq.jpg</t>
        </is>
      </c>
      <c r="C723" s="2" t="str">
        <f>=HYPERLINK("https://xhslink.com/m/2UWIiVY9jsv", "https://xhslink.com/m/2UWIiVY9jsv")</f>
        <v>https://xhslink.com/m/2UWIiVY9jsv</v>
      </c>
      <c r="D723"/>
      <c r="E723">
        <v>2392</v>
      </c>
      <c r="F723">
        <v>4.9</v>
      </c>
      <c r="G723"/>
      <c r="H723"/>
      <c r="I723">
        <v>500</v>
      </c>
      <c r="J723"/>
      <c r="K723" t="inlineStr">
        <is>
          <t>秋招</t>
        </is>
      </c>
      <c r="L723"/>
      <c r="M723" t="inlineStr">
        <is>
          <t>我妈生我必有用的店</t>
        </is>
      </c>
      <c r="N723">
        <v>2393</v>
      </c>
      <c r="O723">
        <v>3.65</v>
      </c>
      <c r="P723">
        <v>9776</v>
      </c>
      <c r="Q723" t="inlineStr">
        <is>
          <t>680ca0a16c93280001fca9d5</t>
        </is>
      </c>
      <c r="R723"/>
      <c r="S723" t="inlineStr">
        <is>
          <t>求职面试/职场</t>
        </is>
      </c>
      <c r="T723" t="inlineStr">
        <is>
          <t>1.00</t>
        </is>
      </c>
      <c r="U723" s="3">
        <v>46112.78107638889</v>
      </c>
      <c r="V723" t="inlineStr">
        <is>
          <t>虚拟产品</t>
        </is>
      </c>
      <c r="W723" s="3">
        <v>46035</v>
      </c>
      <c r="X723" t="inlineStr">
        <is>
          <t>01</t>
        </is>
      </c>
      <c r="Y723" t="inlineStr">
        <is>
          <t>2026-Q1</t>
        </is>
      </c>
    </row>
    <row r="724" ht="38.25" customHeight="1">
      <c r="A724" t="inlineStr">
        <is>
          <t>德勤2026校招秋招实习笔试真题题库Dtt德勤VI题库(拍下自动发)</t>
        </is>
      </c>
      <c r="B724" t="inlineStr">
        <is>
          <t>__upload_recv8ahsn23QMs.jpg</t>
        </is>
      </c>
      <c r="C724" s="2" t="str">
        <f>=HYPERLINK("https://xhslink.com/m/7NYmxcRDVoH", "https://xhslink.com/m/7NYmxcRDVoH")</f>
        <v>https://xhslink.com/m/7NYmxcRDVoH</v>
      </c>
      <c r="D724"/>
      <c r="E724">
        <v>2171</v>
      </c>
      <c r="F724">
        <v>15</v>
      </c>
      <c r="G724"/>
      <c r="H724"/>
      <c r="I724">
        <v>500</v>
      </c>
      <c r="J724"/>
      <c r="K724" t="inlineStr">
        <is>
          <t>秋招</t>
        </is>
      </c>
      <c r="L724"/>
      <c r="M724" t="inlineStr">
        <is>
          <t>offer小达人的店</t>
        </is>
      </c>
      <c r="N724">
        <v>1193</v>
      </c>
      <c r="O724">
        <v>4.3</v>
      </c>
      <c r="P724">
        <v>9701</v>
      </c>
      <c r="Q724" t="inlineStr">
        <is>
          <t>670e905551c91c0001f061eb</t>
        </is>
      </c>
      <c r="R724"/>
      <c r="S724" t="inlineStr">
        <is>
          <t>求职面试/职场</t>
        </is>
      </c>
      <c r="T724" t="inlineStr">
        <is>
          <t>1.82</t>
        </is>
      </c>
      <c r="U724" s="3">
        <v>46112.78107638889</v>
      </c>
      <c r="V724" t="inlineStr">
        <is>
          <t>虚拟产品</t>
        </is>
      </c>
      <c r="W724" s="3">
        <v>46035</v>
      </c>
      <c r="X724" t="inlineStr">
        <is>
          <t>01</t>
        </is>
      </c>
      <c r="Y724" t="inlineStr">
        <is>
          <t>2026-Q1</t>
        </is>
      </c>
    </row>
    <row r="725" ht="38.25" customHeight="1">
      <c r="A725" t="inlineStr">
        <is>
          <t>初高中主题班会课件|持续更新</t>
        </is>
      </c>
      <c r="B725" t="inlineStr">
        <is>
          <t>__upload_recv8ahsn2SHb8.jpg</t>
        </is>
      </c>
      <c r="C725" s="2" t="str">
        <f>=HYPERLINK("https://xhslink.com/m/3cA01NZXamL", "https://xhslink.com/m/3cA01NZXamL")</f>
        <v>https://xhslink.com/m/3cA01NZXamL</v>
      </c>
      <c r="D725"/>
      <c r="E725">
        <v>5878</v>
      </c>
      <c r="F725">
        <v>8.8</v>
      </c>
      <c r="G725"/>
      <c r="H725"/>
      <c r="I725">
        <v>2000</v>
      </c>
      <c r="J725"/>
      <c r="K725" t="inlineStr">
        <is>
          <t>自习</t>
        </is>
      </c>
      <c r="L725" t="inlineStr">
        <is>
          <t>🔥低粉爆款</t>
        </is>
      </c>
      <c r="M725" t="inlineStr">
        <is>
          <t>Amy老师的资料库的店</t>
        </is>
      </c>
      <c r="N725">
        <v>1486</v>
      </c>
      <c r="O725">
        <v>4.28</v>
      </c>
      <c r="P725">
        <v>12000</v>
      </c>
      <c r="Q725" t="inlineStr">
        <is>
          <t>68c3c5f6f9d8290001c9ba67</t>
        </is>
      </c>
      <c r="R725" t="inlineStr">
        <is>
          <t>🚫重复</t>
        </is>
      </c>
      <c r="S725" t="inlineStr">
        <is>
          <t>中小学教辅/教材</t>
        </is>
      </c>
      <c r="T725" t="inlineStr">
        <is>
          <t>3.96</t>
        </is>
      </c>
      <c r="U725" s="3">
        <v>46112.78107638889</v>
      </c>
      <c r="V725" t="inlineStr">
        <is>
          <t>虚拟产品</t>
        </is>
      </c>
      <c r="W725" s="3">
        <v>46035</v>
      </c>
      <c r="X725" t="inlineStr">
        <is>
          <t>01</t>
        </is>
      </c>
      <c r="Y725" t="inlineStr">
        <is>
          <t>2026-Q1</t>
        </is>
      </c>
    </row>
    <row r="726" ht="38.25" customHeight="1">
      <c r="A726" t="inlineStr">
        <is>
          <t>2025年中小学秋季主题班会PPT（拍下秒发！详见订单发货内容</t>
        </is>
      </c>
      <c r="B726" t="inlineStr">
        <is>
          <t>__upload_recv8ahsn2zA1D.jpg</t>
        </is>
      </c>
      <c r="C726" s="2" t="str">
        <f>=HYPERLINK("https://xhslink.com/m/2e7Ric8WDmv", "https://xhslink.com/m/2e7Ric8WDmv")</f>
        <v>https://xhslink.com/m/2e7Ric8WDmv</v>
      </c>
      <c r="D726"/>
      <c r="E726">
        <v>5560</v>
      </c>
      <c r="F726">
        <v>4.99</v>
      </c>
      <c r="G726"/>
      <c r="H726"/>
      <c r="I726">
        <v>2000</v>
      </c>
      <c r="J726"/>
      <c r="K726" t="inlineStr">
        <is>
          <t>自习</t>
        </is>
      </c>
      <c r="L726" t="inlineStr">
        <is>
          <t>🔥低粉爆款</t>
        </is>
      </c>
      <c r="M726" t="inlineStr">
        <is>
          <t>多多老师的店</t>
        </is>
      </c>
      <c r="N726">
        <v>923</v>
      </c>
      <c r="O726">
        <v>4.31</v>
      </c>
      <c r="P726">
        <v>8226</v>
      </c>
      <c r="Q726" t="inlineStr">
        <is>
          <t>68c55de40201ec0001500fb0</t>
        </is>
      </c>
      <c r="R726" t="inlineStr">
        <is>
          <t>🚫重复</t>
        </is>
      </c>
      <c r="S726" t="inlineStr">
        <is>
          <t>PPT模板</t>
        </is>
      </c>
      <c r="T726" t="inlineStr">
        <is>
          <t>6.02</t>
        </is>
      </c>
      <c r="U726" s="3">
        <v>46112.78107638889</v>
      </c>
      <c r="V726" t="inlineStr">
        <is>
          <t>虚拟产品</t>
        </is>
      </c>
      <c r="W726" s="3">
        <v>46035</v>
      </c>
      <c r="X726" t="inlineStr">
        <is>
          <t>01</t>
        </is>
      </c>
      <c r="Y726" t="inlineStr">
        <is>
          <t>2026-Q1</t>
        </is>
      </c>
    </row>
    <row r="727" ht="38.25" customHeight="1">
      <c r="A727" t="inlineStr">
        <is>
          <t>2025-2026主题班会PPT（附教案等）合集上（80套）持续免费更新中</t>
        </is>
      </c>
      <c r="B727" t="inlineStr">
        <is>
          <t>__upload_recv8ahsn2w0sv.jpg</t>
        </is>
      </c>
      <c r="C727" s="2" t="str">
        <f>=HYPERLINK("https://xhslink.com/m/5Uy5guiUPuc", "https://xhslink.com/m/5Uy5guiUPuc")</f>
        <v>https://xhslink.com/m/5Uy5guiUPuc</v>
      </c>
      <c r="D727"/>
      <c r="E727">
        <v>1966</v>
      </c>
      <c r="F727">
        <v>4.99</v>
      </c>
      <c r="G727"/>
      <c r="H727"/>
      <c r="I727">
        <v>1000</v>
      </c>
      <c r="J727"/>
      <c r="K727" t="inlineStr">
        <is>
          <t>自习</t>
        </is>
      </c>
      <c r="L727"/>
      <c r="M727" t="inlineStr">
        <is>
          <t>豹款资料库的店</t>
        </is>
      </c>
      <c r="N727">
        <v>1132</v>
      </c>
      <c r="O727">
        <v>4.36</v>
      </c>
      <c r="P727">
        <v>8280</v>
      </c>
      <c r="Q727" t="inlineStr">
        <is>
          <t>68d56735002e7e0001bcd0ed</t>
        </is>
      </c>
      <c r="R727" t="inlineStr">
        <is>
          <t>🚫重复</t>
        </is>
      </c>
      <c r="S727" t="inlineStr">
        <is>
          <t>PPT模板</t>
        </is>
      </c>
      <c r="T727" t="inlineStr">
        <is>
          <t>1.74</t>
        </is>
      </c>
      <c r="U727" s="3">
        <v>46112.78107638889</v>
      </c>
      <c r="V727" t="inlineStr">
        <is>
          <t>虚拟产品</t>
        </is>
      </c>
      <c r="W727" s="3">
        <v>46035</v>
      </c>
      <c r="X727" t="inlineStr">
        <is>
          <t>01</t>
        </is>
      </c>
      <c r="Y727" t="inlineStr">
        <is>
          <t>2026-Q1</t>
        </is>
      </c>
    </row>
    <row r="728" ht="38.25" customHeight="1">
      <c r="A728" t="inlineStr">
        <is>
          <t>教室安静自习神器网页养小树多主题可切换｜无需联网</t>
        </is>
      </c>
      <c r="B728" t="inlineStr">
        <is>
          <t>__upload_recv8ahsn2MWlQ.jpg</t>
        </is>
      </c>
      <c r="C728" s="2" t="str">
        <f>=HYPERLINK("https://xhslink.com/m/4RcJ1kmOkqZ", "https://xhslink.com/m/4RcJ1kmOkqZ")</f>
        <v>https://xhslink.com/m/4RcJ1kmOkqZ</v>
      </c>
      <c r="D728"/>
      <c r="E728">
        <v>1849</v>
      </c>
      <c r="F728">
        <v>9.8</v>
      </c>
      <c r="G728"/>
      <c r="H728"/>
      <c r="I728">
        <v>400</v>
      </c>
      <c r="J728"/>
      <c r="K728" t="inlineStr">
        <is>
          <t>自习</t>
        </is>
      </c>
      <c r="L728"/>
      <c r="M728" t="inlineStr">
        <is>
          <t>小邓的教学日记的店</t>
        </is>
      </c>
      <c r="N728">
        <v>2213</v>
      </c>
      <c r="O728">
        <v>4.43</v>
      </c>
      <c r="P728">
        <v>15000</v>
      </c>
      <c r="Q728" t="inlineStr">
        <is>
          <t>6807356797430600017a8f17</t>
        </is>
      </c>
      <c r="R728" t="inlineStr">
        <is>
          <t>🚫重复</t>
        </is>
      </c>
      <c r="S728" t="inlineStr">
        <is>
          <t>软件应用</t>
        </is>
      </c>
      <c r="T728" t="inlineStr">
        <is>
          <t>0.84</t>
        </is>
      </c>
      <c r="U728" s="3">
        <v>46112.78107638889</v>
      </c>
      <c r="V728" t="inlineStr">
        <is>
          <t>虚拟产品</t>
        </is>
      </c>
      <c r="W728" s="3">
        <v>46035</v>
      </c>
      <c r="X728" t="inlineStr">
        <is>
          <t>01</t>
        </is>
      </c>
      <c r="Y728" t="inlineStr">
        <is>
          <t>2026-Q1</t>
        </is>
      </c>
    </row>
    <row r="729" ht="38.25" customHeight="1">
      <c r="A729" t="inlineStr">
        <is>
          <t>26超格早自习带背讲义（加强版，持续更新中)</t>
        </is>
      </c>
      <c r="B729" t="inlineStr">
        <is>
          <t>__upload_recv8ahsn2PaNs.jpg</t>
        </is>
      </c>
      <c r="C729" s="2" t="str">
        <f>=HYPERLINK("https://xhslink.com/m/9dP2DkRV74b", "https://xhslink.com/m/9dP2DkRV74b")</f>
        <v>https://xhslink.com/m/9dP2DkRV74b</v>
      </c>
      <c r="D729"/>
      <c r="E729">
        <v>1677</v>
      </c>
      <c r="F729">
        <v>4.99</v>
      </c>
      <c r="G729"/>
      <c r="H729"/>
      <c r="I729">
        <v>1000</v>
      </c>
      <c r="J729"/>
      <c r="K729" t="inlineStr">
        <is>
          <t>自习</t>
        </is>
      </c>
      <c r="L729"/>
      <c r="M729" t="inlineStr">
        <is>
          <t>做一个有实力的锦鲤的店</t>
        </is>
      </c>
      <c r="N729">
        <v>5296</v>
      </c>
      <c r="O729">
        <v>4.21</v>
      </c>
      <c r="P729">
        <v>1722</v>
      </c>
      <c r="Q729" t="inlineStr">
        <is>
          <t>6904e8042fdb7c0001862335</t>
        </is>
      </c>
      <c r="R729"/>
      <c r="S729" t="inlineStr">
        <is>
          <t>无匹配类别</t>
        </is>
      </c>
      <c r="T729" t="inlineStr">
        <is>
          <t>0.32</t>
        </is>
      </c>
      <c r="U729" s="3">
        <v>46112.78107638889</v>
      </c>
      <c r="V729" t="inlineStr">
        <is>
          <t>虚拟产品</t>
        </is>
      </c>
      <c r="W729" s="3">
        <v>46035</v>
      </c>
      <c r="X729" t="inlineStr">
        <is>
          <t>01</t>
        </is>
      </c>
      <c r="Y729" t="inlineStr">
        <is>
          <t>2026-Q1</t>
        </is>
      </c>
    </row>
    <row r="730" ht="38.25" customHeight="1">
      <c r="A730" t="inlineStr">
        <is>
          <t>【限时8.8】中小学主题班会ppt【拍下即发】</t>
        </is>
      </c>
      <c r="B730" t="inlineStr">
        <is>
          <t>__upload_recv8ahsn2EzdF.jpg</t>
        </is>
      </c>
      <c r="C730" s="2" t="str">
        <f>=HYPERLINK("https://xhslink.com/m/lrt6vs6vbs", "https://xhslink.com/m/lrt6vs6vbs")</f>
        <v>https://xhslink.com/m/lrt6vs6vbs</v>
      </c>
      <c r="D730"/>
      <c r="E730">
        <v>1771</v>
      </c>
      <c r="F730">
        <v>8.8</v>
      </c>
      <c r="G730"/>
      <c r="H730"/>
      <c r="I730">
        <v>1000</v>
      </c>
      <c r="J730"/>
      <c r="K730" t="inlineStr">
        <is>
          <t>自习</t>
        </is>
      </c>
      <c r="L730"/>
      <c r="M730" t="inlineStr">
        <is>
          <t>初春老师的店</t>
        </is>
      </c>
      <c r="N730">
        <v>1542</v>
      </c>
      <c r="O730">
        <v>4.32</v>
      </c>
      <c r="P730">
        <v>12000</v>
      </c>
      <c r="Q730" t="inlineStr">
        <is>
          <t>6921d6d96ea74e0001b9e6f6</t>
        </is>
      </c>
      <c r="R730" t="inlineStr">
        <is>
          <t>🚫重复</t>
        </is>
      </c>
      <c r="S730" t="inlineStr">
        <is>
          <t>PPT模板</t>
        </is>
      </c>
      <c r="T730" t="inlineStr">
        <is>
          <t>1.15</t>
        </is>
      </c>
      <c r="U730" s="3">
        <v>46112.78107638889</v>
      </c>
      <c r="V730" t="inlineStr">
        <is>
          <t>虚拟产品</t>
        </is>
      </c>
      <c r="W730" s="3">
        <v>46035</v>
      </c>
      <c r="X730" t="inlineStr">
        <is>
          <t>01</t>
        </is>
      </c>
      <c r="Y730" t="inlineStr">
        <is>
          <t>2026-Q1</t>
        </is>
      </c>
    </row>
    <row r="731" ht="38.25" customHeight="1">
      <c r="A731" t="inlineStr">
        <is>
          <t>【H000】2025秋新版中小学年级主题班会课件电子档可编辑</t>
        </is>
      </c>
      <c r="B731" t="inlineStr">
        <is>
          <t>__upload_recv8ahsn2CWBI.jpg</t>
        </is>
      </c>
      <c r="C731" s="2" t="str">
        <f>=HYPERLINK("https://xhslink.com/m/A6CEE0VsGpI", "https://xhslink.com/m/A6CEE0VsGpI")</f>
        <v>https://xhslink.com/m/A6CEE0VsGpI</v>
      </c>
      <c r="D731"/>
      <c r="E731">
        <v>1572</v>
      </c>
      <c r="F731">
        <v>4.99</v>
      </c>
      <c r="G731"/>
      <c r="H731"/>
      <c r="I731">
        <v>1000</v>
      </c>
      <c r="J731"/>
      <c r="K731" t="inlineStr">
        <is>
          <t>自习</t>
        </is>
      </c>
      <c r="L731" t="inlineStr">
        <is>
          <t>🔥低粉爆款</t>
        </is>
      </c>
      <c r="M731" t="inlineStr">
        <is>
          <t>精品拾贝居的店</t>
        </is>
      </c>
      <c r="N731">
        <v>358</v>
      </c>
      <c r="O731">
        <v>4.38</v>
      </c>
      <c r="P731">
        <v>3278</v>
      </c>
      <c r="Q731" t="inlineStr">
        <is>
          <t>69115ad4886bed000100f64c</t>
        </is>
      </c>
      <c r="R731"/>
      <c r="S731" t="inlineStr">
        <is>
          <t>中小学教辅/教材</t>
        </is>
      </c>
      <c r="T731" t="inlineStr">
        <is>
          <t>4.39</t>
        </is>
      </c>
      <c r="U731" s="3">
        <v>46112.78107638889</v>
      </c>
      <c r="V731" t="inlineStr">
        <is>
          <t>虚拟产品</t>
        </is>
      </c>
      <c r="W731" s="3">
        <v>46035</v>
      </c>
      <c r="X731" t="inlineStr">
        <is>
          <t>01</t>
        </is>
      </c>
      <c r="Y731" t="inlineStr">
        <is>
          <t>2026-Q1</t>
        </is>
      </c>
    </row>
    <row r="732" ht="38.25" customHeight="1">
      <c r="A732" t="inlineStr">
        <is>
          <t>中小学主题班会课件</t>
        </is>
      </c>
      <c r="B732" t="inlineStr">
        <is>
          <t>__upload_recv8ahsn2hJsk.jpg</t>
        </is>
      </c>
      <c r="C732" s="2" t="str">
        <f>=HYPERLINK("https://xhslink.com/m/A68FXuozdrk", "https://xhslink.com/m/A68FXuozdrk")</f>
        <v>https://xhslink.com/m/A68FXuozdrk</v>
      </c>
      <c r="D732"/>
      <c r="E732">
        <v>1407</v>
      </c>
      <c r="F732">
        <v>6.6</v>
      </c>
      <c r="G732"/>
      <c r="H732"/>
      <c r="I732">
        <v>1000</v>
      </c>
      <c r="J732"/>
      <c r="K732" t="inlineStr">
        <is>
          <t>自习</t>
        </is>
      </c>
      <c r="L732"/>
      <c r="M732" t="inlineStr">
        <is>
          <t>小希老师不争先的店</t>
        </is>
      </c>
      <c r="N732">
        <v>563</v>
      </c>
      <c r="O732">
        <v>4.3</v>
      </c>
      <c r="P732">
        <v>3295</v>
      </c>
      <c r="Q732" t="inlineStr">
        <is>
          <t>68d763b17d3b3f0001ad75a9</t>
        </is>
      </c>
      <c r="R732" t="inlineStr">
        <is>
          <t>🚫重复</t>
        </is>
      </c>
      <c r="S732" t="inlineStr">
        <is>
          <t>中小学教辅/教材</t>
        </is>
      </c>
      <c r="T732" t="inlineStr">
        <is>
          <t>2.50</t>
        </is>
      </c>
      <c r="U732" s="3">
        <v>46112.78107638889</v>
      </c>
      <c r="V732" t="inlineStr">
        <is>
          <t>虚拟产品</t>
        </is>
      </c>
      <c r="W732" s="3">
        <v>46035</v>
      </c>
      <c r="X732" t="inlineStr">
        <is>
          <t>01</t>
        </is>
      </c>
      <c r="Y732" t="inlineStr">
        <is>
          <t>2026-Q1</t>
        </is>
      </c>
    </row>
    <row r="733" ht="38.25" customHeight="1">
      <c r="A733" t="inlineStr">
        <is>
          <t>中小学主题班会PPT【自选主题秒发】</t>
        </is>
      </c>
      <c r="B733" t="inlineStr">
        <is>
          <t>__upload_recv8ahsn2Jghc.jpg</t>
        </is>
      </c>
      <c r="C733" s="2" t="str">
        <f>=HYPERLINK("https://xhslink.com/m/4m6CrqBh2a", "https://xhslink.com/m/4m6CrqBh2a")</f>
        <v>https://xhslink.com/m/4m6CrqBh2a</v>
      </c>
      <c r="D733"/>
      <c r="E733">
        <v>980</v>
      </c>
      <c r="F733">
        <v>9.8</v>
      </c>
      <c r="G733"/>
      <c r="H733"/>
      <c r="I733">
        <v>900</v>
      </c>
      <c r="J733"/>
      <c r="K733" t="inlineStr">
        <is>
          <t>自习</t>
        </is>
      </c>
      <c r="L733" t="inlineStr">
        <is>
          <t>🔥低粉爆款</t>
        </is>
      </c>
      <c r="M733" t="inlineStr">
        <is>
          <t>赵老师教务PPT的店</t>
        </is>
      </c>
      <c r="N733">
        <v>325</v>
      </c>
      <c r="O733">
        <v>4.25</v>
      </c>
      <c r="P733">
        <v>1634</v>
      </c>
      <c r="Q733" t="inlineStr">
        <is>
          <t>693249ef0d75890001912a10</t>
        </is>
      </c>
      <c r="R733" t="inlineStr">
        <is>
          <t>🚫重复</t>
        </is>
      </c>
      <c r="S733" t="inlineStr">
        <is>
          <t>PPT模板</t>
        </is>
      </c>
      <c r="T733" t="inlineStr">
        <is>
          <t>3.02</t>
        </is>
      </c>
      <c r="U733" s="3">
        <v>46112.78107638889</v>
      </c>
      <c r="V733" t="inlineStr">
        <is>
          <t>虚拟产品</t>
        </is>
      </c>
      <c r="W733" s="3">
        <v>46035</v>
      </c>
      <c r="X733" t="inlineStr">
        <is>
          <t>01</t>
        </is>
      </c>
      <c r="Y733" t="inlineStr">
        <is>
          <t>2026-Q1</t>
        </is>
      </c>
    </row>
    <row r="734" ht="38.25" customHeight="1">
      <c r="A734" t="inlineStr">
        <is>
          <t>2026年超格六合一：超哥-法律常识-电子版笔记-完结-共84页</t>
        </is>
      </c>
      <c r="B734" t="inlineStr">
        <is>
          <t>__upload_recv8ahsn2oxPc.jpg</t>
        </is>
      </c>
      <c r="C734" s="2" t="str">
        <f>=HYPERLINK("https://xhslink.com/m/4cPSiaubRaM", "https://xhslink.com/m/4cPSiaubRaM")</f>
        <v>https://xhslink.com/m/4cPSiaubRaM</v>
      </c>
      <c r="D734"/>
      <c r="E734">
        <v>897</v>
      </c>
      <c r="F734">
        <v>2.32</v>
      </c>
      <c r="G734"/>
      <c r="H734"/>
      <c r="I734">
        <v>400</v>
      </c>
      <c r="J734"/>
      <c r="K734" t="inlineStr">
        <is>
          <t>自习</t>
        </is>
      </c>
      <c r="L734"/>
      <c r="M734" t="inlineStr">
        <is>
          <t>趴在巷口的兔子的店</t>
        </is>
      </c>
      <c r="N734">
        <v>3367</v>
      </c>
      <c r="O734">
        <v>4.44</v>
      </c>
      <c r="P734">
        <v>4615</v>
      </c>
      <c r="Q734" t="inlineStr">
        <is>
          <t>692189f373aaae0001b1b6fb</t>
        </is>
      </c>
      <c r="R734"/>
      <c r="S734" t="inlineStr">
        <is>
          <t>无匹配类别</t>
        </is>
      </c>
      <c r="T734" t="inlineStr">
        <is>
          <t>0.27</t>
        </is>
      </c>
      <c r="U734" s="3">
        <v>46112.78107638889</v>
      </c>
      <c r="V734" t="inlineStr">
        <is>
          <t>虚拟产品</t>
        </is>
      </c>
      <c r="W734" s="3">
        <v>46035</v>
      </c>
      <c r="X734" t="inlineStr">
        <is>
          <t>01</t>
        </is>
      </c>
      <c r="Y734" t="inlineStr">
        <is>
          <t>2026-Q1</t>
        </is>
      </c>
    </row>
    <row r="735" ht="38.25" customHeight="1">
      <c r="A735" t="inlineStr">
        <is>
          <t>一天体验卡（可任意天0～24点体验哦）线上自习室超严格监督</t>
        </is>
      </c>
      <c r="B735" t="inlineStr">
        <is>
          <t>__upload_recv8ahsn2yCK7.jpg</t>
        </is>
      </c>
      <c r="C735" s="2" t="str">
        <f>=HYPERLINK("https://xhslink.com/m/AhmZnZ0gOXV", "https://xhslink.com/m/AhmZnZ0gOXV")</f>
        <v>https://xhslink.com/m/AhmZnZ0gOXV</v>
      </c>
      <c r="D735"/>
      <c r="E735">
        <v>914</v>
      </c>
      <c r="F735">
        <v>3.99</v>
      </c>
      <c r="G735"/>
      <c r="H735"/>
      <c r="I735">
        <v>400</v>
      </c>
      <c r="J735"/>
      <c r="K735" t="inlineStr">
        <is>
          <t>自习</t>
        </is>
      </c>
      <c r="L735"/>
      <c r="M735" t="inlineStr">
        <is>
          <t>Fighting的店</t>
        </is>
      </c>
      <c r="N735">
        <v>1970</v>
      </c>
      <c r="O735">
        <v>4.07</v>
      </c>
      <c r="P735">
        <v>914</v>
      </c>
      <c r="Q735" t="inlineStr">
        <is>
          <t>684ae59f57fa160001b6378d</t>
        </is>
      </c>
      <c r="R735"/>
      <c r="S735" t="inlineStr">
        <is>
          <t>无匹配类别</t>
        </is>
      </c>
      <c r="T735" t="inlineStr">
        <is>
          <t>0.46</t>
        </is>
      </c>
      <c r="U735" s="3">
        <v>46112.78107638889</v>
      </c>
      <c r="V735" t="inlineStr">
        <is>
          <t>虚拟产品</t>
        </is>
      </c>
      <c r="W735" s="3">
        <v>46035</v>
      </c>
      <c r="X735" t="inlineStr">
        <is>
          <t>01</t>
        </is>
      </c>
      <c r="Y735" t="inlineStr">
        <is>
          <t>2026-Q1</t>
        </is>
      </c>
    </row>
    <row r="736" ht="38.25" customHeight="1">
      <c r="A736" t="inlineStr">
        <is>
          <t>中小学主题班会课件ppt+逐字稿</t>
        </is>
      </c>
      <c r="B736" t="inlineStr">
        <is>
          <t>__upload_recv8ahsn28qZx.jpg</t>
        </is>
      </c>
      <c r="C736" s="2" t="str">
        <f>=HYPERLINK("https://xhslink.com/m/6Ge2wwJdXgF", "https://xhslink.com/m/6Ge2wwJdXgF")</f>
        <v>https://xhslink.com/m/6Ge2wwJdXgF</v>
      </c>
      <c r="D736"/>
      <c r="E736">
        <v>737</v>
      </c>
      <c r="F736">
        <v>8.8</v>
      </c>
      <c r="G736"/>
      <c r="H736"/>
      <c r="I736">
        <v>600</v>
      </c>
      <c r="J736"/>
      <c r="K736" t="inlineStr">
        <is>
          <t>自习</t>
        </is>
      </c>
      <c r="L736"/>
      <c r="M736" t="inlineStr">
        <is>
          <t>努力的小秋的店</t>
        </is>
      </c>
      <c r="N736">
        <v>1152</v>
      </c>
      <c r="O736">
        <v>4.33</v>
      </c>
      <c r="P736">
        <v>3464</v>
      </c>
      <c r="Q736" t="inlineStr">
        <is>
          <t>692c427e137a3b000159ee45</t>
        </is>
      </c>
      <c r="R736" t="inlineStr">
        <is>
          <t>🚫重复</t>
        </is>
      </c>
      <c r="S736" t="inlineStr">
        <is>
          <t>中小学教辅/教材</t>
        </is>
      </c>
      <c r="T736" t="inlineStr">
        <is>
          <t>0.64</t>
        </is>
      </c>
      <c r="U736" s="3">
        <v>46112.78107638889</v>
      </c>
      <c r="V736" t="inlineStr">
        <is>
          <t>虚拟产品</t>
        </is>
      </c>
      <c r="W736" s="3">
        <v>46035</v>
      </c>
      <c r="X736" t="inlineStr">
        <is>
          <t>01</t>
        </is>
      </c>
      <c r="Y736" t="inlineStr">
        <is>
          <t>2026-Q1</t>
        </is>
      </c>
    </row>
    <row r="737" ht="38.25" customHeight="1">
      <c r="A737" t="inlineStr">
        <is>
          <t>中小学生主题班会PPT课件资料——优质课件可编辑可修改</t>
        </is>
      </c>
      <c r="B737" t="inlineStr">
        <is>
          <t>__upload_recv8ahsn2SYGI.jpg</t>
        </is>
      </c>
      <c r="C737" s="2" t="str">
        <f>=HYPERLINK("https://xhslink.com/m/31LyiDR4Iri", "https://xhslink.com/m/31LyiDR4Iri")</f>
        <v>https://xhslink.com/m/31LyiDR4Iri</v>
      </c>
      <c r="D737"/>
      <c r="E737">
        <v>695</v>
      </c>
      <c r="F737">
        <v>6.9</v>
      </c>
      <c r="G737"/>
      <c r="H737"/>
      <c r="I737">
        <v>600</v>
      </c>
      <c r="J737"/>
      <c r="K737" t="inlineStr">
        <is>
          <t>自习</t>
        </is>
      </c>
      <c r="L737"/>
      <c r="M737" t="inlineStr">
        <is>
          <t>365days、的店</t>
        </is>
      </c>
      <c r="N737">
        <v>1040</v>
      </c>
      <c r="O737">
        <v>4.3</v>
      </c>
      <c r="P737">
        <v>10000</v>
      </c>
      <c r="Q737" t="inlineStr">
        <is>
          <t>691c57fcbeb11d0001e6084f</t>
        </is>
      </c>
      <c r="R737" t="inlineStr">
        <is>
          <t>🚫重复</t>
        </is>
      </c>
      <c r="S737" t="inlineStr">
        <is>
          <t>PPT模板</t>
        </is>
      </c>
      <c r="T737" t="inlineStr">
        <is>
          <t>0.67</t>
        </is>
      </c>
      <c r="U737" s="3">
        <v>46112.78107638889</v>
      </c>
      <c r="V737" t="inlineStr">
        <is>
          <t>虚拟产品</t>
        </is>
      </c>
      <c r="W737" s="3">
        <v>46035</v>
      </c>
      <c r="X737" t="inlineStr">
        <is>
          <t>01</t>
        </is>
      </c>
      <c r="Y737" t="inlineStr">
        <is>
          <t>2026-Q1</t>
        </is>
      </c>
    </row>
    <row r="738" ht="38.25" customHeight="1">
      <c r="A738" t="inlineStr">
        <is>
          <t>全班养小树 早读自习双模式 教师好物 自动进化 积分排名施肥互动</t>
        </is>
      </c>
      <c r="B738" t="inlineStr">
        <is>
          <t>__upload_recv8ahsn2qeki.jpg</t>
        </is>
      </c>
      <c r="C738" s="2" t="str">
        <f>=HYPERLINK("https://xhslink.com/m/2ijlu895aSG", "https://xhslink.com/m/2ijlu895aSG")</f>
        <v>https://xhslink.com/m/2ijlu895aSG</v>
      </c>
      <c r="D738"/>
      <c r="E738">
        <v>738</v>
      </c>
      <c r="F738">
        <v>9.9</v>
      </c>
      <c r="G738"/>
      <c r="H738"/>
      <c r="I738">
        <v>600</v>
      </c>
      <c r="J738"/>
      <c r="K738" t="inlineStr">
        <is>
          <t>自习</t>
        </is>
      </c>
      <c r="L738"/>
      <c r="M738" t="inlineStr">
        <is>
          <t>芝士虾米的店</t>
        </is>
      </c>
      <c r="N738">
        <v>15000</v>
      </c>
      <c r="O738">
        <v>4.27</v>
      </c>
      <c r="P738">
        <v>5079</v>
      </c>
      <c r="Q738" t="inlineStr">
        <is>
          <t>688f9d2a4f80eb000101a8b7</t>
        </is>
      </c>
      <c r="R738" t="inlineStr">
        <is>
          <t>🚫重复</t>
        </is>
      </c>
      <c r="S738" t="inlineStr">
        <is>
          <t>老师资料</t>
        </is>
      </c>
      <c r="T738" t="inlineStr">
        <is>
          <t>0.05</t>
        </is>
      </c>
      <c r="U738" s="3">
        <v>46112.78107638889</v>
      </c>
      <c r="V738" t="inlineStr">
        <is>
          <t>虚拟产品</t>
        </is>
      </c>
      <c r="W738" s="3">
        <v>46035</v>
      </c>
      <c r="X738" t="inlineStr">
        <is>
          <t>01</t>
        </is>
      </c>
      <c r="Y738" t="inlineStr">
        <is>
          <t>2026-Q1</t>
        </is>
      </c>
    </row>
    <row r="739" ht="38.25" customHeight="1">
      <c r="A739" t="inlineStr">
        <is>
          <t>301号：三上习作单/课件</t>
        </is>
      </c>
      <c r="B739" t="inlineStr">
        <is>
          <t>__upload_recv8ahsn2He8H.jpg</t>
        </is>
      </c>
      <c r="C739" s="2" t="str">
        <f>=HYPERLINK("https://xhslink.com/m/ZvoHJO1k7W", "https://xhslink.com/m/ZvoHJO1k7W")</f>
        <v>https://xhslink.com/m/ZvoHJO1k7W</v>
      </c>
      <c r="D739"/>
      <c r="E739">
        <v>39000</v>
      </c>
      <c r="F739">
        <v>2</v>
      </c>
      <c r="G739"/>
      <c r="H739"/>
      <c r="I739">
        <v>6000</v>
      </c>
      <c r="J739"/>
      <c r="K739" t="inlineStr">
        <is>
          <t>学科资料</t>
        </is>
      </c>
      <c r="L739"/>
      <c r="M739" t="inlineStr">
        <is>
          <t>张主任的情报库的店</t>
        </is>
      </c>
      <c r="N739">
        <v>28000</v>
      </c>
      <c r="O739">
        <v>4.57</v>
      </c>
      <c r="P739">
        <v>219000</v>
      </c>
      <c r="Q739" t="inlineStr">
        <is>
          <t>69134dcef08ff500014238fc</t>
        </is>
      </c>
      <c r="R739" t="inlineStr">
        <is>
          <t>🚫重复</t>
        </is>
      </c>
      <c r="S739" t="inlineStr">
        <is>
          <t>中小学教辅/教材</t>
        </is>
      </c>
      <c r="T739" t="inlineStr">
        <is>
          <t>1.39</t>
        </is>
      </c>
      <c r="U739" s="3">
        <v>46112.78107638889</v>
      </c>
      <c r="V739" t="inlineStr">
        <is>
          <t>虚拟产品</t>
        </is>
      </c>
      <c r="W739" s="3">
        <v>46035</v>
      </c>
      <c r="X739" t="inlineStr">
        <is>
          <t>01</t>
        </is>
      </c>
      <c r="Y739" t="inlineStr">
        <is>
          <t>2026-Q1</t>
        </is>
      </c>
    </row>
    <row r="740" ht="38.25" customHeight="1">
      <c r="A740" t="inlineStr">
        <is>
          <t>华图 · 时政热点汇总+时政模拟题 2025国考省考 25年持续更新</t>
        </is>
      </c>
      <c r="B740" t="inlineStr">
        <is>
          <t>__upload_recv8ahsn2XgAT.jpg</t>
        </is>
      </c>
      <c r="C740" s="2" t="str">
        <f>=HYPERLINK("https://xhslink.com/m/Ah7k0x6p1P0", "https://xhslink.com/m/Ah7k0x6p1P0")</f>
        <v>https://xhslink.com/m/Ah7k0x6p1P0</v>
      </c>
      <c r="D740"/>
      <c r="E740">
        <v>28000</v>
      </c>
      <c r="F740">
        <v>0.1</v>
      </c>
      <c r="G740"/>
      <c r="H740"/>
      <c r="I740">
        <v>5000</v>
      </c>
      <c r="J740"/>
      <c r="K740" t="inlineStr">
        <is>
          <t>学科资料</t>
        </is>
      </c>
      <c r="L740"/>
      <c r="M740" t="inlineStr">
        <is>
          <t>华图网校旗舰店</t>
        </is>
      </c>
      <c r="N740">
        <v>161000</v>
      </c>
      <c r="O740">
        <v>3.87</v>
      </c>
      <c r="P740">
        <v>90000</v>
      </c>
      <c r="Q740" t="inlineStr">
        <is>
          <t>6901c064c67e4700019cb20f</t>
        </is>
      </c>
      <c r="R740" t="inlineStr">
        <is>
          <t>🚫重复</t>
        </is>
      </c>
      <c r="S740" t="inlineStr">
        <is>
          <t>考公资料</t>
        </is>
      </c>
      <c r="T740" t="inlineStr">
        <is>
          <t>0.17</t>
        </is>
      </c>
      <c r="U740" s="3">
        <v>46112.78107638889</v>
      </c>
      <c r="V740" t="inlineStr">
        <is>
          <t>虚拟产品</t>
        </is>
      </c>
      <c r="W740" s="3">
        <v>46035</v>
      </c>
      <c r="X740" t="inlineStr">
        <is>
          <t>01</t>
        </is>
      </c>
      <c r="Y740" t="inlineStr">
        <is>
          <t>2026-Q1</t>
        </is>
      </c>
    </row>
    <row r="741" ht="38.25" customHeight="1">
      <c r="A741" t="inlineStr">
        <is>
          <t>万物的尺度：看得见的单位/万物的秘密：看得见的数学</t>
        </is>
      </c>
      <c r="B741" t="inlineStr">
        <is>
          <t>__upload_recv8ahsn2nbMq.jpg</t>
        </is>
      </c>
      <c r="C741" s="2" t="str">
        <f>=HYPERLINK("https://xhslink.com/m/4JWthdPWsKg", "https://xhslink.com/m/4JWthdPWsKg")</f>
        <v>https://xhslink.com/m/4JWthdPWsKg</v>
      </c>
      <c r="D741"/>
      <c r="E741">
        <v>25000</v>
      </c>
      <c r="F741">
        <v>32.9</v>
      </c>
      <c r="G741"/>
      <c r="H741"/>
      <c r="I741">
        <v>1000</v>
      </c>
      <c r="J741"/>
      <c r="K741" t="inlineStr">
        <is>
          <t>学科资料</t>
        </is>
      </c>
      <c r="L741"/>
      <c r="M741" t="inlineStr">
        <is>
          <t>大树妈妈的店</t>
        </is>
      </c>
      <c r="N741">
        <v>70000</v>
      </c>
      <c r="O741">
        <v>4.71</v>
      </c>
      <c r="P741">
        <v>252000</v>
      </c>
      <c r="Q741" t="inlineStr">
        <is>
          <t>67d7fe4b533958000116f4d2</t>
        </is>
      </c>
      <c r="R741"/>
      <c r="S741" t="inlineStr">
        <is>
          <t>中小学教辅/教材</t>
        </is>
      </c>
      <c r="T741" t="inlineStr">
        <is>
          <t>0.36</t>
        </is>
      </c>
      <c r="U741" s="3">
        <v>46112.78107638889</v>
      </c>
      <c r="V741" t="inlineStr">
        <is>
          <t>虚拟产品</t>
        </is>
      </c>
      <c r="W741" s="3">
        <v>46035</v>
      </c>
      <c r="X741" t="inlineStr">
        <is>
          <t>01</t>
        </is>
      </c>
      <c r="Y741" t="inlineStr">
        <is>
          <t>2026-Q1</t>
        </is>
      </c>
    </row>
    <row r="742" ht="38.25" customHeight="1">
      <c r="A742" t="inlineStr">
        <is>
          <t>初中语文数学英语物理化生物史地道法知识点总结电子版素材多版本</t>
        </is>
      </c>
      <c r="B742" t="inlineStr">
        <is>
          <t>__upload_recv8ahsn2XWEn.jpg</t>
        </is>
      </c>
      <c r="C742" s="2" t="str">
        <f>=HYPERLINK("https://xhslink.com/m/AQA0ViklsCl", "https://xhslink.com/m/AQA0ViklsCl")</f>
        <v>https://xhslink.com/m/AQA0ViklsCl</v>
      </c>
      <c r="D742"/>
      <c r="E742">
        <v>24000</v>
      </c>
      <c r="F742">
        <v>35.8</v>
      </c>
      <c r="G742"/>
      <c r="H742"/>
      <c r="I742">
        <v>7000</v>
      </c>
      <c r="J742"/>
      <c r="K742" t="inlineStr">
        <is>
          <t>学科资料</t>
        </is>
      </c>
      <c r="L742"/>
      <c r="M742" t="inlineStr">
        <is>
          <t>赵老师的资料库的店</t>
        </is>
      </c>
      <c r="N742">
        <v>15000</v>
      </c>
      <c r="O742">
        <v>4.43</v>
      </c>
      <c r="P742">
        <v>46000</v>
      </c>
      <c r="Q742" t="inlineStr">
        <is>
          <t>672cd74310adb50001c5725a</t>
        </is>
      </c>
      <c r="R742" t="inlineStr">
        <is>
          <t>🚫重复</t>
        </is>
      </c>
      <c r="S742" t="inlineStr">
        <is>
          <t>中小学教辅/教材</t>
        </is>
      </c>
      <c r="T742" t="inlineStr">
        <is>
          <t>1.60</t>
        </is>
      </c>
      <c r="U742" s="3">
        <v>46112.78107638889</v>
      </c>
      <c r="V742" t="inlineStr">
        <is>
          <t>虚拟产品</t>
        </is>
      </c>
      <c r="W742" s="3">
        <v>46035</v>
      </c>
      <c r="X742" t="inlineStr">
        <is>
          <t>01</t>
        </is>
      </c>
      <c r="Y742" t="inlineStr">
        <is>
          <t>2026-Q1</t>
        </is>
      </c>
    </row>
    <row r="743" ht="38.25" customHeight="1">
      <c r="A743" t="inlineStr">
        <is>
          <t>环球兴学网校 · 中级经济师零基础畅学经济基础人力工商金融财税建筑资料包</t>
        </is>
      </c>
      <c r="B743" t="inlineStr">
        <is>
          <t>__upload_recv8ahsn2SruC.jpg</t>
        </is>
      </c>
      <c r="C743" s="2" t="str">
        <f>=HYPERLINK("https://xhslink.com/m/2PmXH0P1CTw", "https://xhslink.com/m/2PmXH0P1CTw")</f>
        <v>https://xhslink.com/m/2PmXH0P1CTw</v>
      </c>
      <c r="D743"/>
      <c r="E743">
        <v>13000</v>
      </c>
      <c r="F743">
        <v>0.1</v>
      </c>
      <c r="G743"/>
      <c r="H743"/>
      <c r="I743">
        <v>1000</v>
      </c>
      <c r="J743"/>
      <c r="K743" t="inlineStr">
        <is>
          <t>学科资料</t>
        </is>
      </c>
      <c r="L743"/>
      <c r="M743" t="inlineStr">
        <is>
          <t>环球兴学网校教育培训旗舰店</t>
        </is>
      </c>
      <c r="N743">
        <v>6111</v>
      </c>
      <c r="O743">
        <v>4.58</v>
      </c>
      <c r="P743">
        <v>17000</v>
      </c>
      <c r="Q743" t="inlineStr">
        <is>
          <t>67286d3b6a6c180001e7c7e5</t>
        </is>
      </c>
      <c r="R743" t="inlineStr">
        <is>
          <t>🚫重复</t>
        </is>
      </c>
      <c r="S743" t="inlineStr">
        <is>
          <t>无匹配类别</t>
        </is>
      </c>
      <c r="T743" t="inlineStr">
        <is>
          <t>2.13</t>
        </is>
      </c>
      <c r="U743" s="3">
        <v>46112.78107638889</v>
      </c>
      <c r="V743" t="inlineStr">
        <is>
          <t>虚拟产品</t>
        </is>
      </c>
      <c r="W743" s="3">
        <v>46035</v>
      </c>
      <c r="X743" t="inlineStr">
        <is>
          <t>01</t>
        </is>
      </c>
      <c r="Y743" t="inlineStr">
        <is>
          <t>2026-Q1</t>
        </is>
      </c>
    </row>
    <row r="744" ht="38.25" customHeight="1">
      <c r="A744" t="inlineStr">
        <is>
          <t>成人高考专升本刷题APP题库重点笔记资料等其他职业资格认证培训</t>
        </is>
      </c>
      <c r="B744" t="inlineStr">
        <is>
          <t>__upload_recv8ahsn2tMgH.jpg</t>
        </is>
      </c>
      <c r="C744" s="2" t="str">
        <f>=HYPERLINK("https://xhslink.com/m/2K3uNmReHcv", "https://xhslink.com/m/2K3uNmReHcv")</f>
        <v>https://xhslink.com/m/2K3uNmReHcv</v>
      </c>
      <c r="D744"/>
      <c r="E744">
        <v>6350</v>
      </c>
      <c r="F744">
        <v>12.9</v>
      </c>
      <c r="G744"/>
      <c r="H744"/>
      <c r="I744">
        <v>700</v>
      </c>
      <c r="J744"/>
      <c r="K744" t="inlineStr">
        <is>
          <t>学科资料</t>
        </is>
      </c>
      <c r="L744" t="inlineStr">
        <is>
          <t>🔥低粉爆款</t>
        </is>
      </c>
      <c r="M744" t="inlineStr">
        <is>
          <t>言溪不语的店</t>
        </is>
      </c>
      <c r="N744">
        <v>1674</v>
      </c>
      <c r="O744">
        <v>4.24</v>
      </c>
      <c r="P744">
        <v>8007</v>
      </c>
      <c r="Q744" t="inlineStr">
        <is>
          <t>66d363d4d1329b0001f755ff</t>
        </is>
      </c>
      <c r="R744"/>
      <c r="S744" t="inlineStr">
        <is>
          <t>大学资料</t>
        </is>
      </c>
      <c r="T744" t="inlineStr">
        <is>
          <t>3.79</t>
        </is>
      </c>
      <c r="U744" s="3">
        <v>46112.78107638889</v>
      </c>
      <c r="V744" t="inlineStr">
        <is>
          <t>虚拟产品</t>
        </is>
      </c>
      <c r="W744" s="3">
        <v>46035</v>
      </c>
      <c r="X744" t="inlineStr">
        <is>
          <t>01</t>
        </is>
      </c>
      <c r="Y744" t="inlineStr">
        <is>
          <t>2026-Q1</t>
        </is>
      </c>
    </row>
    <row r="745" ht="38.25" customHeight="1">
      <c r="A745" t="inlineStr">
        <is>
          <t>[有求必应屋]新传考研共享资源｜论文/热点押题/笔记/择校/真题</t>
        </is>
      </c>
      <c r="B745" t="inlineStr">
        <is>
          <t>__upload_recv8ahsn2urz0.jpg</t>
        </is>
      </c>
      <c r="C745" s="2" t="str">
        <f>=HYPERLINK("https://xhslink.com/m/4Tt7qe6gaQZ", "https://xhslink.com/m/4Tt7qe6gaQZ")</f>
        <v>https://xhslink.com/m/4Tt7qe6gaQZ</v>
      </c>
      <c r="D745"/>
      <c r="E745">
        <v>5987</v>
      </c>
      <c r="F745">
        <v>1</v>
      </c>
      <c r="G745"/>
      <c r="H745"/>
      <c r="I745">
        <v>700</v>
      </c>
      <c r="J745"/>
      <c r="K745" t="inlineStr">
        <is>
          <t>学科资料</t>
        </is>
      </c>
      <c r="L745"/>
      <c r="M745" t="inlineStr">
        <is>
          <t>秃头研究所Monsters.的店</t>
        </is>
      </c>
      <c r="N745">
        <v>45000</v>
      </c>
      <c r="O745">
        <v>4.54</v>
      </c>
      <c r="P745">
        <v>15000</v>
      </c>
      <c r="Q745" t="inlineStr">
        <is>
          <t>692969be2cf0ca000104c7ad</t>
        </is>
      </c>
      <c r="R745" t="inlineStr">
        <is>
          <t>🚫重复</t>
        </is>
      </c>
      <c r="S745" t="inlineStr">
        <is>
          <t>考研资料</t>
        </is>
      </c>
      <c r="T745" t="inlineStr">
        <is>
          <t>0.13</t>
        </is>
      </c>
      <c r="U745" s="3">
        <v>46112.78107638889</v>
      </c>
      <c r="V745" t="inlineStr">
        <is>
          <t>虚拟产品</t>
        </is>
      </c>
      <c r="W745" s="3">
        <v>46035</v>
      </c>
      <c r="X745" t="inlineStr">
        <is>
          <t>01</t>
        </is>
      </c>
      <c r="Y745" t="inlineStr">
        <is>
          <t>2026-Q1</t>
        </is>
      </c>
    </row>
    <row r="746" ht="38.25" customHeight="1">
      <c r="A746" t="inlineStr">
        <is>
          <t>考试宝典 · 1-6年级上下册各科单元卷，其中一套素养卷40元word免费分享</t>
        </is>
      </c>
      <c r="B746" t="inlineStr">
        <is>
          <t>__upload_recv8ahsn2zfuQ.jpg</t>
        </is>
      </c>
      <c r="C746" s="2" t="str">
        <f>=HYPERLINK("https://xhslink.com/m/25t1IIgtiW", "https://xhslink.com/m/25t1IIgtiW")</f>
        <v>https://xhslink.com/m/25t1IIgtiW</v>
      </c>
      <c r="D746"/>
      <c r="E746">
        <v>5355</v>
      </c>
      <c r="F746">
        <v>88</v>
      </c>
      <c r="G746"/>
      <c r="H746"/>
      <c r="I746">
        <v>700</v>
      </c>
      <c r="J746"/>
      <c r="K746" t="inlineStr">
        <is>
          <t>学科资料</t>
        </is>
      </c>
      <c r="L746"/>
      <c r="M746" t="inlineStr">
        <is>
          <t>温州老教师（1到9年级全）的店</t>
        </is>
      </c>
      <c r="N746">
        <v>10000</v>
      </c>
      <c r="O746">
        <v>4.31</v>
      </c>
      <c r="P746">
        <v>14000</v>
      </c>
      <c r="Q746" t="inlineStr">
        <is>
          <t>68f74efde3794300015766aa</t>
        </is>
      </c>
      <c r="R746" t="inlineStr">
        <is>
          <t>🚫重复</t>
        </is>
      </c>
      <c r="S746" t="inlineStr">
        <is>
          <t>中小学教辅/教材</t>
        </is>
      </c>
      <c r="T746" t="inlineStr">
        <is>
          <t>0.54</t>
        </is>
      </c>
      <c r="U746" s="3">
        <v>46112.78107638889</v>
      </c>
      <c r="V746" t="inlineStr">
        <is>
          <t>虚拟产品</t>
        </is>
      </c>
      <c r="W746" s="3">
        <v>46035</v>
      </c>
      <c r="X746" t="inlineStr">
        <is>
          <t>01</t>
        </is>
      </c>
      <c r="Y746" t="inlineStr">
        <is>
          <t>2026-Q1</t>
        </is>
      </c>
    </row>
    <row r="747" ht="38.25" customHeight="1">
      <c r="A747" t="inlineStr">
        <is>
          <t>【K40】25新版四上大单元任务群公开课课件+详细教案</t>
        </is>
      </c>
      <c r="B747" t="inlineStr">
        <is>
          <t>__upload_recv8ahsn25WCR.jpg</t>
        </is>
      </c>
      <c r="C747" s="2" t="str">
        <f>=HYPERLINK("https://xhslink.com/m/AQdqUi8svrO", "https://xhslink.com/m/AQdqUi8svrO")</f>
        <v>https://xhslink.com/m/AQdqUi8svrO</v>
      </c>
      <c r="D747"/>
      <c r="E747">
        <v>5520</v>
      </c>
      <c r="F747">
        <v>9.9</v>
      </c>
      <c r="G747"/>
      <c r="H747"/>
      <c r="I747">
        <v>4000</v>
      </c>
      <c r="J747"/>
      <c r="K747" t="inlineStr">
        <is>
          <t>学科资料</t>
        </is>
      </c>
      <c r="L747"/>
      <c r="M747" t="inlineStr">
        <is>
          <t>小雪老师的课堂的店</t>
        </is>
      </c>
      <c r="N747">
        <v>15000</v>
      </c>
      <c r="O747">
        <v>4.34</v>
      </c>
      <c r="P747">
        <v>80000</v>
      </c>
      <c r="Q747" t="inlineStr">
        <is>
          <t>68e8993a4daabe0001977352</t>
        </is>
      </c>
      <c r="R747" t="inlineStr">
        <is>
          <t>🚫重复</t>
        </is>
      </c>
      <c r="S747" t="inlineStr">
        <is>
          <t>中小学教辅/教材</t>
        </is>
      </c>
      <c r="T747" t="inlineStr">
        <is>
          <t>0.37</t>
        </is>
      </c>
      <c r="U747" s="3">
        <v>46112.78107638889</v>
      </c>
      <c r="V747" t="inlineStr">
        <is>
          <t>虚拟产品</t>
        </is>
      </c>
      <c r="W747" s="3">
        <v>46035</v>
      </c>
      <c r="X747" t="inlineStr">
        <is>
          <t>01</t>
        </is>
      </c>
      <c r="Y747" t="inlineStr">
        <is>
          <t>2026-Q1</t>
        </is>
      </c>
    </row>
    <row r="748" ht="38.25" customHeight="1">
      <c r="A748" t="inlineStr">
        <is>
          <t>26上中小幼教资笔试题库APP/精讲网课/配套讲义</t>
        </is>
      </c>
      <c r="B748" t="inlineStr">
        <is>
          <t>__upload_recv8ahsn2A9iH.jpg</t>
        </is>
      </c>
      <c r="C748" s="2" t="str">
        <f>=HYPERLINK("https://xhslink.com/m/5ud4TULUAM3", "https://xhslink.com/m/5ud4TULUAM3")</f>
        <v>https://xhslink.com/m/5ud4TULUAM3</v>
      </c>
      <c r="D748"/>
      <c r="E748">
        <v>5423</v>
      </c>
      <c r="F748">
        <v>5</v>
      </c>
      <c r="G748"/>
      <c r="H748"/>
      <c r="I748">
        <v>400</v>
      </c>
      <c r="J748"/>
      <c r="K748" t="inlineStr">
        <is>
          <t>学科资料</t>
        </is>
      </c>
      <c r="L748"/>
      <c r="M748" t="inlineStr">
        <is>
          <t>新城的日落的店</t>
        </is>
      </c>
      <c r="N748">
        <v>2161</v>
      </c>
      <c r="O748">
        <v>4.09</v>
      </c>
      <c r="P748">
        <v>10000</v>
      </c>
      <c r="Q748" t="inlineStr">
        <is>
          <t>68229a0481f9bc00018ce892</t>
        </is>
      </c>
      <c r="R748" t="inlineStr">
        <is>
          <t>🚫重复</t>
        </is>
      </c>
      <c r="S748" t="inlineStr">
        <is>
          <t>教资资料</t>
        </is>
      </c>
      <c r="T748" t="inlineStr">
        <is>
          <t>2.51</t>
        </is>
      </c>
      <c r="U748" s="3">
        <v>46112.78107638889</v>
      </c>
      <c r="V748" t="inlineStr">
        <is>
          <t>虚拟产品</t>
        </is>
      </c>
      <c r="W748" s="3">
        <v>46035</v>
      </c>
      <c r="X748" t="inlineStr">
        <is>
          <t>01</t>
        </is>
      </c>
      <c r="Y748" t="inlineStr">
        <is>
          <t>2026-Q1</t>
        </is>
      </c>
    </row>
    <row r="749" ht="38.25" customHeight="1">
      <c r="A749" t="inlineStr">
        <is>
          <t>中学科二-26上（需要讲义请拍升级版）肖一点烦资料</t>
        </is>
      </c>
      <c r="B749" t="inlineStr">
        <is>
          <t>__upload_recv8ahsn21syr.jpg</t>
        </is>
      </c>
      <c r="C749" s="2" t="str">
        <f>=HYPERLINK("https://xhslink.com/m/1MwxeZkumd", "https://xhslink.com/m/1MwxeZkumd")</f>
        <v>https://xhslink.com/m/1MwxeZkumd</v>
      </c>
      <c r="D749"/>
      <c r="E749">
        <v>5227</v>
      </c>
      <c r="F749">
        <v>9.9</v>
      </c>
      <c r="G749"/>
      <c r="H749"/>
      <c r="I749">
        <v>400</v>
      </c>
      <c r="J749">
        <v>600</v>
      </c>
      <c r="K749" t="inlineStr">
        <is>
          <t>学科资料</t>
        </is>
      </c>
      <c r="L749"/>
      <c r="M749" t="inlineStr">
        <is>
          <t>肖一点烦的店</t>
        </is>
      </c>
      <c r="N749">
        <v>69000</v>
      </c>
      <c r="O749">
        <v>4.31</v>
      </c>
      <c r="P749">
        <v>9130</v>
      </c>
      <c r="Q749" t="inlineStr">
        <is>
          <t>6746eb41996a2c00019b6002</t>
        </is>
      </c>
      <c r="R749" t="inlineStr">
        <is>
          <t>🚫重复</t>
        </is>
      </c>
      <c r="S749" t="inlineStr">
        <is>
          <t>中小学教辅/教材</t>
        </is>
      </c>
      <c r="T749" t="inlineStr">
        <is>
          <t>0.08</t>
        </is>
      </c>
      <c r="U749" s="3">
        <v>46112.78107638889</v>
      </c>
      <c r="V749" t="inlineStr">
        <is>
          <t>虚拟产品</t>
        </is>
      </c>
      <c r="W749" s="3">
        <v>46035</v>
      </c>
      <c r="X749" t="inlineStr">
        <is>
          <t>01</t>
        </is>
      </c>
      <c r="Y749" t="inlineStr">
        <is>
          <t>2026-Q1</t>
        </is>
      </c>
    </row>
    <row r="750" ht="38.25" customHeight="1">
      <c r="A750" t="inlineStr">
        <is>
          <t>【北师大版】小学数学必备知识点晨读晚默-电子版</t>
        </is>
      </c>
      <c r="B750" t="inlineStr">
        <is>
          <t>__upload_recv8ahsn2n9Ee.jpg</t>
        </is>
      </c>
      <c r="C750" s="2" t="str">
        <f>=HYPERLINK("https://xhslink.com/m/4BleZTW4N37", "https://xhslink.com/m/4BleZTW4N37")</f>
        <v>https://xhslink.com/m/4BleZTW4N37</v>
      </c>
      <c r="D750"/>
      <c r="E750">
        <v>4847</v>
      </c>
      <c r="F750">
        <v>3.9</v>
      </c>
      <c r="G750"/>
      <c r="H750"/>
      <c r="I750">
        <v>900</v>
      </c>
      <c r="J750"/>
      <c r="K750" t="inlineStr">
        <is>
          <t>学科资料</t>
        </is>
      </c>
      <c r="L750"/>
      <c r="M750" t="inlineStr">
        <is>
          <t>小林老师在努力的店</t>
        </is>
      </c>
      <c r="N750">
        <v>11000</v>
      </c>
      <c r="O750">
        <v>4.56</v>
      </c>
      <c r="P750">
        <v>8747</v>
      </c>
      <c r="Q750" t="inlineStr">
        <is>
          <t>68a88cb13f78410001b9ccca</t>
        </is>
      </c>
      <c r="R750" t="inlineStr">
        <is>
          <t>🚫重复</t>
        </is>
      </c>
      <c r="S750" t="inlineStr">
        <is>
          <t>中小学教辅/教材</t>
        </is>
      </c>
      <c r="T750" t="inlineStr">
        <is>
          <t>0.44</t>
        </is>
      </c>
      <c r="U750" s="3">
        <v>46112.78107638889</v>
      </c>
      <c r="V750" t="inlineStr">
        <is>
          <t>虚拟产品</t>
        </is>
      </c>
      <c r="W750" s="3">
        <v>46035</v>
      </c>
      <c r="X750" t="inlineStr">
        <is>
          <t>01</t>
        </is>
      </c>
      <c r="Y750" t="inlineStr">
        <is>
          <t>2026-Q1</t>
        </is>
      </c>
    </row>
    <row r="751" ht="38.25" customHeight="1">
      <c r="A751" t="inlineStr">
        <is>
          <t>【新教材】初中各科学习笔记(电子版）知识点复习-自动发货</t>
        </is>
      </c>
      <c r="B751" t="inlineStr">
        <is>
          <t>__upload_recv8ahsn2RMoM.jpg</t>
        </is>
      </c>
      <c r="C751" s="2" t="str">
        <f>=HYPERLINK("https://xhslink.com/m/6aG2OFYAUEc", "https://xhslink.com/m/6aG2OFYAUEc")</f>
        <v>https://xhslink.com/m/6aG2OFYAUEc</v>
      </c>
      <c r="D751"/>
      <c r="E751">
        <v>4696</v>
      </c>
      <c r="F751">
        <v>39.9</v>
      </c>
      <c r="G751"/>
      <c r="H751"/>
      <c r="I751">
        <v>500</v>
      </c>
      <c r="J751"/>
      <c r="K751" t="inlineStr">
        <is>
          <t>学科资料</t>
        </is>
      </c>
      <c r="L751"/>
      <c r="M751" t="inlineStr">
        <is>
          <t>三水爱学习的店</t>
        </is>
      </c>
      <c r="N751">
        <v>11000</v>
      </c>
      <c r="O751">
        <v>4.43</v>
      </c>
      <c r="P751">
        <v>21000</v>
      </c>
      <c r="Q751" t="inlineStr">
        <is>
          <t>684ff504ea2a81000176abfe</t>
        </is>
      </c>
      <c r="R751" t="inlineStr">
        <is>
          <t>🚫重复</t>
        </is>
      </c>
      <c r="S751" t="inlineStr">
        <is>
          <t>中小学教辅/教材</t>
        </is>
      </c>
      <c r="T751" t="inlineStr">
        <is>
          <t>0.43</t>
        </is>
      </c>
      <c r="U751" s="3">
        <v>46112.78107638889</v>
      </c>
      <c r="V751" t="inlineStr">
        <is>
          <t>虚拟产品</t>
        </is>
      </c>
      <c r="W751" s="3">
        <v>46035</v>
      </c>
      <c r="X751" t="inlineStr">
        <is>
          <t>01</t>
        </is>
      </c>
      <c r="Y751" t="inlineStr">
        <is>
          <t>2026-Q1</t>
        </is>
      </c>
    </row>
    <row r="752" ht="38.25" customHeight="1">
      <c r="A752" t="inlineStr">
        <is>
          <t>26上教师资格证笔试刷题题库背诵资料网课幼儿小学中学各科都有</t>
        </is>
      </c>
      <c r="B752" t="inlineStr">
        <is>
          <t>__upload_recv8ahsn2Xs8T.jpg</t>
        </is>
      </c>
      <c r="C752" s="2" t="str">
        <f>=HYPERLINK("https://xhslink.com/m/9BpQtvVs8OV", "https://xhslink.com/m/9BpQtvVs8OV")</f>
        <v>https://xhslink.com/m/9BpQtvVs8OV</v>
      </c>
      <c r="D752"/>
      <c r="E752">
        <v>4469</v>
      </c>
      <c r="F752">
        <v>18.8</v>
      </c>
      <c r="G752"/>
      <c r="H752"/>
      <c r="I752">
        <v>600</v>
      </c>
      <c r="J752"/>
      <c r="K752" t="inlineStr">
        <is>
          <t>学科资料</t>
        </is>
      </c>
      <c r="L752" t="inlineStr">
        <is>
          <t>🔥低粉爆款</t>
        </is>
      </c>
      <c r="M752" t="inlineStr">
        <is>
          <t>77是我吖的店</t>
        </is>
      </c>
      <c r="N752">
        <v>895</v>
      </c>
      <c r="O752">
        <v>4.17</v>
      </c>
      <c r="P752">
        <v>7137</v>
      </c>
      <c r="Q752" t="inlineStr">
        <is>
          <t>689dbfd78ff8a70001cdf6df</t>
        </is>
      </c>
      <c r="R752" t="inlineStr">
        <is>
          <t>🚫重复</t>
        </is>
      </c>
      <c r="S752" t="inlineStr">
        <is>
          <t>教资资料</t>
        </is>
      </c>
      <c r="T752" t="inlineStr">
        <is>
          <t>4.99</t>
        </is>
      </c>
      <c r="U752" s="3">
        <v>46112.78107638889</v>
      </c>
      <c r="V752" t="inlineStr">
        <is>
          <t>虚拟产品</t>
        </is>
      </c>
      <c r="W752" s="3">
        <v>46035</v>
      </c>
      <c r="X752" t="inlineStr">
        <is>
          <t>01</t>
        </is>
      </c>
      <c r="Y752" t="inlineStr">
        <is>
          <t>2026-Q1</t>
        </is>
      </c>
    </row>
    <row r="753" ht="38.25" customHeight="1">
      <c r="A753" t="inlineStr">
        <is>
          <t>1-6年级语文大单元作业设计（发一整册八个单元）</t>
        </is>
      </c>
      <c r="B753" t="inlineStr">
        <is>
          <t>__upload_recv8ahsn2fxLK.jpg</t>
        </is>
      </c>
      <c r="C753" s="2" t="str">
        <f>=HYPERLINK("https://xhslink.com/m/Ab716frkAkg", "https://xhslink.com/m/Ab716frkAkg")</f>
        <v>https://xhslink.com/m/Ab716frkAkg</v>
      </c>
      <c r="D753"/>
      <c r="E753">
        <v>4482</v>
      </c>
      <c r="F753">
        <v>15.5</v>
      </c>
      <c r="G753"/>
      <c r="H753"/>
      <c r="I753">
        <v>1000</v>
      </c>
      <c r="J753"/>
      <c r="K753" t="inlineStr">
        <is>
          <t>学科资料</t>
        </is>
      </c>
      <c r="L753"/>
      <c r="M753" t="inlineStr">
        <is>
          <t>斑马哒哒哒🦓的店</t>
        </is>
      </c>
      <c r="N753">
        <v>2850</v>
      </c>
      <c r="O753">
        <v>4.35</v>
      </c>
      <c r="P753">
        <v>9701</v>
      </c>
      <c r="Q753" t="inlineStr">
        <is>
          <t>6708c8075bcbab0001565419</t>
        </is>
      </c>
      <c r="R753"/>
      <c r="S753" t="inlineStr">
        <is>
          <t>中小学教辅/教材</t>
        </is>
      </c>
      <c r="T753" t="inlineStr">
        <is>
          <t>1.57</t>
        </is>
      </c>
      <c r="U753" s="3">
        <v>46112.78107638889</v>
      </c>
      <c r="V753" t="inlineStr">
        <is>
          <t>虚拟产品</t>
        </is>
      </c>
      <c r="W753" s="3">
        <v>46035</v>
      </c>
      <c r="X753" t="inlineStr">
        <is>
          <t>01</t>
        </is>
      </c>
      <c r="Y753" t="inlineStr">
        <is>
          <t>2026-Q1</t>
        </is>
      </c>
    </row>
    <row r="754" ht="38.25" customHeight="1">
      <c r="A754" t="inlineStr">
        <is>
          <t>初中各学科七八九年级上下册语数英政史地物化生知识点总结电子版</t>
        </is>
      </c>
      <c r="B754" t="inlineStr">
        <is>
          <t>__upload_recv8ahsn2TQqM.jpg</t>
        </is>
      </c>
      <c r="C754" s="2" t="str">
        <f>=HYPERLINK("https://xhslink.com/m/7Fzlz4HppjV", "https://xhslink.com/m/7Fzlz4HppjV")</f>
        <v>https://xhslink.com/m/7Fzlz4HppjV</v>
      </c>
      <c r="D754"/>
      <c r="E754">
        <v>4302</v>
      </c>
      <c r="F754">
        <v>14.8</v>
      </c>
      <c r="G754"/>
      <c r="H754"/>
      <c r="I754">
        <v>900</v>
      </c>
      <c r="J754"/>
      <c r="K754" t="inlineStr">
        <is>
          <t>学科资料</t>
        </is>
      </c>
      <c r="L754"/>
      <c r="M754" t="inlineStr">
        <is>
          <t>田欣学姐的店</t>
        </is>
      </c>
      <c r="N754">
        <v>3102</v>
      </c>
      <c r="O754">
        <v>4.24</v>
      </c>
      <c r="P754">
        <v>6826</v>
      </c>
      <c r="Q754" t="inlineStr">
        <is>
          <t>69151d81b51a380001e723c4</t>
        </is>
      </c>
      <c r="R754" t="inlineStr">
        <is>
          <t>🚫重复</t>
        </is>
      </c>
      <c r="S754" t="inlineStr">
        <is>
          <t>中小学教辅/教材</t>
        </is>
      </c>
      <c r="T754" t="inlineStr">
        <is>
          <t>1.39</t>
        </is>
      </c>
      <c r="U754" s="3">
        <v>46112.78107638889</v>
      </c>
      <c r="V754" t="inlineStr">
        <is>
          <t>虚拟产品</t>
        </is>
      </c>
      <c r="W754" s="3">
        <v>46035</v>
      </c>
      <c r="X754" t="inlineStr">
        <is>
          <t>01</t>
        </is>
      </c>
      <c r="Y754" t="inlineStr">
        <is>
          <t>2026-Q1</t>
        </is>
      </c>
    </row>
    <row r="755" ht="38.25" customHeight="1">
      <c r="A755" t="inlineStr">
        <is>
          <t>初中语文数学英语生物化史地道法知识点【电子版】</t>
        </is>
      </c>
      <c r="B755" t="inlineStr">
        <is>
          <t>__upload_recv8ahsn293GG.jpg</t>
        </is>
      </c>
      <c r="C755" s="2" t="str">
        <f>=HYPERLINK("https://xhslink.com/m/2leqDRk3KtI", "https://xhslink.com/m/2leqDRk3KtI")</f>
        <v>https://xhslink.com/m/2leqDRk3KtI</v>
      </c>
      <c r="D755"/>
      <c r="E755">
        <v>4151</v>
      </c>
      <c r="F755">
        <v>25.8</v>
      </c>
      <c r="G755"/>
      <c r="H755"/>
      <c r="I755">
        <v>1000</v>
      </c>
      <c r="J755"/>
      <c r="K755" t="inlineStr">
        <is>
          <t>学科资料</t>
        </is>
      </c>
      <c r="L755"/>
      <c r="M755" t="inlineStr">
        <is>
          <t>周老师的资料库的店</t>
        </is>
      </c>
      <c r="N755">
        <v>1484</v>
      </c>
      <c r="O755">
        <v>4.34</v>
      </c>
      <c r="P755">
        <v>10000</v>
      </c>
      <c r="Q755" t="inlineStr">
        <is>
          <t>6821b8672f87160015e79dcd</t>
        </is>
      </c>
      <c r="R755" t="inlineStr">
        <is>
          <t>🚫重复</t>
        </is>
      </c>
      <c r="S755" t="inlineStr">
        <is>
          <t>中小学教辅/教材</t>
        </is>
      </c>
      <c r="T755" t="inlineStr">
        <is>
          <t>2.80</t>
        </is>
      </c>
      <c r="U755" s="3">
        <v>46112.78107638889</v>
      </c>
      <c r="V755" t="inlineStr">
        <is>
          <t>虚拟产品</t>
        </is>
      </c>
      <c r="W755" s="3">
        <v>46035</v>
      </c>
      <c r="X755" t="inlineStr">
        <is>
          <t>01</t>
        </is>
      </c>
      <c r="Y755" t="inlineStr">
        <is>
          <t>2026-Q1</t>
        </is>
      </c>
    </row>
    <row r="756" ht="38.25" customHeight="1">
      <c r="A756" t="inlineStr">
        <is>
          <t>25下教资面试︱教招面试︱小学各科目结构化︱试讲教案逐字稿</t>
        </is>
      </c>
      <c r="B756" t="inlineStr">
        <is>
          <t>__upload_recv8ahsn2nrYn.jpg</t>
        </is>
      </c>
      <c r="C756" s="2" t="str">
        <f>=HYPERLINK("https://xhslink.com/m/15E4APyeK3j", "https://xhslink.com/m/15E4APyeK3j")</f>
        <v>https://xhslink.com/m/15E4APyeK3j</v>
      </c>
      <c r="D756"/>
      <c r="E756">
        <v>3910</v>
      </c>
      <c r="F756">
        <v>28.9</v>
      </c>
      <c r="G756"/>
      <c r="H756"/>
      <c r="I756">
        <v>900</v>
      </c>
      <c r="J756"/>
      <c r="K756" t="inlineStr">
        <is>
          <t>学科资料</t>
        </is>
      </c>
      <c r="L756"/>
      <c r="M756" t="inlineStr">
        <is>
          <t>珞珞Y资料库的店</t>
        </is>
      </c>
      <c r="N756">
        <v>6413</v>
      </c>
      <c r="O756">
        <v>4.67</v>
      </c>
      <c r="P756">
        <v>17000</v>
      </c>
      <c r="Q756" t="inlineStr">
        <is>
          <t>67be883c9759260001ac362e</t>
        </is>
      </c>
      <c r="R756" t="inlineStr">
        <is>
          <t>🚫重复</t>
        </is>
      </c>
      <c r="S756" t="inlineStr">
        <is>
          <t>教资资料</t>
        </is>
      </c>
      <c r="T756" t="inlineStr">
        <is>
          <t>0.61</t>
        </is>
      </c>
      <c r="U756" s="3">
        <v>46112.78107638889</v>
      </c>
      <c r="V756" t="inlineStr">
        <is>
          <t>虚拟产品</t>
        </is>
      </c>
      <c r="W756" s="3">
        <v>46035</v>
      </c>
      <c r="X756" t="inlineStr">
        <is>
          <t>01</t>
        </is>
      </c>
      <c r="Y756" t="inlineStr">
        <is>
          <t>2026-Q1</t>
        </is>
      </c>
    </row>
    <row r="757" ht="38.25" customHeight="1">
      <c r="A757" t="inlineStr">
        <is>
          <t>2025新版初一初二初三语文数学英语生物化史地道法知识点电子版</t>
        </is>
      </c>
      <c r="B757" t="inlineStr">
        <is>
          <t>__upload_recv8ahsn2nlI3.jpg</t>
        </is>
      </c>
      <c r="C757" s="2" t="str">
        <f>=HYPERLINK("https://xhslink.com/m/8qPgwp33vB", "https://xhslink.com/m/8qPgwp33vB")</f>
        <v>https://xhslink.com/m/8qPgwp33vB</v>
      </c>
      <c r="D757"/>
      <c r="E757">
        <v>3834</v>
      </c>
      <c r="F757">
        <v>4.99</v>
      </c>
      <c r="G757"/>
      <c r="H757"/>
      <c r="I757">
        <v>1000</v>
      </c>
      <c r="J757"/>
      <c r="K757" t="inlineStr">
        <is>
          <t>学科资料</t>
        </is>
      </c>
      <c r="L757"/>
      <c r="M757" t="inlineStr">
        <is>
          <t>任老师学习资料库的店</t>
        </is>
      </c>
      <c r="N757">
        <v>1604</v>
      </c>
      <c r="O757">
        <v>4.38</v>
      </c>
      <c r="P757">
        <v>4584</v>
      </c>
      <c r="Q757" t="inlineStr">
        <is>
          <t>68518fcac5d1b4000143bfba</t>
        </is>
      </c>
      <c r="R757" t="inlineStr">
        <is>
          <t>🚫重复</t>
        </is>
      </c>
      <c r="S757" t="inlineStr">
        <is>
          <t>中小学教辅/教材</t>
        </is>
      </c>
      <c r="T757" t="inlineStr">
        <is>
          <t>2.39</t>
        </is>
      </c>
      <c r="U757" s="3">
        <v>46112.78107638889</v>
      </c>
      <c r="V757" t="inlineStr">
        <is>
          <t>虚拟产品</t>
        </is>
      </c>
      <c r="W757" s="3">
        <v>46035</v>
      </c>
      <c r="X757" t="inlineStr">
        <is>
          <t>01</t>
        </is>
      </c>
      <c r="Y757" t="inlineStr">
        <is>
          <t>2026-Q1</t>
        </is>
      </c>
    </row>
    <row r="758" ht="38.25" customHeight="1">
      <c r="A758" t="inlineStr">
        <is>
          <t>语文新课标题目是电子档，25年日常修订新旧对比资料。知识梳理解</t>
        </is>
      </c>
      <c r="B758" t="inlineStr">
        <is>
          <t>__upload_recv8ahsn2RB1M.jpg</t>
        </is>
      </c>
      <c r="C758" s="2" t="str">
        <f>=HYPERLINK("https://xhslink.com/m/Oj0VVXx6pX", "https://xhslink.com/m/Oj0VVXx6pX")</f>
        <v>https://xhslink.com/m/Oj0VVXx6pX</v>
      </c>
      <c r="D758"/>
      <c r="E758">
        <v>3287</v>
      </c>
      <c r="F758">
        <v>12.5</v>
      </c>
      <c r="G758"/>
      <c r="H758"/>
      <c r="I758">
        <v>500</v>
      </c>
      <c r="J758"/>
      <c r="K758" t="inlineStr">
        <is>
          <t>学科资料</t>
        </is>
      </c>
      <c r="L758"/>
      <c r="M758" t="inlineStr">
        <is>
          <t>小布的研习的店</t>
        </is>
      </c>
      <c r="N758">
        <v>3286</v>
      </c>
      <c r="O758">
        <v>4.23</v>
      </c>
      <c r="P758">
        <v>8097</v>
      </c>
      <c r="Q758" t="inlineStr">
        <is>
          <t>68932ab1b60054000134249f</t>
        </is>
      </c>
      <c r="R758"/>
      <c r="S758" t="inlineStr">
        <is>
          <t>中小学教辅/教材</t>
        </is>
      </c>
      <c r="T758" t="inlineStr">
        <is>
          <t>1.00</t>
        </is>
      </c>
      <c r="U758" s="3">
        <v>46112.78107638889</v>
      </c>
      <c r="V758" t="inlineStr">
        <is>
          <t>虚拟产品</t>
        </is>
      </c>
      <c r="W758" s="3">
        <v>46035</v>
      </c>
      <c r="X758" t="inlineStr">
        <is>
          <t>01</t>
        </is>
      </c>
      <c r="Y758" t="inlineStr">
        <is>
          <t>2026-Q1</t>
        </is>
      </c>
    </row>
    <row r="759" ht="38.25" customHeight="1">
      <c r="A759" t="inlineStr">
        <is>
          <t>四年级家长会《习惯，成就未来》</t>
        </is>
      </c>
      <c r="B759" t="inlineStr">
        <is>
          <t>__upload_recv8ahsn2pM8G.jpg</t>
        </is>
      </c>
      <c r="C759" s="2" t="str">
        <f>=HYPERLINK("https://xhslink.com/m/4CYUfxkleW0", "https://xhslink.com/m/4CYUfxkleW0")</f>
        <v>https://xhslink.com/m/4CYUfxkleW0</v>
      </c>
      <c r="D759"/>
      <c r="E759">
        <v>3227</v>
      </c>
      <c r="F759">
        <v>9.9</v>
      </c>
      <c r="G759"/>
      <c r="H759"/>
      <c r="I759">
        <v>1000</v>
      </c>
      <c r="J759"/>
      <c r="K759" t="inlineStr">
        <is>
          <t>学科资料</t>
        </is>
      </c>
      <c r="L759"/>
      <c r="M759" t="inlineStr">
        <is>
          <t>小雨老师的课堂的店</t>
        </is>
      </c>
      <c r="N759">
        <v>7779</v>
      </c>
      <c r="O759">
        <v>4.37</v>
      </c>
      <c r="P759">
        <v>40000</v>
      </c>
      <c r="Q759" t="inlineStr">
        <is>
          <t>6768bf9bbe2f6800011dc223</t>
        </is>
      </c>
      <c r="R759" t="inlineStr">
        <is>
          <t>🚫重复</t>
        </is>
      </c>
      <c r="S759" t="inlineStr">
        <is>
          <t>老师资料</t>
        </is>
      </c>
      <c r="T759" t="inlineStr">
        <is>
          <t>0.41</t>
        </is>
      </c>
      <c r="U759" s="3">
        <v>46112.78107638889</v>
      </c>
      <c r="V759" t="inlineStr">
        <is>
          <t>虚拟产品</t>
        </is>
      </c>
      <c r="W759" s="3">
        <v>46035</v>
      </c>
      <c r="X759" t="inlineStr">
        <is>
          <t>01</t>
        </is>
      </c>
      <c r="Y759" t="inlineStr">
        <is>
          <t>2026-Q1</t>
        </is>
      </c>
    </row>
    <row r="760" ht="38.25" customHeight="1">
      <c r="A760" t="inlineStr">
        <is>
          <t>2026上美术教师资格证科三初中高中学科知识与教学能力核心笔记</t>
        </is>
      </c>
      <c r="B760" t="inlineStr">
        <is>
          <t>__upload_recv8ahsn2RWXC.jpg</t>
        </is>
      </c>
      <c r="C760" s="2" t="str">
        <f>=HYPERLINK("https://xhslink.com/m/1shTdXl9T3Y", "https://xhslink.com/m/1shTdXl9T3Y")</f>
        <v>https://xhslink.com/m/1shTdXl9T3Y</v>
      </c>
      <c r="D760"/>
      <c r="E760">
        <v>3308</v>
      </c>
      <c r="F760">
        <v>56.9</v>
      </c>
      <c r="G760"/>
      <c r="H760"/>
      <c r="I760">
        <v>400</v>
      </c>
      <c r="J760"/>
      <c r="K760" t="inlineStr">
        <is>
          <t>学科资料</t>
        </is>
      </c>
      <c r="L760"/>
      <c r="M760" t="inlineStr">
        <is>
          <t>易新教育的店</t>
        </is>
      </c>
      <c r="N760">
        <v>1835</v>
      </c>
      <c r="O760">
        <v>4.32</v>
      </c>
      <c r="P760">
        <v>9652</v>
      </c>
      <c r="Q760" t="inlineStr">
        <is>
          <t>6880eed202d7b000010cf32b</t>
        </is>
      </c>
      <c r="R760" t="inlineStr">
        <is>
          <t>🚫重复</t>
        </is>
      </c>
      <c r="S760" t="inlineStr">
        <is>
          <t>教资资料</t>
        </is>
      </c>
      <c r="T760" t="inlineStr">
        <is>
          <t>1.80</t>
        </is>
      </c>
      <c r="U760" s="3">
        <v>46112.78107638889</v>
      </c>
      <c r="V760" t="inlineStr">
        <is>
          <t>虚拟产品</t>
        </is>
      </c>
      <c r="W760" s="3">
        <v>46035</v>
      </c>
      <c r="X760" t="inlineStr">
        <is>
          <t>01</t>
        </is>
      </c>
      <c r="Y760" t="inlineStr">
        <is>
          <t>2026-Q1</t>
        </is>
      </c>
    </row>
    <row r="761" ht="38.25" customHeight="1">
      <c r="A761" t="inlineStr">
        <is>
          <t>可重复点亮星星ppt英语课堂评价量表美术语文各学科通用课件模版</t>
        </is>
      </c>
      <c r="B761" t="inlineStr">
        <is>
          <t>__upload_recv8ahsn2jFmN.jpg</t>
        </is>
      </c>
      <c r="C761" s="2" t="str">
        <f>=HYPERLINK("https://xhslink.com/m/oeLS6aVvKA", "https://xhslink.com/m/oeLS6aVvKA")</f>
        <v>https://xhslink.com/m/oeLS6aVvKA</v>
      </c>
      <c r="D761"/>
      <c r="E761">
        <v>3116</v>
      </c>
      <c r="F761">
        <v>4.9</v>
      </c>
      <c r="G761"/>
      <c r="H761"/>
      <c r="I761">
        <v>900</v>
      </c>
      <c r="J761"/>
      <c r="K761" t="inlineStr">
        <is>
          <t>学科资料</t>
        </is>
      </c>
      <c r="L761"/>
      <c r="M761" t="inlineStr">
        <is>
          <t>今天要努力丫的店</t>
        </is>
      </c>
      <c r="N761">
        <v>7021</v>
      </c>
      <c r="O761">
        <v>4.31</v>
      </c>
      <c r="P761">
        <v>4281</v>
      </c>
      <c r="Q761" t="inlineStr">
        <is>
          <t>674938bad5050400017b0618</t>
        </is>
      </c>
      <c r="R761" t="inlineStr">
        <is>
          <t>🚫重复</t>
        </is>
      </c>
      <c r="S761" t="inlineStr">
        <is>
          <t>PPT模板</t>
        </is>
      </c>
      <c r="T761" t="inlineStr">
        <is>
          <t>0.44</t>
        </is>
      </c>
      <c r="U761" s="3">
        <v>46112.78107638889</v>
      </c>
      <c r="V761" t="inlineStr">
        <is>
          <t>虚拟产品</t>
        </is>
      </c>
      <c r="W761" s="3">
        <v>46035</v>
      </c>
      <c r="X761" t="inlineStr">
        <is>
          <t>01</t>
        </is>
      </c>
      <c r="Y761" t="inlineStr">
        <is>
          <t>2026-Q1</t>
        </is>
      </c>
    </row>
    <row r="762" ht="38.25" customHeight="1">
      <c r="A762" t="inlineStr">
        <is>
          <t>教师用新版高中语数英物化生历学考水考知识点练习必修一二电子版</t>
        </is>
      </c>
      <c r="B762" t="inlineStr">
        <is>
          <t>__upload_recv8ahsn2EAUj.jpg</t>
        </is>
      </c>
      <c r="C762" s="2" t="str">
        <f>=HYPERLINK("https://xhslink.com/m/9CvDgD7iHJf", "https://xhslink.com/m/9CvDgD7iHJf")</f>
        <v>https://xhslink.com/m/9CvDgD7iHJf</v>
      </c>
      <c r="D762"/>
      <c r="E762">
        <v>2799</v>
      </c>
      <c r="F762">
        <v>84.9</v>
      </c>
      <c r="G762"/>
      <c r="H762"/>
      <c r="I762">
        <v>400</v>
      </c>
      <c r="J762"/>
      <c r="K762" t="inlineStr">
        <is>
          <t>学科资料</t>
        </is>
      </c>
      <c r="L762"/>
      <c r="M762" t="inlineStr">
        <is>
          <t>佛系的曾老师的店</t>
        </is>
      </c>
      <c r="N762">
        <v>6303</v>
      </c>
      <c r="O762">
        <v>3.95</v>
      </c>
      <c r="P762">
        <v>27000</v>
      </c>
      <c r="Q762" t="inlineStr">
        <is>
          <t>673f54dcc14a2d000101e91a</t>
        </is>
      </c>
      <c r="R762" t="inlineStr">
        <is>
          <t>🚫重复</t>
        </is>
      </c>
      <c r="S762" t="inlineStr">
        <is>
          <t>高中/高考资料</t>
        </is>
      </c>
      <c r="T762" t="inlineStr">
        <is>
          <t>0.44</t>
        </is>
      </c>
      <c r="U762" s="3">
        <v>46112.78107638889</v>
      </c>
      <c r="V762" t="inlineStr">
        <is>
          <t>虚拟产品</t>
        </is>
      </c>
      <c r="W762" s="3">
        <v>46035</v>
      </c>
      <c r="X762" t="inlineStr">
        <is>
          <t>01</t>
        </is>
      </c>
      <c r="Y762" t="inlineStr">
        <is>
          <t>2026-Q1</t>
        </is>
      </c>
    </row>
    <row r="763" ht="38.25" customHeight="1">
      <c r="A763" t="inlineStr">
        <is>
          <t>英语启蒙公开课WPS课件</t>
        </is>
      </c>
      <c r="B763" t="inlineStr">
        <is>
          <t>__upload_recv8ahsn2hsvm.jpg</t>
        </is>
      </c>
      <c r="C763" s="2" t="str">
        <f>=HYPERLINK("https://xhslink.com/m/3vCLEP1LDRm", "https://xhslink.com/m/3vCLEP1LDRm")</f>
        <v>https://xhslink.com/m/3vCLEP1LDRm</v>
      </c>
      <c r="D763"/>
      <c r="E763">
        <v>2921</v>
      </c>
      <c r="F763">
        <v>6.9</v>
      </c>
      <c r="G763"/>
      <c r="H763"/>
      <c r="I763">
        <v>1000</v>
      </c>
      <c r="J763"/>
      <c r="K763" t="inlineStr">
        <is>
          <t>学科资料</t>
        </is>
      </c>
      <c r="L763"/>
      <c r="M763" t="inlineStr">
        <is>
          <t>米妮老师~的店</t>
        </is>
      </c>
      <c r="N763">
        <v>2590</v>
      </c>
      <c r="O763">
        <v>4.3</v>
      </c>
      <c r="P763">
        <v>12000</v>
      </c>
      <c r="Q763" t="inlineStr">
        <is>
          <t>68b85dc6f0fbe90001ced75b</t>
        </is>
      </c>
      <c r="R763" t="inlineStr">
        <is>
          <t>🚫重复</t>
        </is>
      </c>
      <c r="S763" t="inlineStr">
        <is>
          <t>中小学教辅/教材</t>
        </is>
      </c>
      <c r="T763" t="inlineStr">
        <is>
          <t>1.13</t>
        </is>
      </c>
      <c r="U763" s="3">
        <v>46112.78107638889</v>
      </c>
      <c r="V763" t="inlineStr">
        <is>
          <t>虚拟产品</t>
        </is>
      </c>
      <c r="W763" s="3">
        <v>46035</v>
      </c>
      <c r="X763" t="inlineStr">
        <is>
          <t>01</t>
        </is>
      </c>
      <c r="Y763" t="inlineStr">
        <is>
          <t>2026-Q1</t>
        </is>
      </c>
    </row>
    <row r="764" ht="38.25" customHeight="1">
      <c r="A764" t="inlineStr">
        <is>
          <t>数学课程标准模拟题</t>
        </is>
      </c>
      <c r="B764" t="inlineStr">
        <is>
          <t>__upload_recv8ahsn2A5wk.jpg</t>
        </is>
      </c>
      <c r="C764" s="2" t="str">
        <f>=HYPERLINK("https://xhslink.com/m/19H9iVeBR8V", "https://xhslink.com/m/19H9iVeBR8V")</f>
        <v>https://xhslink.com/m/19H9iVeBR8V</v>
      </c>
      <c r="D764"/>
      <c r="E764">
        <v>2140</v>
      </c>
      <c r="F764">
        <v>9.9</v>
      </c>
      <c r="G764"/>
      <c r="H764"/>
      <c r="I764">
        <v>400</v>
      </c>
      <c r="J764"/>
      <c r="K764" t="inlineStr">
        <is>
          <t>学科资料</t>
        </is>
      </c>
      <c r="L764"/>
      <c r="M764" t="inlineStr">
        <is>
          <t>奶椰西米露ximi的店</t>
        </is>
      </c>
      <c r="N764">
        <v>3185</v>
      </c>
      <c r="O764">
        <v>4.22</v>
      </c>
      <c r="P764">
        <v>11000</v>
      </c>
      <c r="Q764" t="inlineStr">
        <is>
          <t>66c9f6d75c80460001db4491</t>
        </is>
      </c>
      <c r="R764"/>
      <c r="S764" t="inlineStr">
        <is>
          <t>中小学教辅/教材</t>
        </is>
      </c>
      <c r="T764" t="inlineStr">
        <is>
          <t>0.67</t>
        </is>
      </c>
      <c r="U764" s="3">
        <v>46112.78107638889</v>
      </c>
      <c r="V764" t="inlineStr">
        <is>
          <t>虚拟产品</t>
        </is>
      </c>
      <c r="W764" s="3">
        <v>46035</v>
      </c>
      <c r="X764" t="inlineStr">
        <is>
          <t>01</t>
        </is>
      </c>
      <c r="Y764" t="inlineStr">
        <is>
          <t>2026-Q1</t>
        </is>
      </c>
    </row>
    <row r="765" ht="38.25" customHeight="1">
      <c r="A765" t="inlineStr">
        <is>
          <t>教资科一-26上（中小学通用）肖一点烦资料</t>
        </is>
      </c>
      <c r="B765" t="inlineStr">
        <is>
          <t>__upload_recv8ahsn2RKbV.jpg</t>
        </is>
      </c>
      <c r="C765" s="2" t="str">
        <f>=HYPERLINK("https://xhslink.com/m/2YbZVCoQfc0", "https://xhslink.com/m/2YbZVCoQfc0")</f>
        <v>https://xhslink.com/m/2YbZVCoQfc0</v>
      </c>
      <c r="D765"/>
      <c r="E765">
        <v>2351</v>
      </c>
      <c r="F765">
        <v>12</v>
      </c>
      <c r="G765"/>
      <c r="H765"/>
      <c r="I765"/>
      <c r="J765">
        <v>700</v>
      </c>
      <c r="K765" t="inlineStr">
        <is>
          <t>学科资料</t>
        </is>
      </c>
      <c r="L765"/>
      <c r="M765" t="inlineStr">
        <is>
          <t>肖一点烦的店</t>
        </is>
      </c>
      <c r="N765">
        <v>69000</v>
      </c>
      <c r="O765">
        <v>4.31</v>
      </c>
      <c r="P765">
        <v>9130</v>
      </c>
      <c r="Q765" t="inlineStr">
        <is>
          <t>6779e629f8eb7500015acd35</t>
        </is>
      </c>
      <c r="R765" t="inlineStr">
        <is>
          <t>🚫重复</t>
        </is>
      </c>
      <c r="S765" t="inlineStr">
        <is>
          <t>教资资料</t>
        </is>
      </c>
      <c r="T765" t="inlineStr">
        <is>
          <t>0.03</t>
        </is>
      </c>
      <c r="U765" s="3">
        <v>46112.78107638889</v>
      </c>
      <c r="V765" t="inlineStr">
        <is>
          <t>虚拟产品</t>
        </is>
      </c>
      <c r="W765" s="3">
        <v>46035</v>
      </c>
      <c r="X765" t="inlineStr">
        <is>
          <t>01</t>
        </is>
      </c>
      <c r="Y765" t="inlineStr">
        <is>
          <t>2026-Q1</t>
        </is>
      </c>
    </row>
    <row r="766" ht="38.25" customHeight="1">
      <c r="A766" t="inlineStr">
        <is>
          <t>上岸熊·26上教资笔试中学科三重点笔记/精讲课</t>
        </is>
      </c>
      <c r="B766" t="inlineStr">
        <is>
          <t>__upload_recv8ahsn2UJcA.jpg</t>
        </is>
      </c>
      <c r="C766" s="2" t="str">
        <f>=HYPERLINK("https://xhslink.com/m/7VF48iQgiMy", "https://xhslink.com/m/7VF48iQgiMy")</f>
        <v>https://xhslink.com/m/7VF48iQgiMy</v>
      </c>
      <c r="D766"/>
      <c r="E766">
        <v>2200</v>
      </c>
      <c r="F766">
        <v>59.9</v>
      </c>
      <c r="G766"/>
      <c r="H766"/>
      <c r="I766"/>
      <c r="J766">
        <v>100</v>
      </c>
      <c r="K766" t="inlineStr">
        <is>
          <t>学科资料</t>
        </is>
      </c>
      <c r="L766"/>
      <c r="M766" t="inlineStr">
        <is>
          <t>珞珞Y资料库的店</t>
        </is>
      </c>
      <c r="N766">
        <v>6413</v>
      </c>
      <c r="O766">
        <v>4.67</v>
      </c>
      <c r="P766">
        <v>17000</v>
      </c>
      <c r="Q766" t="inlineStr">
        <is>
          <t>681ad64a0e004a00010767a6</t>
        </is>
      </c>
      <c r="R766" t="inlineStr">
        <is>
          <t>🚫重复</t>
        </is>
      </c>
      <c r="S766" t="inlineStr">
        <is>
          <t>教资资料</t>
        </is>
      </c>
      <c r="T766" t="inlineStr">
        <is>
          <t>0.34</t>
        </is>
      </c>
      <c r="U766" s="3">
        <v>46112.78107638889</v>
      </c>
      <c r="V766" t="inlineStr">
        <is>
          <t>虚拟产品</t>
        </is>
      </c>
      <c r="W766" s="3">
        <v>46035</v>
      </c>
      <c r="X766" t="inlineStr">
        <is>
          <t>01</t>
        </is>
      </c>
      <c r="Y766" t="inlineStr">
        <is>
          <t>2026-Q1</t>
        </is>
      </c>
    </row>
    <row r="767" ht="38.25" customHeight="1">
      <c r="A767" t="inlineStr">
        <is>
          <t>2026教师编英语学科备考资料包小题狂做恩波38套金考卷45套五三B</t>
        </is>
      </c>
      <c r="B767" t="inlineStr">
        <is>
          <t>__upload_recv8ahsn2WCrA.jpg</t>
        </is>
      </c>
      <c r="C767" s="2" t="str">
        <f>=HYPERLINK("https://xhslink.com/m/2kZas1yTWDM", "https://xhslink.com/m/2kZas1yTWDM")</f>
        <v>https://xhslink.com/m/2kZas1yTWDM</v>
      </c>
      <c r="D767"/>
      <c r="E767">
        <v>2010</v>
      </c>
      <c r="F767">
        <v>4.9</v>
      </c>
      <c r="G767"/>
      <c r="H767"/>
      <c r="I767">
        <v>600</v>
      </c>
      <c r="J767"/>
      <c r="K767" t="inlineStr">
        <is>
          <t>学科资料</t>
        </is>
      </c>
      <c r="L767"/>
      <c r="M767" t="inlineStr">
        <is>
          <t>Sincere学姐的店</t>
        </is>
      </c>
      <c r="N767">
        <v>17000</v>
      </c>
      <c r="O767">
        <v>4.36</v>
      </c>
      <c r="P767">
        <v>17000</v>
      </c>
      <c r="Q767" t="inlineStr">
        <is>
          <t>687b9ebd4485460001199057</t>
        </is>
      </c>
      <c r="R767" t="inlineStr">
        <is>
          <t>🚫重复</t>
        </is>
      </c>
      <c r="S767" t="inlineStr">
        <is>
          <t>中小学教辅/教材</t>
        </is>
      </c>
      <c r="T767" t="inlineStr">
        <is>
          <t>0.12</t>
        </is>
      </c>
      <c r="U767" s="3">
        <v>46112.78107638889</v>
      </c>
      <c r="V767" t="inlineStr">
        <is>
          <t>虚拟产品</t>
        </is>
      </c>
      <c r="W767" s="3">
        <v>46035</v>
      </c>
      <c r="X767" t="inlineStr">
        <is>
          <t>01</t>
        </is>
      </c>
      <c r="Y767" t="inlineStr">
        <is>
          <t>2026-Q1</t>
        </is>
      </c>
    </row>
    <row r="768" ht="38.25" customHeight="1">
      <c r="A768" t="inlineStr">
        <is>
          <t>社团课后延时托管兴趣班教案教学设计ppt教案持续更新110种可修改</t>
        </is>
      </c>
      <c r="B768" t="inlineStr">
        <is>
          <t>__upload_recv8ahsn2QmMj.jpg</t>
        </is>
      </c>
      <c r="C768" s="2" t="str">
        <f>=HYPERLINK("https://xhslink.com/m/3kjUROta1n", "https://xhslink.com/m/3kjUROta1n")</f>
        <v>https://xhslink.com/m/3kjUROta1n</v>
      </c>
      <c r="D768"/>
      <c r="E768">
        <v>1937</v>
      </c>
      <c r="F768">
        <v>15.8</v>
      </c>
      <c r="G768"/>
      <c r="H768"/>
      <c r="I768">
        <v>900</v>
      </c>
      <c r="J768"/>
      <c r="K768" t="inlineStr">
        <is>
          <t>学科资料</t>
        </is>
      </c>
      <c r="L768" t="inlineStr">
        <is>
          <t>🔥低粉爆款</t>
        </is>
      </c>
      <c r="M768" t="inlineStr">
        <is>
          <t>哎呀呀淘多多的店</t>
        </is>
      </c>
      <c r="N768">
        <v>132</v>
      </c>
      <c r="O768">
        <v>4.32</v>
      </c>
      <c r="P768">
        <v>2640</v>
      </c>
      <c r="Q768" t="inlineStr">
        <is>
          <t>68b59a339b776a001575f030</t>
        </is>
      </c>
      <c r="R768" t="inlineStr">
        <is>
          <t>🚫重复</t>
        </is>
      </c>
      <c r="S768" t="inlineStr">
        <is>
          <t>PPT模板</t>
        </is>
      </c>
      <c r="T768" t="inlineStr">
        <is>
          <t>14.67</t>
        </is>
      </c>
      <c r="U768" s="3">
        <v>46112.78107638889</v>
      </c>
      <c r="V768" t="inlineStr">
        <is>
          <t>虚拟产品</t>
        </is>
      </c>
      <c r="W768" s="3">
        <v>46035</v>
      </c>
      <c r="X768" t="inlineStr">
        <is>
          <t>01</t>
        </is>
      </c>
      <c r="Y768" t="inlineStr">
        <is>
          <t>2026-Q1</t>
        </is>
      </c>
    </row>
    <row r="769" ht="38.25" customHeight="1">
      <c r="A769" t="inlineStr">
        <is>
          <t>理想树 · 2025-2026初中必刷题七八九年级上册初中初一二同步教材练习</t>
        </is>
      </c>
      <c r="B769" t="inlineStr">
        <is>
          <t>__upload_recv8ahsn2erta.jpg</t>
        </is>
      </c>
      <c r="C769" s="2" t="str">
        <f>=HYPERLINK("https://xhslink.com/m/6YDOc6QngS6", "https://xhslink.com/m/6YDOc6QngS6")</f>
        <v>https://xhslink.com/m/6YDOc6QngS6</v>
      </c>
      <c r="D769"/>
      <c r="E769">
        <v>1846</v>
      </c>
      <c r="F769">
        <v>34.9</v>
      </c>
      <c r="G769"/>
      <c r="H769"/>
      <c r="I769">
        <v>500</v>
      </c>
      <c r="J769"/>
      <c r="K769" t="inlineStr">
        <is>
          <t>学科资料</t>
        </is>
      </c>
      <c r="L769"/>
      <c r="M769" t="inlineStr">
        <is>
          <t>理想树必刷题旗舰店</t>
        </is>
      </c>
      <c r="N769">
        <v>105000</v>
      </c>
      <c r="O769">
        <v>4.75</v>
      </c>
      <c r="P769">
        <v>6410</v>
      </c>
      <c r="Q769" t="inlineStr">
        <is>
          <t>67921e8529b9f70001f05bd5</t>
        </is>
      </c>
      <c r="R769" t="inlineStr">
        <is>
          <t>🚫重复</t>
        </is>
      </c>
      <c r="S769" t="inlineStr">
        <is>
          <t>中小学教辅/教材</t>
        </is>
      </c>
      <c r="T769" t="inlineStr">
        <is>
          <t>0.02</t>
        </is>
      </c>
      <c r="U769" s="3">
        <v>46112.78107638889</v>
      </c>
      <c r="V769" t="inlineStr">
        <is>
          <t>虚拟产品</t>
        </is>
      </c>
      <c r="W769" s="3">
        <v>46035</v>
      </c>
      <c r="X769" t="inlineStr">
        <is>
          <t>01</t>
        </is>
      </c>
      <c r="Y769" t="inlineStr">
        <is>
          <t>2026-Q1</t>
        </is>
      </c>
    </row>
    <row r="770" ht="38.25" customHeight="1">
      <c r="A770" t="inlineStr">
        <is>
          <t>【2025秋】三上语文第八单元课件+教案</t>
        </is>
      </c>
      <c r="B770" t="inlineStr">
        <is>
          <t>__upload_recv8ahsn2jOXw.jpg</t>
        </is>
      </c>
      <c r="C770" s="2" t="str">
        <f>=HYPERLINK("https://xhslink.com/m/3aBlxjOuNY7", "https://xhslink.com/m/3aBlxjOuNY7")</f>
        <v>https://xhslink.com/m/3aBlxjOuNY7</v>
      </c>
      <c r="D770"/>
      <c r="E770">
        <v>1817</v>
      </c>
      <c r="F770">
        <v>8.8</v>
      </c>
      <c r="G770"/>
      <c r="H770"/>
      <c r="I770">
        <v>500</v>
      </c>
      <c r="J770"/>
      <c r="K770" t="inlineStr">
        <is>
          <t>学科资料</t>
        </is>
      </c>
      <c r="L770"/>
      <c r="M770" t="inlineStr">
        <is>
          <t>同是天涯备课人的店</t>
        </is>
      </c>
      <c r="N770">
        <v>49000</v>
      </c>
      <c r="O770">
        <v>4.2</v>
      </c>
      <c r="P770">
        <v>147000</v>
      </c>
      <c r="Q770" t="inlineStr">
        <is>
          <t>672863d9b43c000001eb861b</t>
        </is>
      </c>
      <c r="R770" t="inlineStr">
        <is>
          <t>🚫重复</t>
        </is>
      </c>
      <c r="S770" t="inlineStr">
        <is>
          <t>中小学教辅/教材</t>
        </is>
      </c>
      <c r="T770" t="inlineStr">
        <is>
          <t>0.04</t>
        </is>
      </c>
      <c r="U770" s="3">
        <v>46112.78107638889</v>
      </c>
      <c r="V770" t="inlineStr">
        <is>
          <t>虚拟产品</t>
        </is>
      </c>
      <c r="W770" s="3">
        <v>46035</v>
      </c>
      <c r="X770" t="inlineStr">
        <is>
          <t>01</t>
        </is>
      </c>
      <c r="Y770" t="inlineStr">
        <is>
          <t>2026-Q1</t>
        </is>
      </c>
    </row>
    <row r="771" ht="38.25" customHeight="1">
      <c r="A771" t="inlineStr">
        <is>
          <t>2025年全国通用初中各科学习资料七八九年级上下册知识点电子版</t>
        </is>
      </c>
      <c r="B771" t="inlineStr">
        <is>
          <t>__upload_recv8ahsn2O8OP.jpg</t>
        </is>
      </c>
      <c r="C771" s="2" t="str">
        <f>=HYPERLINK("https://xhslink.com/m/cD00c8g6yz", "https://xhslink.com/m/cD00c8g6yz")</f>
        <v>https://xhslink.com/m/cD00c8g6yz</v>
      </c>
      <c r="D771"/>
      <c r="E771">
        <v>1827</v>
      </c>
      <c r="F771">
        <v>6.9</v>
      </c>
      <c r="G771"/>
      <c r="H771"/>
      <c r="I771">
        <v>400</v>
      </c>
      <c r="J771"/>
      <c r="K771" t="inlineStr">
        <is>
          <t>学科资料</t>
        </is>
      </c>
      <c r="L771"/>
      <c r="M771" t="inlineStr">
        <is>
          <t>小王学姐很nice的店</t>
        </is>
      </c>
      <c r="N771">
        <v>1126</v>
      </c>
      <c r="O771">
        <v>4.22</v>
      </c>
      <c r="P771">
        <v>7693</v>
      </c>
      <c r="Q771" t="inlineStr">
        <is>
          <t>68491471fab3990001c2c105</t>
        </is>
      </c>
      <c r="R771" t="inlineStr">
        <is>
          <t>🚫重复</t>
        </is>
      </c>
      <c r="S771" t="inlineStr">
        <is>
          <t>中小学教辅/教材</t>
        </is>
      </c>
      <c r="T771" t="inlineStr">
        <is>
          <t>1.62</t>
        </is>
      </c>
      <c r="U771" s="3">
        <v>46112.78107638889</v>
      </c>
      <c r="V771" t="inlineStr">
        <is>
          <t>虚拟产品</t>
        </is>
      </c>
      <c r="W771" s="3">
        <v>46035</v>
      </c>
      <c r="X771" t="inlineStr">
        <is>
          <t>01</t>
        </is>
      </c>
      <c r="Y771" t="inlineStr">
        <is>
          <t>2026-Q1</t>
        </is>
      </c>
    </row>
    <row r="772" ht="38.25" customHeight="1">
      <c r="A772" t="inlineStr">
        <is>
          <t>301号：三上习作单/课件</t>
        </is>
      </c>
      <c r="B772" t="inlineStr">
        <is>
          <t>__upload_recv8ahsn2RnUC.jpg</t>
        </is>
      </c>
      <c r="C772" s="2" t="str">
        <f>=HYPERLINK("https://xhslink.com/m/ArpEWxLnJN2", "https://xhslink.com/m/ArpEWxLnJN2")</f>
        <v>https://xhslink.com/m/ArpEWxLnJN2</v>
      </c>
      <c r="D772"/>
      <c r="E772">
        <v>39000</v>
      </c>
      <c r="F772">
        <v>4</v>
      </c>
      <c r="G772"/>
      <c r="H772"/>
      <c r="I772">
        <v>6000</v>
      </c>
      <c r="J772"/>
      <c r="K772" t="inlineStr">
        <is>
          <t>课件</t>
        </is>
      </c>
      <c r="L772"/>
      <c r="M772" t="inlineStr">
        <is>
          <t>张主任的情报库的店</t>
        </is>
      </c>
      <c r="N772">
        <v>28000</v>
      </c>
      <c r="O772">
        <v>4.57</v>
      </c>
      <c r="P772">
        <v>219000</v>
      </c>
      <c r="Q772" t="inlineStr">
        <is>
          <t>69246a7433d9ce00015638ed</t>
        </is>
      </c>
      <c r="R772" t="inlineStr">
        <is>
          <t>🚫重复</t>
        </is>
      </c>
      <c r="S772" t="inlineStr">
        <is>
          <t>中小学教辅/教材</t>
        </is>
      </c>
      <c r="T772" t="inlineStr">
        <is>
          <t>1.39</t>
        </is>
      </c>
      <c r="U772" s="3">
        <v>46112.78107638889</v>
      </c>
      <c r="V772" t="inlineStr">
        <is>
          <t>虚拟产品</t>
        </is>
      </c>
      <c r="W772" s="3">
        <v>46035</v>
      </c>
      <c r="X772" t="inlineStr">
        <is>
          <t>01</t>
        </is>
      </c>
      <c r="Y772" t="inlineStr">
        <is>
          <t>2026-Q1</t>
        </is>
      </c>
    </row>
    <row r="773" ht="38.25" customHeight="1">
      <c r="A773" t="inlineStr">
        <is>
          <t>主页PPT模板任意选择一套</t>
        </is>
      </c>
      <c r="B773" t="inlineStr">
        <is>
          <t>__upload_recv8ahsn2bk0D.jpg,test_manual.jpg,test_manual.jpg</t>
        </is>
      </c>
      <c r="C773" s="2" t="str">
        <f>=HYPERLINK("https://xhslink.com/m/A1MFR1smOyo", "https://xhslink.com/m/A1MFR1smOyo")</f>
        <v>https://xhslink.com/m/A1MFR1smOyo</v>
      </c>
      <c r="D773"/>
      <c r="E773">
        <v>34000</v>
      </c>
      <c r="F773">
        <v>5.9</v>
      </c>
      <c r="G773"/>
      <c r="H773"/>
      <c r="I773">
        <v>1000</v>
      </c>
      <c r="J773"/>
      <c r="K773" t="inlineStr">
        <is>
          <t>课件</t>
        </is>
      </c>
      <c r="L773"/>
      <c r="M773" t="inlineStr">
        <is>
          <t>张小可ppt的店</t>
        </is>
      </c>
      <c r="N773">
        <v>25000</v>
      </c>
      <c r="O773">
        <v>4.68</v>
      </c>
      <c r="P773">
        <v>57000</v>
      </c>
      <c r="Q773" t="inlineStr">
        <is>
          <t>65d0d707a75d2e0001b23f9f</t>
        </is>
      </c>
      <c r="R773"/>
      <c r="S773" t="inlineStr">
        <is>
          <t>PPT模板</t>
        </is>
      </c>
      <c r="T773" t="inlineStr">
        <is>
          <t>1.36</t>
        </is>
      </c>
      <c r="U773" s="3">
        <v>46112.78107638889</v>
      </c>
      <c r="V773" t="inlineStr">
        <is>
          <t>虚拟产品</t>
        </is>
      </c>
      <c r="W773" s="3">
        <v>46035</v>
      </c>
      <c r="X773" t="inlineStr">
        <is>
          <t>01</t>
        </is>
      </c>
      <c r="Y773" t="inlineStr">
        <is>
          <t>2026-Q1</t>
        </is>
      </c>
    </row>
    <row r="774" ht="38.25" customHeight="1">
      <c r="A774" t="inlineStr">
        <is>
          <t>一套PPT模板（拍下请备注编号）</t>
        </is>
      </c>
      <c r="B774" t="inlineStr">
        <is>
          <t>recv8ahsn2Ak45.jpg</t>
        </is>
      </c>
      <c r="C774" s="2" t="str">
        <f>=HYPERLINK("https://xhslink.com/m/6kdDapiQ5D8", "https://xhslink.com/m/6kdDapiQ5D8")</f>
        <v>https://xhslink.com/m/6kdDapiQ5D8</v>
      </c>
      <c r="D774"/>
      <c r="E774">
        <v>22000</v>
      </c>
      <c r="F774">
        <v>4.99</v>
      </c>
      <c r="G774"/>
      <c r="H774"/>
      <c r="I774">
        <v>600</v>
      </c>
      <c r="J774"/>
      <c r="K774" t="inlineStr">
        <is>
          <t>课件</t>
        </is>
      </c>
      <c r="L774"/>
      <c r="M774" t="inlineStr">
        <is>
          <t>小啊张PPT的店</t>
        </is>
      </c>
      <c r="N774">
        <v>23000</v>
      </c>
      <c r="O774">
        <v>3.9</v>
      </c>
      <c r="P774">
        <v>22000</v>
      </c>
      <c r="Q774" t="inlineStr">
        <is>
          <t>64397693bb3dc20001d705b5</t>
        </is>
      </c>
      <c r="R774"/>
      <c r="S774" t="inlineStr">
        <is>
          <t>PPT模板</t>
        </is>
      </c>
      <c r="T774" t="inlineStr">
        <is>
          <t>0.96</t>
        </is>
      </c>
      <c r="U774" s="3">
        <v>46112.78107638889</v>
      </c>
      <c r="V774" t="inlineStr">
        <is>
          <t>虚拟产品</t>
        </is>
      </c>
      <c r="W774" s="3">
        <v>46035</v>
      </c>
      <c r="X774" t="inlineStr">
        <is>
          <t>01</t>
        </is>
      </c>
      <c r="Y774" t="inlineStr">
        <is>
          <t>2026-Q1</t>
        </is>
      </c>
    </row>
    <row r="775" ht="38.25" customHeight="1">
      <c r="A775" t="inlineStr">
        <is>
          <t>备考26年初级中级社会工作者网课视频题库王小兰社工课程精讲课程</t>
        </is>
      </c>
      <c r="B775" t="inlineStr">
        <is>
          <t>recv8ahsn2nvkd.jpg</t>
        </is>
      </c>
      <c r="C775" s="2" t="str">
        <f>=HYPERLINK("https://xhslink.com/m/1KSPl4g0AwT", "https://xhslink.com/m/1KSPl4g0AwT")</f>
        <v>https://xhslink.com/m/1KSPl4g0AwT</v>
      </c>
      <c r="D775"/>
      <c r="E775">
        <v>11000</v>
      </c>
      <c r="F775">
        <v>8.8</v>
      </c>
      <c r="G775"/>
      <c r="H775"/>
      <c r="I775">
        <v>600</v>
      </c>
      <c r="J775"/>
      <c r="K775" t="inlineStr">
        <is>
          <t>课件</t>
        </is>
      </c>
      <c r="L775"/>
      <c r="M775" t="inlineStr">
        <is>
          <t>乐X峰题库I星途的店</t>
        </is>
      </c>
      <c r="N775">
        <v>12000</v>
      </c>
      <c r="O775">
        <v>4.52</v>
      </c>
      <c r="P775">
        <v>76000</v>
      </c>
      <c r="Q775" t="inlineStr">
        <is>
          <t>66b453bf81292a0001a5a0bd</t>
        </is>
      </c>
      <c r="R775" t="inlineStr">
        <is>
          <t>🚫重复</t>
        </is>
      </c>
      <c r="S775" t="inlineStr">
        <is>
          <t>无匹配类别</t>
        </is>
      </c>
      <c r="T775" t="inlineStr">
        <is>
          <t>0.92</t>
        </is>
      </c>
      <c r="U775" s="3">
        <v>46112.78107638889</v>
      </c>
      <c r="V775" t="inlineStr">
        <is>
          <t>虚拟产品</t>
        </is>
      </c>
      <c r="W775" s="3">
        <v>46035</v>
      </c>
      <c r="X775" t="inlineStr">
        <is>
          <t>01</t>
        </is>
      </c>
      <c r="Y775" t="inlineStr">
        <is>
          <t>2026-Q1</t>
        </is>
      </c>
    </row>
    <row r="776" ht="38.25" customHeight="1">
      <c r="A776" t="inlineStr">
        <is>
          <t>部编版小学道德与法治ppt课件教案教学反思试卷题一二三四六年级</t>
        </is>
      </c>
      <c r="B776" t="inlineStr">
        <is>
          <t>recv8ahsn2qtT3.jpg</t>
        </is>
      </c>
      <c r="C776" s="2" t="str">
        <f>=HYPERLINK("https://xhslink.com/m/9abQE6I9BJU", "https://xhslink.com/m/9abQE6I9BJU")</f>
        <v>https://xhslink.com/m/9abQE6I9BJU</v>
      </c>
      <c r="D776"/>
      <c r="E776">
        <v>9388</v>
      </c>
      <c r="F776">
        <v>6.8</v>
      </c>
      <c r="G776"/>
      <c r="H776"/>
      <c r="I776">
        <v>700</v>
      </c>
      <c r="J776"/>
      <c r="K776" t="inlineStr">
        <is>
          <t>课件</t>
        </is>
      </c>
      <c r="L776"/>
      <c r="M776" t="inlineStr">
        <is>
          <t>艺童老师（秒回秒发）的店</t>
        </is>
      </c>
      <c r="N776">
        <v>10000</v>
      </c>
      <c r="O776">
        <v>4.49</v>
      </c>
      <c r="P776">
        <v>32000</v>
      </c>
      <c r="Q776" t="inlineStr">
        <is>
          <t>66a8a4a81c4a4b000154bdef</t>
        </is>
      </c>
      <c r="R776" t="inlineStr">
        <is>
          <t>🚫重复</t>
        </is>
      </c>
      <c r="S776" t="inlineStr">
        <is>
          <t>中小学教辅/教材</t>
        </is>
      </c>
      <c r="T776" t="inlineStr">
        <is>
          <t>0.94</t>
        </is>
      </c>
      <c r="U776" s="3">
        <v>46112.78107638889</v>
      </c>
      <c r="V776" t="inlineStr">
        <is>
          <t>虚拟产品</t>
        </is>
      </c>
      <c r="W776" s="3">
        <v>46035</v>
      </c>
      <c r="X776" t="inlineStr">
        <is>
          <t>01</t>
        </is>
      </c>
      <c r="Y776" t="inlineStr">
        <is>
          <t>2026-Q1</t>
        </is>
      </c>
    </row>
    <row r="777" ht="38.25" customHeight="1">
      <c r="A777" t="inlineStr">
        <is>
          <t>音乐课件加配套教案（备注课名）</t>
        </is>
      </c>
      <c r="B777" t="inlineStr">
        <is>
          <t>recv8ahsn2WqP3.jpg</t>
        </is>
      </c>
      <c r="C777" s="2" t="str">
        <f>=HYPERLINK("https://xhslink.com/m/AfWZ8ju3TQI", "https://xhslink.com/m/AfWZ8ju3TQI")</f>
        <v>https://xhslink.com/m/AfWZ8ju3TQI</v>
      </c>
      <c r="D777"/>
      <c r="E777">
        <v>9128</v>
      </c>
      <c r="F777">
        <v>23.9</v>
      </c>
      <c r="G777"/>
      <c r="H777"/>
      <c r="I777">
        <v>1000</v>
      </c>
      <c r="J777"/>
      <c r="K777" t="inlineStr">
        <is>
          <t>课件</t>
        </is>
      </c>
      <c r="L777"/>
      <c r="M777" t="inlineStr">
        <is>
          <t>小香猪的音乐课件的店</t>
        </is>
      </c>
      <c r="N777">
        <v>22000</v>
      </c>
      <c r="O777">
        <v>4.34</v>
      </c>
      <c r="P777">
        <v>28000</v>
      </c>
      <c r="Q777" t="inlineStr">
        <is>
          <t>66ed310086a6ff0001508c8a</t>
        </is>
      </c>
      <c r="R777" t="inlineStr">
        <is>
          <t>🚫重复</t>
        </is>
      </c>
      <c r="S777" t="inlineStr">
        <is>
          <t>中小学教辅/教材</t>
        </is>
      </c>
      <c r="T777" t="inlineStr">
        <is>
          <t>0.41</t>
        </is>
      </c>
      <c r="U777" s="3">
        <v>46112.78107638889</v>
      </c>
      <c r="V777" t="inlineStr">
        <is>
          <t>虚拟产品</t>
        </is>
      </c>
      <c r="W777" s="3">
        <v>46035</v>
      </c>
      <c r="X777" t="inlineStr">
        <is>
          <t>01</t>
        </is>
      </c>
      <c r="Y777" t="inlineStr">
        <is>
          <t>2026-Q1</t>
        </is>
      </c>
    </row>
    <row r="778" ht="38.25" customHeight="1">
      <c r="A778" t="inlineStr">
        <is>
          <t>201号：二上写话课件/写话单</t>
        </is>
      </c>
      <c r="B778" t="inlineStr">
        <is>
          <t>recv8ahsn2gDvj.jpg</t>
        </is>
      </c>
      <c r="C778" s="2" t="str">
        <f>=HYPERLINK("https://xhslink.com/m/7QjBAlgdVoX", "https://xhslink.com/m/7QjBAlgdVoX")</f>
        <v>https://xhslink.com/m/7QjBAlgdVoX</v>
      </c>
      <c r="D778"/>
      <c r="E778">
        <v>8883</v>
      </c>
      <c r="F778">
        <v>1</v>
      </c>
      <c r="G778"/>
      <c r="H778"/>
      <c r="I778">
        <v>2000</v>
      </c>
      <c r="J778"/>
      <c r="K778" t="inlineStr">
        <is>
          <t>课件</t>
        </is>
      </c>
      <c r="L778"/>
      <c r="M778" t="inlineStr">
        <is>
          <t>张主任的情报库的店</t>
        </is>
      </c>
      <c r="N778">
        <v>28000</v>
      </c>
      <c r="O778">
        <v>4.57</v>
      </c>
      <c r="P778">
        <v>219000</v>
      </c>
      <c r="Q778" t="inlineStr">
        <is>
          <t>686a630b5b41e80001244fd7</t>
        </is>
      </c>
      <c r="R778" t="inlineStr">
        <is>
          <t>🚫重复</t>
        </is>
      </c>
      <c r="S778" t="inlineStr">
        <is>
          <t>中小学教辅/教材</t>
        </is>
      </c>
      <c r="T778" t="inlineStr">
        <is>
          <t>0.32</t>
        </is>
      </c>
      <c r="U778" s="3">
        <v>46112.78107638889</v>
      </c>
      <c r="V778" t="inlineStr">
        <is>
          <t>虚拟产品</t>
        </is>
      </c>
      <c r="W778" s="3">
        <v>46035</v>
      </c>
      <c r="X778" t="inlineStr">
        <is>
          <t>01</t>
        </is>
      </c>
      <c r="Y778" t="inlineStr">
        <is>
          <t>2026-Q1</t>
        </is>
      </c>
    </row>
    <row r="779" ht="38.25" customHeight="1">
      <c r="A779" t="inlineStr">
        <is>
          <t>小方原创初中英语课件</t>
        </is>
      </c>
      <c r="B779" t="inlineStr">
        <is>
          <t>recv8ahsn2kbsS.jpg</t>
        </is>
      </c>
      <c r="C779" s="2" t="str">
        <f>=HYPERLINK("https://xhslink.com/m/6VQglriktzk", "https://xhslink.com/m/6VQglriktzk")</f>
        <v>https://xhslink.com/m/6VQglriktzk</v>
      </c>
      <c r="D779"/>
      <c r="E779">
        <v>8776</v>
      </c>
      <c r="F779">
        <v>15</v>
      </c>
      <c r="G779"/>
      <c r="H779"/>
      <c r="I779">
        <v>600</v>
      </c>
      <c r="J779"/>
      <c r="K779" t="inlineStr">
        <is>
          <t>课件</t>
        </is>
      </c>
      <c r="L779"/>
      <c r="M779" t="inlineStr">
        <is>
          <t>小方老师的店</t>
        </is>
      </c>
      <c r="N779">
        <v>11000</v>
      </c>
      <c r="O779">
        <v>4.49</v>
      </c>
      <c r="P779">
        <v>8776</v>
      </c>
      <c r="Q779" t="inlineStr">
        <is>
          <t>64bb783ce779af0001cfc755</t>
        </is>
      </c>
      <c r="R779" t="inlineStr">
        <is>
          <t>🚫重复</t>
        </is>
      </c>
      <c r="S779" t="inlineStr">
        <is>
          <t>中小学教辅/教材</t>
        </is>
      </c>
      <c r="T779" t="inlineStr">
        <is>
          <t>0.80</t>
        </is>
      </c>
      <c r="U779" s="3">
        <v>46112.78107638889</v>
      </c>
      <c r="V779" t="inlineStr">
        <is>
          <t>虚拟产品</t>
        </is>
      </c>
      <c r="W779" s="3">
        <v>46035</v>
      </c>
      <c r="X779" t="inlineStr">
        <is>
          <t>01</t>
        </is>
      </c>
      <c r="Y779" t="inlineStr">
        <is>
          <t>2026-Q1</t>
        </is>
      </c>
    </row>
    <row r="780" ht="38.25" customHeight="1">
      <c r="A780" t="inlineStr">
        <is>
          <t>PPT模板任意选择一套（下单备注ppt名字）</t>
        </is>
      </c>
      <c r="B780" t="inlineStr">
        <is>
          <t>recv8ahsn2y0gZ.jpg</t>
        </is>
      </c>
      <c r="C780" s="2" t="str">
        <f>=HYPERLINK("https://xhslink.com/m/2Pii7MrrQIX", "https://xhslink.com/m/2Pii7MrrQIX")</f>
        <v>https://xhslink.com/m/2Pii7MrrQIX</v>
      </c>
      <c r="D780"/>
      <c r="E780">
        <v>8754</v>
      </c>
      <c r="F780">
        <v>4.99</v>
      </c>
      <c r="G780"/>
      <c r="H780"/>
      <c r="I780">
        <v>600</v>
      </c>
      <c r="J780"/>
      <c r="K780" t="inlineStr">
        <is>
          <t>课件</t>
        </is>
      </c>
      <c r="L780"/>
      <c r="M780" t="inlineStr">
        <is>
          <t>巧克力怪怪圈的店</t>
        </is>
      </c>
      <c r="N780">
        <v>7580</v>
      </c>
      <c r="O780">
        <v>4.63</v>
      </c>
      <c r="P780">
        <v>8897</v>
      </c>
      <c r="Q780" t="inlineStr">
        <is>
          <t>66fac8a92c57110001b5bc81</t>
        </is>
      </c>
      <c r="R780"/>
      <c r="S780" t="inlineStr">
        <is>
          <t>PPT模板</t>
        </is>
      </c>
      <c r="T780" t="inlineStr">
        <is>
          <t>1.15</t>
        </is>
      </c>
      <c r="U780" s="3">
        <v>46112.78107638889</v>
      </c>
      <c r="V780" t="inlineStr">
        <is>
          <t>虚拟产品</t>
        </is>
      </c>
      <c r="W780" s="3">
        <v>46035</v>
      </c>
      <c r="X780" t="inlineStr">
        <is>
          <t>01</t>
        </is>
      </c>
      <c r="Y780" t="inlineStr">
        <is>
          <t>2026-Q1</t>
        </is>
      </c>
    </row>
    <row r="781" ht="38.25" customHeight="1">
      <c r="A781" t="inlineStr">
        <is>
          <t>人美版美术课件任选一课（店铺目录内）</t>
        </is>
      </c>
      <c r="B781" t="inlineStr">
        <is>
          <t>recv8ahsn2BKmW.jpg</t>
        </is>
      </c>
      <c r="C781" s="2" t="str">
        <f>=HYPERLINK("https://xhslink.com/m/1EjoD4WMbNn", "https://xhslink.com/m/1EjoD4WMbNn")</f>
        <v>https://xhslink.com/m/1EjoD4WMbNn</v>
      </c>
      <c r="D781"/>
      <c r="E781">
        <v>8706</v>
      </c>
      <c r="F781">
        <v>8</v>
      </c>
      <c r="G781"/>
      <c r="H781"/>
      <c r="I781">
        <v>3000</v>
      </c>
      <c r="J781"/>
      <c r="K781" t="inlineStr">
        <is>
          <t>课件</t>
        </is>
      </c>
      <c r="L781"/>
      <c r="M781" t="inlineStr">
        <is>
          <t>一朵毛大球的店</t>
        </is>
      </c>
      <c r="N781">
        <v>16000</v>
      </c>
      <c r="O781">
        <v>4.29</v>
      </c>
      <c r="P781">
        <v>24000</v>
      </c>
      <c r="Q781" t="inlineStr">
        <is>
          <t>67a73af1f4fe140001751bc1</t>
        </is>
      </c>
      <c r="R781" t="inlineStr">
        <is>
          <t>🚫重复</t>
        </is>
      </c>
      <c r="S781" t="inlineStr">
        <is>
          <t>中小学教辅/教材</t>
        </is>
      </c>
      <c r="T781" t="inlineStr">
        <is>
          <t>0.54</t>
        </is>
      </c>
      <c r="U781" s="3">
        <v>46112.78107638889</v>
      </c>
      <c r="V781" t="inlineStr">
        <is>
          <t>虚拟产品</t>
        </is>
      </c>
      <c r="W781" s="3">
        <v>46035</v>
      </c>
      <c r="X781" t="inlineStr">
        <is>
          <t>01</t>
        </is>
      </c>
      <c r="Y781" t="inlineStr">
        <is>
          <t>2026-Q1</t>
        </is>
      </c>
    </row>
    <row r="782" ht="38.25" customHeight="1">
      <c r="A782" t="inlineStr">
        <is>
          <t>新版人教版小学数学一二三四五六年级上下册课件教案</t>
        </is>
      </c>
      <c r="B782" t="inlineStr">
        <is>
          <t>recv8ahsn2fmmI.jpg</t>
        </is>
      </c>
      <c r="C782" s="2" t="str">
        <f>=HYPERLINK("https://xhslink.com/m/5fD4HCCW5Lv", "https://xhslink.com/m/5fD4HCCW5Lv")</f>
        <v>https://xhslink.com/m/5fD4HCCW5Lv</v>
      </c>
      <c r="D782"/>
      <c r="E782">
        <v>8280</v>
      </c>
      <c r="F782">
        <v>6</v>
      </c>
      <c r="G782"/>
      <c r="H782"/>
      <c r="I782">
        <v>500</v>
      </c>
      <c r="J782"/>
      <c r="K782" t="inlineStr">
        <is>
          <t>课件</t>
        </is>
      </c>
      <c r="L782"/>
      <c r="M782" t="inlineStr">
        <is>
          <t>kk老师优质课的店</t>
        </is>
      </c>
      <c r="N782">
        <v>10000</v>
      </c>
      <c r="O782">
        <v>4.21</v>
      </c>
      <c r="P782">
        <v>28000</v>
      </c>
      <c r="Q782" t="inlineStr">
        <is>
          <t>677e95c3b7763f00018d2fab</t>
        </is>
      </c>
      <c r="R782" t="inlineStr">
        <is>
          <t>🚫重复</t>
        </is>
      </c>
      <c r="S782" t="inlineStr">
        <is>
          <t>中小学教辅/教材</t>
        </is>
      </c>
      <c r="T782" t="inlineStr">
        <is>
          <t>0.83</t>
        </is>
      </c>
      <c r="U782" s="3">
        <v>46112.78107638889</v>
      </c>
      <c r="V782" t="inlineStr">
        <is>
          <t>虚拟产品</t>
        </is>
      </c>
      <c r="W782" s="3">
        <v>46035</v>
      </c>
      <c r="X782" t="inlineStr">
        <is>
          <t>01</t>
        </is>
      </c>
      <c r="Y782" t="inlineStr">
        <is>
          <t>2026-Q1</t>
        </is>
      </c>
    </row>
    <row r="783" ht="38.25" customHeight="1">
      <c r="A783" t="inlineStr">
        <is>
          <t>2025新人教英语课件｜七上/七下/八上/八下｜单课时拍下请备注</t>
        </is>
      </c>
      <c r="B783" t="inlineStr">
        <is>
          <t>recv8ahsn2ETUS.jpg</t>
        </is>
      </c>
      <c r="C783" s="2" t="str">
        <f>=HYPERLINK("https://xhslink.com/m/938trNjUoh8", "https://xhslink.com/m/938trNjUoh8")</f>
        <v>https://xhslink.com/m/938trNjUoh8</v>
      </c>
      <c r="D783"/>
      <c r="E783">
        <v>6811</v>
      </c>
      <c r="F783">
        <v>30</v>
      </c>
      <c r="G783"/>
      <c r="H783"/>
      <c r="I783">
        <v>2000</v>
      </c>
      <c r="J783"/>
      <c r="K783" t="inlineStr">
        <is>
          <t>课件</t>
        </is>
      </c>
      <c r="L783"/>
      <c r="M783" t="inlineStr">
        <is>
          <t>Christina在努力的店</t>
        </is>
      </c>
      <c r="N783">
        <v>13000</v>
      </c>
      <c r="O783">
        <v>4.51</v>
      </c>
      <c r="P783">
        <v>25000</v>
      </c>
      <c r="Q783" t="inlineStr">
        <is>
          <t>69527047b8f0bb000101f47b</t>
        </is>
      </c>
      <c r="R783" t="inlineStr">
        <is>
          <t>🚫重复</t>
        </is>
      </c>
      <c r="S783" t="inlineStr">
        <is>
          <t>中小学教辅/教材</t>
        </is>
      </c>
      <c r="T783" t="inlineStr">
        <is>
          <t>0.52</t>
        </is>
      </c>
      <c r="U783" s="3">
        <v>46112.78107638889</v>
      </c>
      <c r="V783" t="inlineStr">
        <is>
          <t>虚拟产品</t>
        </is>
      </c>
      <c r="W783" s="3">
        <v>46035</v>
      </c>
      <c r="X783" t="inlineStr">
        <is>
          <t>01</t>
        </is>
      </c>
      <c r="Y783" t="inlineStr">
        <is>
          <t>2026-Q1</t>
        </is>
      </c>
    </row>
    <row r="784" ht="38.25" customHeight="1">
      <c r="A784" t="inlineStr">
        <is>
          <t>幼儿园大中小班优质公开课群丨舞蹈群丨幼小衔接丨微课群丨课件群</t>
        </is>
      </c>
      <c r="B784" t="inlineStr">
        <is>
          <t>recv8ahsn21Pi9.jpg</t>
        </is>
      </c>
      <c r="C784" s="2" t="str">
        <f>=HYPERLINK("https://xhslink.com/m/7eicsXBG5mv", "https://xhslink.com/m/7eicsXBG5mv")</f>
        <v>https://xhslink.com/m/7eicsXBG5mv</v>
      </c>
      <c r="D784"/>
      <c r="E784">
        <v>6301</v>
      </c>
      <c r="F784">
        <v>12.9</v>
      </c>
      <c r="G784"/>
      <c r="H784"/>
      <c r="I784">
        <v>600</v>
      </c>
      <c r="J784"/>
      <c r="K784" t="inlineStr">
        <is>
          <t>课件</t>
        </is>
      </c>
      <c r="L784" t="inlineStr">
        <is>
          <t>🔥低粉爆款</t>
        </is>
      </c>
      <c r="M784" t="inlineStr">
        <is>
          <t>七七教辅资料的店</t>
        </is>
      </c>
      <c r="N784">
        <v>1521</v>
      </c>
      <c r="O784">
        <v>4.42</v>
      </c>
      <c r="P784">
        <v>11000</v>
      </c>
      <c r="Q784" t="inlineStr">
        <is>
          <t>65e1c1710bb18600013e9d56</t>
        </is>
      </c>
      <c r="R784" t="inlineStr">
        <is>
          <t>🚫重复</t>
        </is>
      </c>
      <c r="S784" t="inlineStr">
        <is>
          <t>幼教资料</t>
        </is>
      </c>
      <c r="T784" t="inlineStr">
        <is>
          <t>4.14</t>
        </is>
      </c>
      <c r="U784" s="3">
        <v>46112.78107638889</v>
      </c>
      <c r="V784" t="inlineStr">
        <is>
          <t>虚拟产品</t>
        </is>
      </c>
      <c r="W784" s="3">
        <v>46035</v>
      </c>
      <c r="X784" t="inlineStr">
        <is>
          <t>01</t>
        </is>
      </c>
      <c r="Y784" t="inlineStr">
        <is>
          <t>2026-Q1</t>
        </is>
      </c>
    </row>
    <row r="785" ht="38.25" customHeight="1">
      <c r="A785" t="inlineStr">
        <is>
          <t>元旦联欢会（100页PPT）课件！元旦游戏，元旦课件</t>
        </is>
      </c>
      <c r="B785" t="inlineStr">
        <is>
          <t>recv8ahsn2xVd4.jpg</t>
        </is>
      </c>
      <c r="C785" s="2" t="str">
        <f>=HYPERLINK("https://xhslink.com/m/8jLLBzudkGs", "https://xhslink.com/m/8jLLBzudkGs")</f>
        <v>https://xhslink.com/m/8jLLBzudkGs</v>
      </c>
      <c r="D785"/>
      <c r="E785">
        <v>6025</v>
      </c>
      <c r="F785">
        <v>8.8</v>
      </c>
      <c r="G785"/>
      <c r="H785"/>
      <c r="I785">
        <v>6000</v>
      </c>
      <c r="J785"/>
      <c r="K785" t="inlineStr">
        <is>
          <t>课件</t>
        </is>
      </c>
      <c r="L785"/>
      <c r="M785" t="inlineStr">
        <is>
          <t>小兔子老师的课堂的店</t>
        </is>
      </c>
      <c r="N785">
        <v>5017</v>
      </c>
      <c r="O785">
        <v>4.14</v>
      </c>
      <c r="P785">
        <v>11000</v>
      </c>
      <c r="Q785" t="inlineStr">
        <is>
          <t>693a75d68b11d100015a1f68</t>
        </is>
      </c>
      <c r="R785" t="inlineStr">
        <is>
          <t>🚫重复</t>
        </is>
      </c>
      <c r="S785" t="inlineStr">
        <is>
          <t>PPT模板</t>
        </is>
      </c>
      <c r="T785" t="inlineStr">
        <is>
          <t>1.20</t>
        </is>
      </c>
      <c r="U785" s="3">
        <v>46112.78107638889</v>
      </c>
      <c r="V785" t="inlineStr">
        <is>
          <t>虚拟产品</t>
        </is>
      </c>
      <c r="W785" s="3">
        <v>46035</v>
      </c>
      <c r="X785" t="inlineStr">
        <is>
          <t>01</t>
        </is>
      </c>
      <c r="Y785" t="inlineStr">
        <is>
          <t>2026-Q1</t>
        </is>
      </c>
    </row>
    <row r="786" ht="38.25" customHeight="1">
      <c r="A786" t="inlineStr">
        <is>
          <t>人教版新教材1课时课件 请备注具体单元及课时否则无法及时发货</t>
        </is>
      </c>
      <c r="B786" t="inlineStr">
        <is>
          <t>recv8ahsn2GJxu.jpg</t>
        </is>
      </c>
      <c r="C786" s="2" t="str">
        <f>=HYPERLINK("https://xhslink.com/m/9kVyoI6g2sy", "https://xhslink.com/m/9kVyoI6g2sy")</f>
        <v>https://xhslink.com/m/9kVyoI6g2sy</v>
      </c>
      <c r="D786"/>
      <c r="E786">
        <v>5911</v>
      </c>
      <c r="F786">
        <v>15</v>
      </c>
      <c r="G786"/>
      <c r="H786"/>
      <c r="I786">
        <v>1000</v>
      </c>
      <c r="J786"/>
      <c r="K786" t="inlineStr">
        <is>
          <t>课件</t>
        </is>
      </c>
      <c r="L786"/>
      <c r="M786" t="inlineStr">
        <is>
          <t>Lydia2024的店</t>
        </is>
      </c>
      <c r="N786">
        <v>4709</v>
      </c>
      <c r="O786">
        <v>4.37</v>
      </c>
      <c r="P786">
        <v>10000</v>
      </c>
      <c r="Q786" t="inlineStr">
        <is>
          <t>666ec98cf7984c00012ea682</t>
        </is>
      </c>
      <c r="R786"/>
      <c r="S786" t="inlineStr">
        <is>
          <t>中小学教辅/教材</t>
        </is>
      </c>
      <c r="T786" t="inlineStr">
        <is>
          <t>1.26</t>
        </is>
      </c>
      <c r="U786" s="3">
        <v>46112.78107638889</v>
      </c>
      <c r="V786" t="inlineStr">
        <is>
          <t>虚拟产品</t>
        </is>
      </c>
      <c r="W786" s="3">
        <v>46035</v>
      </c>
      <c r="X786" t="inlineStr">
        <is>
          <t>01</t>
        </is>
      </c>
      <c r="Y786" t="inlineStr">
        <is>
          <t>2026-Q1</t>
        </is>
      </c>
    </row>
    <row r="787" ht="38.25" customHeight="1">
      <c r="A787" t="inlineStr">
        <is>
          <t>笔记中PPT模板系列1【已勾选好，默认付款发百度网盘下载链接】</t>
        </is>
      </c>
      <c r="B787" t="inlineStr">
        <is>
          <t>recv8ahsn2AXNc.jpg</t>
        </is>
      </c>
      <c r="C787" s="2" t="str">
        <f>=HYPERLINK("https://xhslink.com/m/12qoVcFIgbX", "https://xhslink.com/m/12qoVcFIgbX")</f>
        <v>https://xhslink.com/m/12qoVcFIgbX</v>
      </c>
      <c r="D787"/>
      <c r="E787">
        <v>5863</v>
      </c>
      <c r="F787">
        <v>3.98</v>
      </c>
      <c r="G787"/>
      <c r="H787"/>
      <c r="I787">
        <v>400</v>
      </c>
      <c r="J787"/>
      <c r="K787" t="inlineStr">
        <is>
          <t>课件</t>
        </is>
      </c>
      <c r="L787"/>
      <c r="M787" t="inlineStr">
        <is>
          <t>金老师PPT的店</t>
        </is>
      </c>
      <c r="N787">
        <v>11000</v>
      </c>
      <c r="O787">
        <v>4.36</v>
      </c>
      <c r="P787">
        <v>51000</v>
      </c>
      <c r="Q787" t="inlineStr">
        <is>
          <t>675f7149b9eb7500011a0ab1</t>
        </is>
      </c>
      <c r="R787" t="inlineStr">
        <is>
          <t>🚫重复</t>
        </is>
      </c>
      <c r="S787" t="inlineStr">
        <is>
          <t>PPT模板</t>
        </is>
      </c>
      <c r="T787" t="inlineStr">
        <is>
          <t>0.53</t>
        </is>
      </c>
      <c r="U787" s="3">
        <v>46112.78107638889</v>
      </c>
      <c r="V787" t="inlineStr">
        <is>
          <t>虚拟产品</t>
        </is>
      </c>
      <c r="W787" s="3">
        <v>46035</v>
      </c>
      <c r="X787" t="inlineStr">
        <is>
          <t>01</t>
        </is>
      </c>
      <c r="Y787" t="inlineStr">
        <is>
          <t>2026-Q1</t>
        </is>
      </c>
    </row>
    <row r="788" ht="38.25" customHeight="1">
      <c r="A788" t="inlineStr">
        <is>
          <t>1个ppt少儿创意美术课件</t>
        </is>
      </c>
      <c r="B788" t="inlineStr">
        <is>
          <t>recv8ahsn2PD6R.jpg</t>
        </is>
      </c>
      <c r="C788" s="2" t="str">
        <f>=HYPERLINK("https://xhslink.com/m/43KnI4lqd4Z", "https://xhslink.com/m/43KnI4lqd4Z")</f>
        <v>https://xhslink.com/m/43KnI4lqd4Z</v>
      </c>
      <c r="D788"/>
      <c r="E788">
        <v>5609</v>
      </c>
      <c r="F788">
        <v>3.6</v>
      </c>
      <c r="G788"/>
      <c r="H788"/>
      <c r="I788">
        <v>1000</v>
      </c>
      <c r="J788"/>
      <c r="K788" t="inlineStr">
        <is>
          <t>课件</t>
        </is>
      </c>
      <c r="L788" t="inlineStr">
        <is>
          <t>🔥低粉爆款</t>
        </is>
      </c>
      <c r="M788" t="inlineStr">
        <is>
          <t>美术铺的店</t>
        </is>
      </c>
      <c r="N788">
        <v>1018</v>
      </c>
      <c r="O788">
        <v>4.28</v>
      </c>
      <c r="P788">
        <v>5982</v>
      </c>
      <c r="Q788" t="inlineStr">
        <is>
          <t>6778ed54568edd0001c49a5d</t>
        </is>
      </c>
      <c r="R788"/>
      <c r="S788" t="inlineStr">
        <is>
          <t>PPT模板</t>
        </is>
      </c>
      <c r="T788" t="inlineStr">
        <is>
          <t>5.51</t>
        </is>
      </c>
      <c r="U788" s="3">
        <v>46112.78107638889</v>
      </c>
      <c r="V788" t="inlineStr">
        <is>
          <t>虚拟产品</t>
        </is>
      </c>
      <c r="W788" s="3">
        <v>46035</v>
      </c>
      <c r="X788" t="inlineStr">
        <is>
          <t>01</t>
        </is>
      </c>
      <c r="Y788" t="inlineStr">
        <is>
          <t>2026-Q1</t>
        </is>
      </c>
    </row>
    <row r="789" ht="38.25" customHeight="1">
      <c r="A789" t="inlineStr">
        <is>
          <t>教研培训专属，拍时注意规格中的课件名称，选自己需要的那一个</t>
        </is>
      </c>
      <c r="B789" t="inlineStr">
        <is>
          <t>recv8ahsn2xMm2.jpg</t>
        </is>
      </c>
      <c r="C789" s="2" t="str">
        <f>=HYPERLINK("https://xhslink.com/m/ARCamHLaucq", "https://xhslink.com/m/ARCamHLaucq")</f>
        <v>https://xhslink.com/m/ARCamHLaucq</v>
      </c>
      <c r="D789"/>
      <c r="E789">
        <v>5207</v>
      </c>
      <c r="F789">
        <v>10.9</v>
      </c>
      <c r="G789"/>
      <c r="H789"/>
      <c r="I789">
        <v>700</v>
      </c>
      <c r="J789"/>
      <c r="K789" t="inlineStr">
        <is>
          <t>课件</t>
        </is>
      </c>
      <c r="L789"/>
      <c r="M789" t="inlineStr">
        <is>
          <t>幼教木木子的店</t>
        </is>
      </c>
      <c r="N789">
        <v>4581</v>
      </c>
      <c r="O789">
        <v>4.31</v>
      </c>
      <c r="P789">
        <v>10000</v>
      </c>
      <c r="Q789" t="inlineStr">
        <is>
          <t>68aa60a2acb11600017286dc</t>
        </is>
      </c>
      <c r="R789" t="inlineStr">
        <is>
          <t>🚫重复</t>
        </is>
      </c>
      <c r="S789" t="inlineStr">
        <is>
          <t>中小学教辅/教材</t>
        </is>
      </c>
      <c r="T789" t="inlineStr">
        <is>
          <t>1.14</t>
        </is>
      </c>
      <c r="U789" s="3">
        <v>46112.78107638889</v>
      </c>
      <c r="V789" t="inlineStr">
        <is>
          <t>虚拟产品</t>
        </is>
      </c>
      <c r="W789" s="3">
        <v>46035</v>
      </c>
      <c r="X789" t="inlineStr">
        <is>
          <t>01</t>
        </is>
      </c>
      <c r="Y789" t="inlineStr">
        <is>
          <t>2026-Q1</t>
        </is>
      </c>
    </row>
    <row r="790" ht="38.25" customHeight="1">
      <c r="A790" t="inlineStr">
        <is>
          <t>2025 新外研社七上 七下Aria课件（默认发2025版）</t>
        </is>
      </c>
      <c r="B790" t="inlineStr">
        <is>
          <t>recv8ahsn2m1FZ.jpg</t>
        </is>
      </c>
      <c r="C790" s="2" t="str">
        <f>=HYPERLINK("https://xhslink.com/m/8vpqr7NlgAE", "https://xhslink.com/m/8vpqr7NlgAE")</f>
        <v>https://xhslink.com/m/8vpqr7NlgAE</v>
      </c>
      <c r="D790"/>
      <c r="E790">
        <v>5079</v>
      </c>
      <c r="F790">
        <v>15</v>
      </c>
      <c r="G790"/>
      <c r="H790"/>
      <c r="I790">
        <v>600</v>
      </c>
      <c r="J790"/>
      <c r="K790" t="inlineStr">
        <is>
          <t>课件</t>
        </is>
      </c>
      <c r="L790"/>
      <c r="M790" t="inlineStr">
        <is>
          <t>Aria 英语课件的店</t>
        </is>
      </c>
      <c r="N790">
        <v>4241</v>
      </c>
      <c r="O790">
        <v>4.57</v>
      </c>
      <c r="P790">
        <v>10000</v>
      </c>
      <c r="Q790" t="inlineStr">
        <is>
          <t>673dac12fbf30800018eaf14</t>
        </is>
      </c>
      <c r="R790"/>
      <c r="S790" t="inlineStr">
        <is>
          <t>中小学教辅/教材</t>
        </is>
      </c>
      <c r="T790" t="inlineStr">
        <is>
          <t>1.20</t>
        </is>
      </c>
      <c r="U790" s="3">
        <v>46112.78107638889</v>
      </c>
      <c r="V790" t="inlineStr">
        <is>
          <t>虚拟产品</t>
        </is>
      </c>
      <c r="W790" s="3">
        <v>46035</v>
      </c>
      <c r="X790" t="inlineStr">
        <is>
          <t>01</t>
        </is>
      </c>
      <c r="Y790" t="inlineStr">
        <is>
          <t>2026-Q1</t>
        </is>
      </c>
    </row>
    <row r="791" ht="38.25" customHeight="1">
      <c r="A791" t="inlineStr">
        <is>
          <t>公开课单节资料（完整教学视频、ppt课件、教案）下单请备注</t>
        </is>
      </c>
      <c r="B791" t="inlineStr">
        <is>
          <t>recv8ahsn2QW82.jpg</t>
        </is>
      </c>
      <c r="C791" s="2" t="str">
        <f>=HYPERLINK("https://xhslink.com/m/A8LhkVe0oh6", "https://xhslink.com/m/A8LhkVe0oh6")</f>
        <v>https://xhslink.com/m/A8LhkVe0oh6</v>
      </c>
      <c r="D791"/>
      <c r="E791">
        <v>4982</v>
      </c>
      <c r="F791">
        <v>10</v>
      </c>
      <c r="G791"/>
      <c r="H791"/>
      <c r="I791">
        <v>1000</v>
      </c>
      <c r="J791"/>
      <c r="K791" t="inlineStr">
        <is>
          <t>课件</t>
        </is>
      </c>
      <c r="L791"/>
      <c r="M791" t="inlineStr">
        <is>
          <t>优质故事、公开课的店</t>
        </is>
      </c>
      <c r="N791">
        <v>12000</v>
      </c>
      <c r="O791">
        <v>4.48</v>
      </c>
      <c r="P791">
        <v>5216</v>
      </c>
      <c r="Q791" t="inlineStr">
        <is>
          <t>67072c214cd28900010a7af4</t>
        </is>
      </c>
      <c r="R791"/>
      <c r="S791" t="inlineStr">
        <is>
          <t>老师资料</t>
        </is>
      </c>
      <c r="T791" t="inlineStr">
        <is>
          <t>0.42</t>
        </is>
      </c>
      <c r="U791" s="3">
        <v>46112.78107638889</v>
      </c>
      <c r="V791" t="inlineStr">
        <is>
          <t>虚拟产品</t>
        </is>
      </c>
      <c r="W791" s="3">
        <v>46035</v>
      </c>
      <c r="X791" t="inlineStr">
        <is>
          <t>01</t>
        </is>
      </c>
      <c r="Y791" t="inlineStr">
        <is>
          <t>2026-Q1</t>
        </is>
      </c>
    </row>
    <row r="792" ht="38.25" customHeight="1">
      <c r="A792" t="inlineStr">
        <is>
          <t>幼儿园五大领域小中大优质公开课（笔记同款）</t>
        </is>
      </c>
      <c r="B792" t="inlineStr">
        <is>
          <t>recv8ahsn2rVBk.jpg</t>
        </is>
      </c>
      <c r="C792" s="2" t="str">
        <f>=HYPERLINK("https://xhslink.com/m/5MD0H4UEhM2", "https://xhslink.com/m/5MD0H4UEhM2")</f>
        <v>https://xhslink.com/m/5MD0H4UEhM2</v>
      </c>
      <c r="D792"/>
      <c r="E792">
        <v>4826</v>
      </c>
      <c r="F792">
        <v>6.6</v>
      </c>
      <c r="G792"/>
      <c r="H792"/>
      <c r="I792">
        <v>1000</v>
      </c>
      <c r="J792"/>
      <c r="K792" t="inlineStr">
        <is>
          <t>课件</t>
        </is>
      </c>
      <c r="L792"/>
      <c r="M792" t="inlineStr">
        <is>
          <t>小杨幼教教辅的店</t>
        </is>
      </c>
      <c r="N792">
        <v>3005</v>
      </c>
      <c r="O792">
        <v>4</v>
      </c>
      <c r="P792">
        <v>5792</v>
      </c>
      <c r="Q792" t="inlineStr">
        <is>
          <t>6739c2d8ec68d7000102cffe</t>
        </is>
      </c>
      <c r="R792"/>
      <c r="S792" t="inlineStr">
        <is>
          <t>幼教资料</t>
        </is>
      </c>
      <c r="T792" t="inlineStr">
        <is>
          <t>1.61</t>
        </is>
      </c>
      <c r="U792" s="3">
        <v>46112.78107638889</v>
      </c>
      <c r="V792" t="inlineStr">
        <is>
          <t>虚拟产品</t>
        </is>
      </c>
      <c r="W792" s="3">
        <v>46035</v>
      </c>
      <c r="X792" t="inlineStr">
        <is>
          <t>01</t>
        </is>
      </c>
      <c r="Y792" t="inlineStr">
        <is>
          <t>2026-Q1</t>
        </is>
      </c>
    </row>
    <row r="793" ht="38.25" customHeight="1">
      <c r="A793" t="inlineStr">
        <is>
          <t>人美版二到六年级上册美术课件任选一课（拍下备注课题）</t>
        </is>
      </c>
      <c r="B793" t="inlineStr">
        <is>
          <t>recv8ahsn2R2AW.jpg</t>
        </is>
      </c>
      <c r="C793" s="2" t="str">
        <f>=HYPERLINK("https://xhslink.com/m/631ZuRkIep2", "https://xhslink.com/m/631ZuRkIep2")</f>
        <v>https://xhslink.com/m/631ZuRkIep2</v>
      </c>
      <c r="D793"/>
      <c r="E793">
        <v>4700</v>
      </c>
      <c r="F793">
        <v>8</v>
      </c>
      <c r="G793"/>
      <c r="H793"/>
      <c r="I793">
        <v>500</v>
      </c>
      <c r="J793"/>
      <c r="K793" t="inlineStr">
        <is>
          <t>课件</t>
        </is>
      </c>
      <c r="L793"/>
      <c r="M793" t="inlineStr">
        <is>
          <t>一朵毛大球的店</t>
        </is>
      </c>
      <c r="N793">
        <v>16000</v>
      </c>
      <c r="O793">
        <v>4.29</v>
      </c>
      <c r="P793">
        <v>24000</v>
      </c>
      <c r="Q793" t="inlineStr">
        <is>
          <t>66d5d391478d7300016095d8</t>
        </is>
      </c>
      <c r="R793" t="inlineStr">
        <is>
          <t>🚫重复</t>
        </is>
      </c>
      <c r="S793" t="inlineStr">
        <is>
          <t>中小学教辅/教材</t>
        </is>
      </c>
      <c r="T793" t="inlineStr">
        <is>
          <t>0.29</t>
        </is>
      </c>
      <c r="U793" s="3">
        <v>46112.78107638889</v>
      </c>
      <c r="V793" t="inlineStr">
        <is>
          <t>虚拟产品</t>
        </is>
      </c>
      <c r="W793" s="3">
        <v>46035</v>
      </c>
      <c r="X793" t="inlineStr">
        <is>
          <t>01</t>
        </is>
      </c>
      <c r="Y793" t="inlineStr">
        <is>
          <t>2026-Q1</t>
        </is>
      </c>
    </row>
    <row r="794" ht="38.25" customHeight="1">
      <c r="A794" t="inlineStr">
        <is>
          <t>笔记同款主题班会PPT课件+讲稿+教案中小学主题班队会</t>
        </is>
      </c>
      <c r="B794" t="inlineStr">
        <is>
          <t>recv8ahsn2y8oH.jpg</t>
        </is>
      </c>
      <c r="C794" s="2" t="str">
        <f>=HYPERLINK("https://xhslink.com/m/6U7U8NpdBjX", "https://xhslink.com/m/6U7U8NpdBjX")</f>
        <v>https://xhslink.com/m/6U7U8NpdBjX</v>
      </c>
      <c r="D794"/>
      <c r="E794">
        <v>4527</v>
      </c>
      <c r="F794">
        <v>8.9</v>
      </c>
      <c r="G794"/>
      <c r="H794"/>
      <c r="I794">
        <v>4000</v>
      </c>
      <c r="J794"/>
      <c r="K794" t="inlineStr">
        <is>
          <t>课件</t>
        </is>
      </c>
      <c r="L794" t="inlineStr">
        <is>
          <t>🔥低粉爆款</t>
        </is>
      </c>
      <c r="M794" t="inlineStr">
        <is>
          <t>米老师PPT的店</t>
        </is>
      </c>
      <c r="N794">
        <v>1161</v>
      </c>
      <c r="O794">
        <v>4.32</v>
      </c>
      <c r="P794">
        <v>11000</v>
      </c>
      <c r="Q794" t="inlineStr">
        <is>
          <t>692d1ffb4977f300015592fe</t>
        </is>
      </c>
      <c r="R794" t="inlineStr">
        <is>
          <t>🚫重复</t>
        </is>
      </c>
      <c r="S794" t="inlineStr">
        <is>
          <t>中小学教辅/教材</t>
        </is>
      </c>
      <c r="T794" t="inlineStr">
        <is>
          <t>3.90</t>
        </is>
      </c>
      <c r="U794" s="3">
        <v>46112.78107638889</v>
      </c>
      <c r="V794" t="inlineStr">
        <is>
          <t>虚拟产品</t>
        </is>
      </c>
      <c r="W794" s="3">
        <v>46035</v>
      </c>
      <c r="X794" t="inlineStr">
        <is>
          <t>01</t>
        </is>
      </c>
      <c r="Y794" t="inlineStr">
        <is>
          <t>2026-Q1</t>
        </is>
      </c>
    </row>
    <row r="795" ht="38.25" customHeight="1">
      <c r="A795" t="inlineStr">
        <is>
          <t>七年级道法上册新教材单个课时（PPT+教学设计）</t>
        </is>
      </c>
      <c r="B795" t="inlineStr">
        <is>
          <t>recv8ahsn2SzFx.jpg</t>
        </is>
      </c>
      <c r="C795" s="2" t="str">
        <f>=HYPERLINK("https://xhslink.com/m/sR122XArnK", "https://xhslink.com/m/sR122XArnK")</f>
        <v>https://xhslink.com/m/sR122XArnK</v>
      </c>
      <c r="D795"/>
      <c r="E795">
        <v>4460</v>
      </c>
      <c r="F795">
        <v>9.9</v>
      </c>
      <c r="G795"/>
      <c r="H795"/>
      <c r="I795">
        <v>1000</v>
      </c>
      <c r="J795"/>
      <c r="K795" t="inlineStr">
        <is>
          <t>课件</t>
        </is>
      </c>
      <c r="L795"/>
      <c r="M795" t="inlineStr">
        <is>
          <t>Lucky兔老师的店</t>
        </is>
      </c>
      <c r="N795">
        <v>2028</v>
      </c>
      <c r="O795">
        <v>4.32</v>
      </c>
      <c r="P795">
        <v>13000</v>
      </c>
      <c r="Q795" t="inlineStr">
        <is>
          <t>685358d093d0780001fe2dea</t>
        </is>
      </c>
      <c r="R795" t="inlineStr">
        <is>
          <t>🚫重复</t>
        </is>
      </c>
      <c r="S795" t="inlineStr">
        <is>
          <t>中小学教辅/教材</t>
        </is>
      </c>
      <c r="T795" t="inlineStr">
        <is>
          <t>2.20</t>
        </is>
      </c>
      <c r="U795" s="3">
        <v>46112.78107638889</v>
      </c>
      <c r="V795" t="inlineStr">
        <is>
          <t>虚拟产品</t>
        </is>
      </c>
      <c r="W795" s="3">
        <v>46035</v>
      </c>
      <c r="X795" t="inlineStr">
        <is>
          <t>01</t>
        </is>
      </c>
      <c r="Y795" t="inlineStr">
        <is>
          <t>2026-Q1</t>
        </is>
      </c>
    </row>
    <row r="796" ht="38.25" customHeight="1">
      <c r="A796" t="inlineStr">
        <is>
          <t>秋季开学家长会（语文）笔记同款！</t>
        </is>
      </c>
      <c r="B796" t="inlineStr">
        <is>
          <t>recv8ahsn2RtXN.jpg</t>
        </is>
      </c>
      <c r="C796" s="2" t="str">
        <f>=HYPERLINK("https://xhslink.com/m/7nlWiagWyRC", "https://xhslink.com/m/7nlWiagWyRC")</f>
        <v>https://xhslink.com/m/7nlWiagWyRC</v>
      </c>
      <c r="D796"/>
      <c r="E796">
        <v>4372</v>
      </c>
      <c r="F796">
        <v>9.9</v>
      </c>
      <c r="G796"/>
      <c r="H796"/>
      <c r="I796">
        <v>1000</v>
      </c>
      <c r="J796"/>
      <c r="K796" t="inlineStr">
        <is>
          <t>课件</t>
        </is>
      </c>
      <c r="L796"/>
      <c r="M796" t="inlineStr">
        <is>
          <t>小鹿伢的店</t>
        </is>
      </c>
      <c r="N796">
        <v>17000</v>
      </c>
      <c r="O796">
        <v>4.05</v>
      </c>
      <c r="P796">
        <v>66000</v>
      </c>
      <c r="Q796" t="inlineStr">
        <is>
          <t>68a067325e17a70001077865</t>
        </is>
      </c>
      <c r="R796" t="inlineStr">
        <is>
          <t>🚫重复</t>
        </is>
      </c>
      <c r="S796" t="inlineStr">
        <is>
          <t>老师资料</t>
        </is>
      </c>
      <c r="T796" t="inlineStr">
        <is>
          <t>0.26</t>
        </is>
      </c>
      <c r="U796" s="3">
        <v>46112.78107638889</v>
      </c>
      <c r="V796" t="inlineStr">
        <is>
          <t>虚拟产品</t>
        </is>
      </c>
      <c r="W796" s="3">
        <v>46035</v>
      </c>
      <c r="X796" t="inlineStr">
        <is>
          <t>01</t>
        </is>
      </c>
      <c r="Y796" t="inlineStr">
        <is>
          <t>2026-Q1</t>
        </is>
      </c>
    </row>
    <row r="797" ht="38.25" customHeight="1">
      <c r="A797" t="inlineStr">
        <is>
          <t>2025最新高中政治必修一课件中国特色社会主义课件逐字稿教学设计</t>
        </is>
      </c>
      <c r="B797" t="inlineStr">
        <is>
          <t>recv8ahsn2PZHc.jpg</t>
        </is>
      </c>
      <c r="C797" s="2" t="str">
        <f>=HYPERLINK("https://xhslink.com/m/2fitjnW6det", "https://xhslink.com/m/2fitjnW6det")</f>
        <v>https://xhslink.com/m/2fitjnW6det</v>
      </c>
      <c r="D797"/>
      <c r="E797">
        <v>4344</v>
      </c>
      <c r="F797">
        <v>3</v>
      </c>
      <c r="G797"/>
      <c r="H797"/>
      <c r="I797">
        <v>1000</v>
      </c>
      <c r="J797"/>
      <c r="K797" t="inlineStr">
        <is>
          <t>课件</t>
        </is>
      </c>
      <c r="L797"/>
      <c r="M797" t="inlineStr">
        <is>
          <t>一起学政治的店</t>
        </is>
      </c>
      <c r="N797">
        <v>9300</v>
      </c>
      <c r="O797">
        <v>4.18</v>
      </c>
      <c r="P797">
        <v>18000</v>
      </c>
      <c r="Q797" t="inlineStr">
        <is>
          <t>68a5dceedb7e430001ec3af4</t>
        </is>
      </c>
      <c r="R797" t="inlineStr">
        <is>
          <t>🚫重复</t>
        </is>
      </c>
      <c r="S797" t="inlineStr">
        <is>
          <t>中小学教辅/教材</t>
        </is>
      </c>
      <c r="T797" t="inlineStr">
        <is>
          <t>0.47</t>
        </is>
      </c>
      <c r="U797" s="3">
        <v>46112.78107638889</v>
      </c>
      <c r="V797" t="inlineStr">
        <is>
          <t>虚拟产品</t>
        </is>
      </c>
      <c r="W797" s="3">
        <v>46035</v>
      </c>
      <c r="X797" t="inlineStr">
        <is>
          <t>01</t>
        </is>
      </c>
      <c r="Y797" t="inlineStr">
        <is>
          <t>2026-Q1</t>
        </is>
      </c>
    </row>
    <row r="798" ht="38.25" customHeight="1">
      <c r="A798" t="inlineStr">
        <is>
          <t>点这里购买！精致课件和教案</t>
        </is>
      </c>
      <c r="B798" t="inlineStr">
        <is>
          <t>recv8ahsn2L4Zf.jpg</t>
        </is>
      </c>
      <c r="C798" s="2" t="str">
        <f>=HYPERLINK("https://xhslink.com/m/2pk3AazJMHY", "https://xhslink.com/m/2pk3AazJMHY")</f>
        <v>https://xhslink.com/m/2pk3AazJMHY</v>
      </c>
      <c r="D798"/>
      <c r="E798">
        <v>4082</v>
      </c>
      <c r="F798">
        <v>0.3</v>
      </c>
      <c r="G798"/>
      <c r="H798"/>
      <c r="I798">
        <v>400</v>
      </c>
      <c r="J798"/>
      <c r="K798" t="inlineStr">
        <is>
          <t>课件</t>
        </is>
      </c>
      <c r="L798"/>
      <c r="M798" t="inlineStr">
        <is>
          <t>乔乔老师is me的店</t>
        </is>
      </c>
      <c r="N798">
        <v>3706</v>
      </c>
      <c r="O798">
        <v>4.05</v>
      </c>
      <c r="P798">
        <v>4102</v>
      </c>
      <c r="Q798" t="inlineStr">
        <is>
          <t>66497b1ffa6f2900019f685f</t>
        </is>
      </c>
      <c r="R798"/>
      <c r="S798" t="inlineStr">
        <is>
          <t>中小学教辅/教材</t>
        </is>
      </c>
      <c r="T798" t="inlineStr">
        <is>
          <t>1.10</t>
        </is>
      </c>
      <c r="U798" s="3">
        <v>46112.78107638889</v>
      </c>
      <c r="V798" t="inlineStr">
        <is>
          <t>虚拟产品</t>
        </is>
      </c>
      <c r="W798" s="3">
        <v>46035</v>
      </c>
      <c r="X798" t="inlineStr">
        <is>
          <t>01</t>
        </is>
      </c>
      <c r="Y798" t="inlineStr">
        <is>
          <t>2026-Q1</t>
        </is>
      </c>
    </row>
    <row r="799" ht="38.25" customHeight="1">
      <c r="A799" t="inlineStr">
        <is>
          <t>【K20】25新版二上语文大单元任务群公开课课件+详细教案</t>
        </is>
      </c>
      <c r="B799" t="inlineStr">
        <is>
          <t>recv8ahsn2HTjf.jpg</t>
        </is>
      </c>
      <c r="C799" s="2" t="str">
        <f>=HYPERLINK("https://xhslink.com/m/4sSmNHea68o", "https://xhslink.com/m/4sSmNHea68o")</f>
        <v>https://xhslink.com/m/4sSmNHea68o</v>
      </c>
      <c r="D799"/>
      <c r="E799">
        <v>4064</v>
      </c>
      <c r="F799">
        <v>9.9</v>
      </c>
      <c r="G799"/>
      <c r="H799"/>
      <c r="I799">
        <v>2000</v>
      </c>
      <c r="J799"/>
      <c r="K799" t="inlineStr">
        <is>
          <t>课件</t>
        </is>
      </c>
      <c r="L799"/>
      <c r="M799" t="inlineStr">
        <is>
          <t>小雪老师的课堂的店</t>
        </is>
      </c>
      <c r="N799">
        <v>15000</v>
      </c>
      <c r="O799">
        <v>4.34</v>
      </c>
      <c r="P799">
        <v>80000</v>
      </c>
      <c r="Q799" t="inlineStr">
        <is>
          <t>6877069c22713e00011f0ff2</t>
        </is>
      </c>
      <c r="R799" t="inlineStr">
        <is>
          <t>🚫重复</t>
        </is>
      </c>
      <c r="S799" t="inlineStr">
        <is>
          <t>中小学教辅/教材</t>
        </is>
      </c>
      <c r="T799" t="inlineStr">
        <is>
          <t>0.27</t>
        </is>
      </c>
      <c r="U799" s="3">
        <v>46112.78107638889</v>
      </c>
      <c r="V799" t="inlineStr">
        <is>
          <t>虚拟产品</t>
        </is>
      </c>
      <c r="W799" s="3">
        <v>46035</v>
      </c>
      <c r="X799" t="inlineStr">
        <is>
          <t>01</t>
        </is>
      </c>
      <c r="Y799" t="inlineStr">
        <is>
          <t>2026-Q1</t>
        </is>
      </c>
    </row>
    <row r="800" ht="38.25" customHeight="1">
      <c r="A800" t="inlineStr">
        <is>
          <t>请备注哪一课！！！美术精品课件ppt+教案（1节课)</t>
        </is>
      </c>
      <c r="B800" t="inlineStr">
        <is>
          <t>recv8ahsn2tnVk.jpg</t>
        </is>
      </c>
      <c r="C800" s="2" t="str">
        <f>=HYPERLINK("https://xhslink.com/m/4XlTwQIgtwx", "https://xhslink.com/m/4XlTwQIgtwx")</f>
        <v>https://xhslink.com/m/4XlTwQIgtwx</v>
      </c>
      <c r="D800"/>
      <c r="E800">
        <v>3906</v>
      </c>
      <c r="F800">
        <v>9.9</v>
      </c>
      <c r="G800"/>
      <c r="H800"/>
      <c r="I800">
        <v>500</v>
      </c>
      <c r="J800"/>
      <c r="K800" t="inlineStr">
        <is>
          <t>课件</t>
        </is>
      </c>
      <c r="L800"/>
      <c r="M800" t="inlineStr">
        <is>
          <t>画画的小顺（店铺下单）的店</t>
        </is>
      </c>
      <c r="N800">
        <v>6113</v>
      </c>
      <c r="O800">
        <v>4.49</v>
      </c>
      <c r="P800">
        <v>22000</v>
      </c>
      <c r="Q800" t="inlineStr">
        <is>
          <t>665af6d0a29a700001ceab0e</t>
        </is>
      </c>
      <c r="R800" t="inlineStr">
        <is>
          <t>🚫重复</t>
        </is>
      </c>
      <c r="S800" t="inlineStr">
        <is>
          <t>PPT模板</t>
        </is>
      </c>
      <c r="T800" t="inlineStr">
        <is>
          <t>0.64</t>
        </is>
      </c>
      <c r="U800" s="3">
        <v>46112.78107638889</v>
      </c>
      <c r="V800" t="inlineStr">
        <is>
          <t>虚拟产品</t>
        </is>
      </c>
      <c r="W800" s="3">
        <v>46035</v>
      </c>
      <c r="X800" t="inlineStr">
        <is>
          <t>01</t>
        </is>
      </c>
      <c r="Y800" t="inlineStr">
        <is>
          <t>2026-Q1</t>
        </is>
      </c>
    </row>
    <row r="801" ht="38.25" customHeight="1">
      <c r="A801" t="inlineStr">
        <is>
          <t>此商品可兑换笔记中任何（单个课件和教案），请拍这个。</t>
        </is>
      </c>
      <c r="B801" t="inlineStr">
        <is>
          <t>recv8ahsn2zMCN.jpg</t>
        </is>
      </c>
      <c r="C801" s="2" t="str">
        <f>=HYPERLINK("https://xhslink.com/m/A2GCxHEL8sg", "https://xhslink.com/m/A2GCxHEL8sg")</f>
        <v>https://xhslink.com/m/A2GCxHEL8sg</v>
      </c>
      <c r="D801"/>
      <c r="E801">
        <v>3889</v>
      </c>
      <c r="F801">
        <v>4.99</v>
      </c>
      <c r="G801"/>
      <c r="H801"/>
      <c r="I801">
        <v>600</v>
      </c>
      <c r="J801"/>
      <c r="K801" t="inlineStr">
        <is>
          <t>课件</t>
        </is>
      </c>
      <c r="L801"/>
      <c r="M801" t="inlineStr">
        <is>
          <t>教语文的亮亮老师的店</t>
        </is>
      </c>
      <c r="N801">
        <v>7672</v>
      </c>
      <c r="O801">
        <v>4.34</v>
      </c>
      <c r="P801">
        <v>6411</v>
      </c>
      <c r="Q801" t="inlineStr">
        <is>
          <t>663b7fbb99467b0001782a07</t>
        </is>
      </c>
      <c r="R801"/>
      <c r="S801" t="inlineStr">
        <is>
          <t>中小学教辅/教材</t>
        </is>
      </c>
      <c r="T801" t="inlineStr">
        <is>
          <t>0.51</t>
        </is>
      </c>
      <c r="U801" s="3">
        <v>46112.78107638889</v>
      </c>
      <c r="V801" t="inlineStr">
        <is>
          <t>虚拟产品</t>
        </is>
      </c>
      <c r="W801" s="3">
        <v>46035</v>
      </c>
      <c r="X801" t="inlineStr">
        <is>
          <t>01</t>
        </is>
      </c>
      <c r="Y801" t="inlineStr">
        <is>
          <t>2026-Q1</t>
        </is>
      </c>
    </row>
    <row r="802" ht="38.25" customHeight="1">
      <c r="A802" t="inlineStr">
        <is>
          <t>2025年最新高中政治必修二《经济与社会》课件｜教学设计｜逐字稿</t>
        </is>
      </c>
      <c r="B802" t="inlineStr">
        <is>
          <t>recv8ahsn2TXct.jpg</t>
        </is>
      </c>
      <c r="C802" s="2" t="str">
        <f>=HYPERLINK("https://xhslink.com/m/1ObI5jeFxG0", "https://xhslink.com/m/1ObI5jeFxG0")</f>
        <v>https://xhslink.com/m/1ObI5jeFxG0</v>
      </c>
      <c r="D802"/>
      <c r="E802">
        <v>3876</v>
      </c>
      <c r="F802">
        <v>3</v>
      </c>
      <c r="G802"/>
      <c r="H802"/>
      <c r="I802">
        <v>2000</v>
      </c>
      <c r="J802"/>
      <c r="K802" t="inlineStr">
        <is>
          <t>课件</t>
        </is>
      </c>
      <c r="L802"/>
      <c r="M802" t="inlineStr">
        <is>
          <t>一起学政治的店</t>
        </is>
      </c>
      <c r="N802">
        <v>9300</v>
      </c>
      <c r="O802">
        <v>4.18</v>
      </c>
      <c r="P802">
        <v>18000</v>
      </c>
      <c r="Q802" t="inlineStr">
        <is>
          <t>690dc287f73ffe0001a15eb3</t>
        </is>
      </c>
      <c r="R802" t="inlineStr">
        <is>
          <t>🚫重复</t>
        </is>
      </c>
      <c r="S802" t="inlineStr">
        <is>
          <t>中小学教辅/教材</t>
        </is>
      </c>
      <c r="T802" t="inlineStr">
        <is>
          <t>0.42</t>
        </is>
      </c>
      <c r="U802" s="3">
        <v>46112.78107638889</v>
      </c>
      <c r="V802" t="inlineStr">
        <is>
          <t>虚拟产品</t>
        </is>
      </c>
      <c r="W802" s="3">
        <v>46035</v>
      </c>
      <c r="X802" t="inlineStr">
        <is>
          <t>01</t>
        </is>
      </c>
      <c r="Y802" t="inlineStr">
        <is>
          <t>2026-Q1</t>
        </is>
      </c>
    </row>
    <row r="803" ht="38.25" customHeight="1">
      <c r="A803" t="inlineStr">
        <is>
          <t>2025秋四年级上册语文各个单元的链接课件教案（请勿外传）</t>
        </is>
      </c>
      <c r="B803" t="inlineStr">
        <is>
          <t>recv8ahsn23eWa.jpg</t>
        </is>
      </c>
      <c r="C803" s="2" t="str">
        <f>=HYPERLINK("https://xhslink.com/m/4z2k106PO3J", "https://xhslink.com/m/4z2k106PO3J")</f>
        <v>https://xhslink.com/m/4z2k106PO3J</v>
      </c>
      <c r="D803"/>
      <c r="E803">
        <v>3783</v>
      </c>
      <c r="F803">
        <v>20</v>
      </c>
      <c r="G803"/>
      <c r="H803"/>
      <c r="I803">
        <v>1000</v>
      </c>
      <c r="J803"/>
      <c r="K803" t="inlineStr">
        <is>
          <t>课件</t>
        </is>
      </c>
      <c r="L803"/>
      <c r="M803" t="inlineStr">
        <is>
          <t>想躺平的李老师的店</t>
        </is>
      </c>
      <c r="N803">
        <v>65000</v>
      </c>
      <c r="O803">
        <v>4.36</v>
      </c>
      <c r="P803">
        <v>78000</v>
      </c>
      <c r="Q803" t="inlineStr">
        <is>
          <t>686769c3afc5ca0001bcfbdd</t>
        </is>
      </c>
      <c r="R803" t="inlineStr">
        <is>
          <t>🚫重复</t>
        </is>
      </c>
      <c r="S803" t="inlineStr">
        <is>
          <t>中小学教辅/教材</t>
        </is>
      </c>
      <c r="T803" t="inlineStr">
        <is>
          <t>0.06</t>
        </is>
      </c>
      <c r="U803" s="3">
        <v>46112.78107638889</v>
      </c>
      <c r="V803" t="inlineStr">
        <is>
          <t>虚拟产品</t>
        </is>
      </c>
      <c r="W803" s="3">
        <v>46035</v>
      </c>
      <c r="X803" t="inlineStr">
        <is>
          <t>01</t>
        </is>
      </c>
      <c r="Y803" t="inlineStr">
        <is>
          <t>2026-Q1</t>
        </is>
      </c>
    </row>
    <row r="804" ht="38.25" customHeight="1">
      <c r="A804" t="inlineStr">
        <is>
          <t>趣味闯关游戏成品PPT模板课堂互动情境教学课件答题主题素材</t>
        </is>
      </c>
      <c r="B804" t="inlineStr">
        <is>
          <t>recv8ahsn2WadJ.jpg</t>
        </is>
      </c>
      <c r="C804" s="2" t="str">
        <f>=HYPERLINK("https://xhslink.com/m/2JRsQf6OYh", "https://xhslink.com/m/2JRsQf6OYh")</f>
        <v>https://xhslink.com/m/2JRsQf6OYh</v>
      </c>
      <c r="D804"/>
      <c r="E804">
        <v>3703</v>
      </c>
      <c r="F804">
        <v>1</v>
      </c>
      <c r="G804"/>
      <c r="H804"/>
      <c r="I804">
        <v>900</v>
      </c>
      <c r="J804"/>
      <c r="K804" t="inlineStr">
        <is>
          <t>课件</t>
        </is>
      </c>
      <c r="L804"/>
      <c r="M804" t="inlineStr">
        <is>
          <t>中小学教学资料库的店</t>
        </is>
      </c>
      <c r="N804">
        <v>3077</v>
      </c>
      <c r="O804">
        <v>4.33</v>
      </c>
      <c r="P804">
        <v>15000</v>
      </c>
      <c r="Q804" t="inlineStr">
        <is>
          <t>67bc2933f65889000120564a</t>
        </is>
      </c>
      <c r="R804" t="inlineStr">
        <is>
          <t>🚫重复</t>
        </is>
      </c>
      <c r="S804" t="inlineStr">
        <is>
          <t>PPT模板</t>
        </is>
      </c>
      <c r="T804" t="inlineStr">
        <is>
          <t>1.20</t>
        </is>
      </c>
      <c r="U804" s="3">
        <v>46112.78107638889</v>
      </c>
      <c r="V804" t="inlineStr">
        <is>
          <t>虚拟产品</t>
        </is>
      </c>
      <c r="W804" s="3">
        <v>46035</v>
      </c>
      <c r="X804" t="inlineStr">
        <is>
          <t>01</t>
        </is>
      </c>
      <c r="Y804" t="inlineStr">
        <is>
          <t>2026-Q1</t>
        </is>
      </c>
    </row>
    <row r="805" ht="38.25" customHeight="1">
      <c r="A805" t="inlineStr">
        <is>
          <t>【单份资料】点击选项选课_内容详见笔记  幼儿园大班领域公开课</t>
        </is>
      </c>
      <c r="B805" t="inlineStr">
        <is>
          <t>recv8ahsn2eGcj.jpg</t>
        </is>
      </c>
      <c r="C805" s="2" t="str">
        <f>=HYPERLINK("https://xhslink.com/m/7FKUdBIuqII", "https://xhslink.com/m/7FKUdBIuqII")</f>
        <v>https://xhslink.com/m/7FKUdBIuqII</v>
      </c>
      <c r="D805"/>
      <c r="E805">
        <v>3687</v>
      </c>
      <c r="F805">
        <v>9.9</v>
      </c>
      <c r="G805"/>
      <c r="H805"/>
      <c r="I805">
        <v>1000</v>
      </c>
      <c r="J805"/>
      <c r="K805" t="inlineStr">
        <is>
          <t>课件</t>
        </is>
      </c>
      <c r="L805"/>
      <c r="M805" t="inlineStr">
        <is>
          <t>小鹿老师幼儿教育咨询的店</t>
        </is>
      </c>
      <c r="N805">
        <v>3546</v>
      </c>
      <c r="O805">
        <v>4.24</v>
      </c>
      <c r="P805">
        <v>18000</v>
      </c>
      <c r="Q805" t="inlineStr">
        <is>
          <t>689c902d4dbac20001a24c17</t>
        </is>
      </c>
      <c r="R805" t="inlineStr">
        <is>
          <t>🚫重复</t>
        </is>
      </c>
      <c r="S805" t="inlineStr">
        <is>
          <t>幼教资料</t>
        </is>
      </c>
      <c r="T805" t="inlineStr">
        <is>
          <t>1.04</t>
        </is>
      </c>
      <c r="U805" s="3">
        <v>46112.78107638889</v>
      </c>
      <c r="V805" t="inlineStr">
        <is>
          <t>虚拟产品</t>
        </is>
      </c>
      <c r="W805" s="3">
        <v>46035</v>
      </c>
      <c r="X805" t="inlineStr">
        <is>
          <t>01</t>
        </is>
      </c>
      <c r="Y805" t="inlineStr">
        <is>
          <t>2026-Q1</t>
        </is>
      </c>
    </row>
    <row r="806" ht="38.25" customHeight="1">
      <c r="A806" t="inlineStr">
        <is>
          <t>八上15《背影》（课件+教案+导学案）</t>
        </is>
      </c>
      <c r="B806" t="inlineStr">
        <is>
          <t>recv8ahsn2uPEF.jpg</t>
        </is>
      </c>
      <c r="C806" s="2" t="str">
        <f>=HYPERLINK("https://xhslink.com/m/3htgqJ9Zt4B", "https://xhslink.com/m/3htgqJ9Zt4B")</f>
        <v>https://xhslink.com/m/3htgqJ9Zt4B</v>
      </c>
      <c r="D806"/>
      <c r="E806">
        <v>3645</v>
      </c>
      <c r="F806">
        <v>9.9</v>
      </c>
      <c r="G806"/>
      <c r="H806"/>
      <c r="I806">
        <v>1000</v>
      </c>
      <c r="J806"/>
      <c r="K806" t="inlineStr">
        <is>
          <t>课件</t>
        </is>
      </c>
      <c r="L806"/>
      <c r="M806" t="inlineStr">
        <is>
          <t>毛颖传奇的店</t>
        </is>
      </c>
      <c r="N806">
        <v>28000</v>
      </c>
      <c r="O806">
        <v>4.39</v>
      </c>
      <c r="P806">
        <v>119000</v>
      </c>
      <c r="Q806" t="inlineStr">
        <is>
          <t>671e2780d29f550001c5218a</t>
        </is>
      </c>
      <c r="R806" t="inlineStr">
        <is>
          <t>🚫重复</t>
        </is>
      </c>
      <c r="S806" t="inlineStr">
        <is>
          <t>中小学教辅/教材</t>
        </is>
      </c>
      <c r="T806" t="inlineStr">
        <is>
          <t>0.13</t>
        </is>
      </c>
      <c r="U806" s="3">
        <v>46112.78107638889</v>
      </c>
      <c r="V806" t="inlineStr">
        <is>
          <t>虚拟产品</t>
        </is>
      </c>
      <c r="W806" s="3">
        <v>46035</v>
      </c>
      <c r="X806" t="inlineStr">
        <is>
          <t>01</t>
        </is>
      </c>
      <c r="Y806" t="inlineStr">
        <is>
          <t>2026-Q1</t>
        </is>
      </c>
    </row>
    <row r="807" ht="38.25" customHeight="1">
      <c r="A807" t="inlineStr">
        <is>
          <t>【随时！发货】三年级开学家长会逐字稿、课件</t>
        </is>
      </c>
      <c r="B807" t="inlineStr">
        <is>
          <t>recv8ahsn2l31a.jpg</t>
        </is>
      </c>
      <c r="C807" s="2" t="str">
        <f>=HYPERLINK("https://xhslink.com/m/8eJalhw7LPW", "https://xhslink.com/m/8eJalhw7LPW")</f>
        <v>https://xhslink.com/m/8eJalhw7LPW</v>
      </c>
      <c r="D807"/>
      <c r="E807">
        <v>3648</v>
      </c>
      <c r="F807">
        <v>9.9</v>
      </c>
      <c r="G807"/>
      <c r="H807"/>
      <c r="I807">
        <v>400</v>
      </c>
      <c r="J807"/>
      <c r="K807" t="inlineStr">
        <is>
          <t>课件</t>
        </is>
      </c>
      <c r="L807"/>
      <c r="M807" t="inlineStr">
        <is>
          <t>李啥啥的店</t>
        </is>
      </c>
      <c r="N807">
        <v>178000</v>
      </c>
      <c r="O807">
        <v>4.07</v>
      </c>
      <c r="P807">
        <v>12000</v>
      </c>
      <c r="Q807" t="inlineStr">
        <is>
          <t>6703caf84ae187000189f586</t>
        </is>
      </c>
      <c r="R807"/>
      <c r="S807" t="inlineStr">
        <is>
          <t>老师资料</t>
        </is>
      </c>
      <c r="T807" t="inlineStr">
        <is>
          <t>0.02</t>
        </is>
      </c>
      <c r="U807" s="3">
        <v>46112.78107638889</v>
      </c>
      <c r="V807" t="inlineStr">
        <is>
          <t>虚拟产品</t>
        </is>
      </c>
      <c r="W807" s="3">
        <v>46035</v>
      </c>
      <c r="X807" t="inlineStr">
        <is>
          <t>01</t>
        </is>
      </c>
      <c r="Y807" t="inlineStr">
        <is>
          <t>2026-Q1</t>
        </is>
      </c>
    </row>
    <row r="808" ht="38.25" customHeight="1">
      <c r="A808" t="inlineStr">
        <is>
          <t>【拍下请备注课件名称】幼儿园【单份】优质公开课发网盘链接</t>
        </is>
      </c>
      <c r="B808" t="inlineStr">
        <is>
          <t>recv8ahsn2ooqW.jpg</t>
        </is>
      </c>
      <c r="C808" s="2" t="str">
        <f>=HYPERLINK("https://xhslink.com/m/8jkzWI0pMvN", "https://xhslink.com/m/8jkzWI0pMvN")</f>
        <v>https://xhslink.com/m/8jkzWI0pMvN</v>
      </c>
      <c r="D808"/>
      <c r="E808">
        <v>3638</v>
      </c>
      <c r="F808">
        <v>5.88</v>
      </c>
      <c r="G808"/>
      <c r="H808"/>
      <c r="I808">
        <v>1000</v>
      </c>
      <c r="J808"/>
      <c r="K808" t="inlineStr">
        <is>
          <t>课件</t>
        </is>
      </c>
      <c r="L808"/>
      <c r="M808" t="inlineStr">
        <is>
          <t>幼教小小张（月子中，回复慢）的店</t>
        </is>
      </c>
      <c r="N808">
        <v>3285</v>
      </c>
      <c r="O808">
        <v>4.25</v>
      </c>
      <c r="P808">
        <v>8034</v>
      </c>
      <c r="Q808" t="inlineStr">
        <is>
          <t>676ac0215677c9000155f75c</t>
        </is>
      </c>
      <c r="R808"/>
      <c r="S808" t="inlineStr">
        <is>
          <t>幼教资料</t>
        </is>
      </c>
      <c r="T808" t="inlineStr">
        <is>
          <t>1.11</t>
        </is>
      </c>
      <c r="U808" s="3">
        <v>46112.78107638889</v>
      </c>
      <c r="V808" t="inlineStr">
        <is>
          <t>虚拟产品</t>
        </is>
      </c>
      <c r="W808" s="3">
        <v>46035</v>
      </c>
      <c r="X808" t="inlineStr">
        <is>
          <t>01</t>
        </is>
      </c>
      <c r="Y808" t="inlineStr">
        <is>
          <t>2026-Q1</t>
        </is>
      </c>
    </row>
    <row r="809" ht="38.25" customHeight="1">
      <c r="A809" t="inlineStr">
        <is>
          <t>25年幼儿园公开课PPT课件+配套教案</t>
        </is>
      </c>
      <c r="B809" t="inlineStr">
        <is>
          <t>recv8ahsn2V4bL.jpg</t>
        </is>
      </c>
      <c r="C809" s="2" t="str">
        <f>=HYPERLINK("https://xhslink.com/m/9ZGsjWFVFLg", "https://xhslink.com/m/9ZGsjWFVFLg")</f>
        <v>https://xhslink.com/m/9ZGsjWFVFLg</v>
      </c>
      <c r="D809"/>
      <c r="E809">
        <v>3636</v>
      </c>
      <c r="F809">
        <v>5.9</v>
      </c>
      <c r="G809"/>
      <c r="H809"/>
      <c r="I809">
        <v>1000</v>
      </c>
      <c r="J809"/>
      <c r="K809" t="inlineStr">
        <is>
          <t>课件</t>
        </is>
      </c>
      <c r="L809" t="inlineStr">
        <is>
          <t>🔥低粉爆款</t>
        </is>
      </c>
      <c r="M809" t="inlineStr">
        <is>
          <t>365days、的店</t>
        </is>
      </c>
      <c r="N809">
        <v>1040</v>
      </c>
      <c r="O809">
        <v>4.3</v>
      </c>
      <c r="P809">
        <v>10000</v>
      </c>
      <c r="Q809" t="inlineStr">
        <is>
          <t>6816f966a548d00015ba2dfa</t>
        </is>
      </c>
      <c r="R809" t="inlineStr">
        <is>
          <t>🚫重复</t>
        </is>
      </c>
      <c r="S809" t="inlineStr">
        <is>
          <t>幼教资料</t>
        </is>
      </c>
      <c r="T809" t="inlineStr">
        <is>
          <t>3.50</t>
        </is>
      </c>
      <c r="U809" s="3">
        <v>46112.78107638889</v>
      </c>
      <c r="V809" t="inlineStr">
        <is>
          <t>虚拟产品</t>
        </is>
      </c>
      <c r="W809" s="3">
        <v>46035</v>
      </c>
      <c r="X809" t="inlineStr">
        <is>
          <t>01</t>
        </is>
      </c>
      <c r="Y809" t="inlineStr">
        <is>
          <t>2026-Q1</t>
        </is>
      </c>
    </row>
    <row r="810" ht="38.25" customHeight="1">
      <c r="A810" t="inlineStr">
        <is>
          <t>【2025秋季新版】四上语文任务群课件+教案|下方选择你要的课文</t>
        </is>
      </c>
      <c r="B810" t="inlineStr">
        <is>
          <t>recv8ahsn2kQ1q.jpg</t>
        </is>
      </c>
      <c r="C810" s="2" t="str">
        <f>=HYPERLINK("https://xhslink.com/m/LdcheWV6xI", "https://xhslink.com/m/LdcheWV6xI")</f>
        <v>https://xhslink.com/m/LdcheWV6xI</v>
      </c>
      <c r="D810"/>
      <c r="E810">
        <v>3599</v>
      </c>
      <c r="F810">
        <v>9.9</v>
      </c>
      <c r="G810"/>
      <c r="H810"/>
      <c r="I810">
        <v>2000</v>
      </c>
      <c r="J810"/>
      <c r="K810" t="inlineStr">
        <is>
          <t>课件</t>
        </is>
      </c>
      <c r="L810"/>
      <c r="M810" t="inlineStr">
        <is>
          <t>卢月如的店</t>
        </is>
      </c>
      <c r="N810">
        <v>2281</v>
      </c>
      <c r="O810">
        <v>4.33</v>
      </c>
      <c r="P810">
        <v>15000</v>
      </c>
      <c r="Q810" t="inlineStr">
        <is>
          <t>6912ce924a25b700014d750e</t>
        </is>
      </c>
      <c r="R810" t="inlineStr">
        <is>
          <t>🚫重复</t>
        </is>
      </c>
      <c r="S810" t="inlineStr">
        <is>
          <t>中小学教辅/教材</t>
        </is>
      </c>
      <c r="T810" t="inlineStr">
        <is>
          <t>1.58</t>
        </is>
      </c>
      <c r="U810" s="3">
        <v>46112.78107638889</v>
      </c>
      <c r="V810" t="inlineStr">
        <is>
          <t>虚拟产品</t>
        </is>
      </c>
      <c r="W810" s="3">
        <v>46035</v>
      </c>
      <c r="X810" t="inlineStr">
        <is>
          <t>01</t>
        </is>
      </c>
      <c r="Y810" t="inlineStr">
        <is>
          <t>2026-Q1</t>
        </is>
      </c>
    </row>
    <row r="811" ht="38.25" customHeight="1">
      <c r="A811" t="inlineStr">
        <is>
          <t>一份护理PPT模板(拍下请带上资料截图)</t>
        </is>
      </c>
      <c r="B811" t="inlineStr">
        <is>
          <t>recv8ahsn2i0n2.jpg</t>
        </is>
      </c>
      <c r="C811" s="2" t="str">
        <f>=HYPERLINK("https://xhslink.com/m/4StGiGRsK6V", "https://xhslink.com/m/4StGiGRsK6V")</f>
        <v>https://xhslink.com/m/4StGiGRsK6V</v>
      </c>
      <c r="D811"/>
      <c r="E811">
        <v>3593</v>
      </c>
      <c r="F811">
        <v>5</v>
      </c>
      <c r="G811"/>
      <c r="H811"/>
      <c r="I811">
        <v>800</v>
      </c>
      <c r="J811"/>
      <c r="K811" t="inlineStr">
        <is>
          <t>课件</t>
        </is>
      </c>
      <c r="L811"/>
      <c r="M811" t="inlineStr">
        <is>
          <t>喵喵护理PPT资料的店</t>
        </is>
      </c>
      <c r="N811">
        <v>10000</v>
      </c>
      <c r="O811">
        <v>3.89</v>
      </c>
      <c r="P811">
        <v>3605</v>
      </c>
      <c r="Q811" t="inlineStr">
        <is>
          <t>6742dc22f26094000157467f</t>
        </is>
      </c>
      <c r="R811"/>
      <c r="S811" t="inlineStr">
        <is>
          <t>PPT模板</t>
        </is>
      </c>
      <c r="T811" t="inlineStr">
        <is>
          <t>0.36</t>
        </is>
      </c>
      <c r="U811" s="3">
        <v>46112.78107638889</v>
      </c>
      <c r="V811" t="inlineStr">
        <is>
          <t>虚拟产品</t>
        </is>
      </c>
      <c r="W811" s="3">
        <v>46035</v>
      </c>
      <c r="X811" t="inlineStr">
        <is>
          <t>01</t>
        </is>
      </c>
      <c r="Y811" t="inlineStr">
        <is>
          <t>2026-Q1</t>
        </is>
      </c>
    </row>
    <row r="812" ht="38.25" customHeight="1">
      <c r="A812" t="inlineStr">
        <is>
          <t>ppt一套下单备注序号客服发网盘链接</t>
        </is>
      </c>
      <c r="B812" t="inlineStr">
        <is>
          <t>recv8ahsn2n7uP.jpg</t>
        </is>
      </c>
      <c r="C812" s="2" t="str">
        <f>=HYPERLINK("https://xhslink.com/m/5yPB0WuLkHS", "https://xhslink.com/m/5yPB0WuLkHS")</f>
        <v>https://xhslink.com/m/5yPB0WuLkHS</v>
      </c>
      <c r="D812"/>
      <c r="E812">
        <v>3574</v>
      </c>
      <c r="F812">
        <v>4.99</v>
      </c>
      <c r="G812"/>
      <c r="H812"/>
      <c r="I812">
        <v>600</v>
      </c>
      <c r="J812"/>
      <c r="K812" t="inlineStr">
        <is>
          <t>课件</t>
        </is>
      </c>
      <c r="L812"/>
      <c r="M812" t="inlineStr">
        <is>
          <t>一只潇ppt的店</t>
        </is>
      </c>
      <c r="N812">
        <v>3815</v>
      </c>
      <c r="O812">
        <v>4.33</v>
      </c>
      <c r="P812">
        <v>3637</v>
      </c>
      <c r="Q812" t="inlineStr">
        <is>
          <t>67a562bcbac2510001c14b2b</t>
        </is>
      </c>
      <c r="R812"/>
      <c r="S812" t="inlineStr">
        <is>
          <t>PPT模板</t>
        </is>
      </c>
      <c r="T812" t="inlineStr">
        <is>
          <t>0.94</t>
        </is>
      </c>
      <c r="U812" s="3">
        <v>46112.78107638889</v>
      </c>
      <c r="V812" t="inlineStr">
        <is>
          <t>虚拟产品</t>
        </is>
      </c>
      <c r="W812" s="3">
        <v>46035</v>
      </c>
      <c r="X812" t="inlineStr">
        <is>
          <t>01</t>
        </is>
      </c>
      <c r="Y812" t="inlineStr">
        <is>
          <t>2026-Q1</t>
        </is>
      </c>
    </row>
    <row r="813" ht="38.25" customHeight="1">
      <c r="A813" t="inlineStr">
        <is>
          <t>初中外研社Murmure写作纸（电子版）</t>
        </is>
      </c>
      <c r="B813" t="inlineStr">
        <is>
          <t>recv8ahsn2YOKk.jpg</t>
        </is>
      </c>
      <c r="C813" s="2" t="str">
        <f>=HYPERLINK("https://xhslink.com/m/3XB2upUWvaT", "https://xhslink.com/m/3XB2upUWvaT")</f>
        <v>https://xhslink.com/m/3XB2upUWvaT</v>
      </c>
      <c r="D813"/>
      <c r="E813">
        <v>3564</v>
      </c>
      <c r="F813">
        <v>48</v>
      </c>
      <c r="G813"/>
      <c r="H813"/>
      <c r="I813">
        <v>500</v>
      </c>
      <c r="J813"/>
      <c r="K813" t="inlineStr">
        <is>
          <t>课件</t>
        </is>
      </c>
      <c r="L813"/>
      <c r="M813" t="inlineStr">
        <is>
          <t>Murmure！的店</t>
        </is>
      </c>
      <c r="N813">
        <v>15000</v>
      </c>
      <c r="O813">
        <v>4.55</v>
      </c>
      <c r="P813">
        <v>31000</v>
      </c>
      <c r="Q813" t="inlineStr">
        <is>
          <t>68a7f96b8f53130001534f3b</t>
        </is>
      </c>
      <c r="R813"/>
      <c r="S813" t="inlineStr">
        <is>
          <t>中小学教辅/教材</t>
        </is>
      </c>
      <c r="T813" t="inlineStr">
        <is>
          <t>0.24</t>
        </is>
      </c>
      <c r="U813" s="3">
        <v>46112.78107638889</v>
      </c>
      <c r="V813" t="inlineStr">
        <is>
          <t>虚拟产品</t>
        </is>
      </c>
      <c r="W813" s="3">
        <v>46035</v>
      </c>
      <c r="X813" t="inlineStr">
        <is>
          <t>01</t>
        </is>
      </c>
      <c r="Y813" t="inlineStr">
        <is>
          <t>2026-Q1</t>
        </is>
      </c>
    </row>
    <row r="814" ht="38.25" customHeight="1">
      <c r="A814" t="inlineStr">
        <is>
          <t>单个课时（备注课件名称及邮箱号）</t>
        </is>
      </c>
      <c r="B814" t="inlineStr">
        <is>
          <t>recv8ahsn2kTJ4.jpg</t>
        </is>
      </c>
      <c r="C814" s="2" t="str">
        <f>=HYPERLINK("https://xhslink.com/m/5t3kRP6xpIU", "https://xhslink.com/m/5t3kRP6xpIU")</f>
        <v>https://xhslink.com/m/5t3kRP6xpIU</v>
      </c>
      <c r="D814"/>
      <c r="E814">
        <v>3522</v>
      </c>
      <c r="F814">
        <v>16.9</v>
      </c>
      <c r="G814"/>
      <c r="H814"/>
      <c r="I814">
        <v>400</v>
      </c>
      <c r="J814"/>
      <c r="K814" t="inlineStr">
        <is>
          <t>课件</t>
        </is>
      </c>
      <c r="L814"/>
      <c r="M814" t="inlineStr">
        <is>
          <t>道法糕的店</t>
        </is>
      </c>
      <c r="N814">
        <v>5140</v>
      </c>
      <c r="O814">
        <v>4.32</v>
      </c>
      <c r="P814">
        <v>4281</v>
      </c>
      <c r="Q814" t="inlineStr">
        <is>
          <t>66716c1f2fbb5400017e1c10</t>
        </is>
      </c>
      <c r="R814"/>
      <c r="S814" t="inlineStr">
        <is>
          <t>中小学教辅/教材</t>
        </is>
      </c>
      <c r="T814" t="inlineStr">
        <is>
          <t>0.69</t>
        </is>
      </c>
      <c r="U814" s="3">
        <v>46112.78107638889</v>
      </c>
      <c r="V814" t="inlineStr">
        <is>
          <t>虚拟产品</t>
        </is>
      </c>
      <c r="W814" s="3">
        <v>46035</v>
      </c>
      <c r="X814" t="inlineStr">
        <is>
          <t>01</t>
        </is>
      </c>
      <c r="Y814" t="inlineStr">
        <is>
          <t>2026-Q1</t>
        </is>
      </c>
    </row>
    <row r="815" ht="38.25" customHeight="1">
      <c r="A815" t="inlineStr">
        <is>
          <t>单课时说课PPT+全英逐字稿</t>
        </is>
      </c>
      <c r="B815" t="inlineStr">
        <is>
          <t>recv8ahsn2DDss.jpg</t>
        </is>
      </c>
      <c r="C815" s="2" t="str">
        <f>=HYPERLINK("https://xhslink.com/m/30KbngtckqN", "https://xhslink.com/m/30KbngtckqN")</f>
        <v>https://xhslink.com/m/30KbngtckqN</v>
      </c>
      <c r="D815"/>
      <c r="E815">
        <v>3445</v>
      </c>
      <c r="F815">
        <v>20</v>
      </c>
      <c r="G815"/>
      <c r="H815"/>
      <c r="I815">
        <v>400</v>
      </c>
      <c r="J815"/>
      <c r="K815" t="inlineStr">
        <is>
          <t>课件</t>
        </is>
      </c>
      <c r="L815"/>
      <c r="M815" t="inlineStr">
        <is>
          <t>LynnSpeakUp的店</t>
        </is>
      </c>
      <c r="N815">
        <v>7038</v>
      </c>
      <c r="O815">
        <v>3.78</v>
      </c>
      <c r="P815">
        <v>5452</v>
      </c>
      <c r="Q815" t="inlineStr">
        <is>
          <t>670b4a1ed6b45d00014edc7c</t>
        </is>
      </c>
      <c r="R815"/>
      <c r="S815" t="inlineStr">
        <is>
          <t>PPT模板</t>
        </is>
      </c>
      <c r="T815" t="inlineStr">
        <is>
          <t>0.49</t>
        </is>
      </c>
      <c r="U815" s="3">
        <v>46112.78107638889</v>
      </c>
      <c r="V815" t="inlineStr">
        <is>
          <t>虚拟产品</t>
        </is>
      </c>
      <c r="W815" s="3">
        <v>46035</v>
      </c>
      <c r="X815" t="inlineStr">
        <is>
          <t>01</t>
        </is>
      </c>
      <c r="Y815" t="inlineStr">
        <is>
          <t>2026-Q1</t>
        </is>
      </c>
    </row>
    <row r="816" ht="38.25" customHeight="1">
      <c r="A816" t="inlineStr">
        <is>
          <t>新人宠粉福利，0.1任选一套美术课件，留言客服领取</t>
        </is>
      </c>
      <c r="B816" t="inlineStr">
        <is>
          <t>recv8ahsn2wKvo.jpg</t>
        </is>
      </c>
      <c r="C816" s="2" t="str">
        <f>=HYPERLINK("https://xhslink.com/m/4Hggzeicbmt", "https://xhslink.com/m/4Hggzeicbmt")</f>
        <v>https://xhslink.com/m/4Hggzeicbmt</v>
      </c>
      <c r="D816"/>
      <c r="E816">
        <v>3412</v>
      </c>
      <c r="F816">
        <v>0.1</v>
      </c>
      <c r="G816"/>
      <c r="H816"/>
      <c r="I816">
        <v>2000</v>
      </c>
      <c r="J816"/>
      <c r="K816" t="inlineStr">
        <is>
          <t>课件</t>
        </is>
      </c>
      <c r="L816"/>
      <c r="M816" t="inlineStr">
        <is>
          <t>金豆艺术的店</t>
        </is>
      </c>
      <c r="N816">
        <v>5083</v>
      </c>
      <c r="O816">
        <v>4.46</v>
      </c>
      <c r="P816">
        <v>19000</v>
      </c>
      <c r="Q816" t="inlineStr">
        <is>
          <t>6889c371417c3f0001a973a5</t>
        </is>
      </c>
      <c r="R816"/>
      <c r="S816" t="inlineStr">
        <is>
          <t>中小学教辅/教材</t>
        </is>
      </c>
      <c r="T816" t="inlineStr">
        <is>
          <t>0.67</t>
        </is>
      </c>
      <c r="U816" s="3">
        <v>46112.78107638889</v>
      </c>
      <c r="V816" t="inlineStr">
        <is>
          <t>虚拟产品</t>
        </is>
      </c>
      <c r="W816" s="3">
        <v>46035</v>
      </c>
      <c r="X816" t="inlineStr">
        <is>
          <t>01</t>
        </is>
      </c>
      <c r="Y816" t="inlineStr">
        <is>
          <t>2026-Q1</t>
        </is>
      </c>
    </row>
    <row r="817" ht="38.25" customHeight="1">
      <c r="A817" t="inlineStr">
        <is>
          <t>马年元旦晚会游戏班会课件PPT（含主持稿+开场视频+7大游戏）</t>
        </is>
      </c>
      <c r="B817" t="inlineStr">
        <is>
          <t>recv8ahsn2Qk1C.jpg</t>
        </is>
      </c>
      <c r="C817" s="2" t="str">
        <f>=HYPERLINK("https://xhslink.com/m/1az8y1gKVW4", "https://xhslink.com/m/1az8y1gKVW4")</f>
        <v>https://xhslink.com/m/1az8y1gKVW4</v>
      </c>
      <c r="D817"/>
      <c r="E817">
        <v>3320</v>
      </c>
      <c r="F817">
        <v>9.99</v>
      </c>
      <c r="G817"/>
      <c r="H817"/>
      <c r="I817">
        <v>3000</v>
      </c>
      <c r="J817"/>
      <c r="K817" t="inlineStr">
        <is>
          <t>课件</t>
        </is>
      </c>
      <c r="L817"/>
      <c r="M817" t="inlineStr">
        <is>
          <t>皮卡皮卡的店</t>
        </is>
      </c>
      <c r="N817">
        <v>14000</v>
      </c>
      <c r="O817">
        <v>4.3</v>
      </c>
      <c r="P817">
        <v>54000</v>
      </c>
      <c r="Q817" t="inlineStr">
        <is>
          <t>69411d490a9006000195cfd1</t>
        </is>
      </c>
      <c r="R817" t="inlineStr">
        <is>
          <t>🚫重复</t>
        </is>
      </c>
      <c r="S817" t="inlineStr">
        <is>
          <t>PPT模板</t>
        </is>
      </c>
      <c r="T817" t="inlineStr">
        <is>
          <t>0.24</t>
        </is>
      </c>
      <c r="U817" s="3">
        <v>46112.78107638889</v>
      </c>
      <c r="V817" t="inlineStr">
        <is>
          <t>虚拟产品</t>
        </is>
      </c>
      <c r="W817" s="3">
        <v>46035</v>
      </c>
      <c r="X817" t="inlineStr">
        <is>
          <t>01</t>
        </is>
      </c>
      <c r="Y817" t="inlineStr">
        <is>
          <t>2026-Q1</t>
        </is>
      </c>
    </row>
    <row r="818" ht="38.25" customHeight="1">
      <c r="A818" t="inlineStr">
        <is>
          <t>游戏PPT - 趣味惩罚（NO.026）</t>
        </is>
      </c>
      <c r="B818" t="inlineStr">
        <is>
          <t>recv8ahsn2aYye.jpg</t>
        </is>
      </c>
      <c r="C818" s="2" t="str">
        <f>=HYPERLINK("https://xhslink.com/m/AKR6IdViOCm", "https://xhslink.com/m/AKR6IdViOCm")</f>
        <v>https://xhslink.com/m/AKR6IdViOCm</v>
      </c>
      <c r="D818"/>
      <c r="E818">
        <v>3326</v>
      </c>
      <c r="F818">
        <v>4.6</v>
      </c>
      <c r="G818"/>
      <c r="H818"/>
      <c r="I818">
        <v>2000</v>
      </c>
      <c r="J818"/>
      <c r="K818" t="inlineStr">
        <is>
          <t>课件</t>
        </is>
      </c>
      <c r="L818"/>
      <c r="M818" t="inlineStr">
        <is>
          <t>玉米PPT的店</t>
        </is>
      </c>
      <c r="N818">
        <v>2894</v>
      </c>
      <c r="O818">
        <v>4.32</v>
      </c>
      <c r="P818">
        <v>26000</v>
      </c>
      <c r="Q818" t="inlineStr">
        <is>
          <t>68a45f8d4f11700001ff3a9c</t>
        </is>
      </c>
      <c r="R818" t="inlineStr">
        <is>
          <t>🚫重复</t>
        </is>
      </c>
      <c r="S818" t="inlineStr">
        <is>
          <t>PPT模板</t>
        </is>
      </c>
      <c r="T818" t="inlineStr">
        <is>
          <t>1.15</t>
        </is>
      </c>
      <c r="U818" s="3">
        <v>46112.78107638889</v>
      </c>
      <c r="V818" t="inlineStr">
        <is>
          <t>虚拟产品</t>
        </is>
      </c>
      <c r="W818" s="3">
        <v>46035</v>
      </c>
      <c r="X818" t="inlineStr">
        <is>
          <t>01</t>
        </is>
      </c>
      <c r="Y818" t="inlineStr">
        <is>
          <t>2026-Q1</t>
        </is>
      </c>
    </row>
    <row r="819" ht="38.25" customHeight="1">
      <c r="A819" t="inlineStr">
        <is>
          <t>155.星期一综合症【学习生活】【英语/双语/中文演讲PPT】</t>
        </is>
      </c>
      <c r="B819" t="inlineStr">
        <is>
          <t>recv8ahsn2bNwX.jpg</t>
        </is>
      </c>
      <c r="C819" s="2" t="str">
        <f>=HYPERLINK("https://xhslink.com/m/85kpdq7d0mU", "https://xhslink.com/m/85kpdq7d0mU")</f>
        <v>https://xhslink.com/m/85kpdq7d0mU</v>
      </c>
      <c r="D819"/>
      <c r="E819">
        <v>3310</v>
      </c>
      <c r="F819">
        <v>5</v>
      </c>
      <c r="G819"/>
      <c r="H819"/>
      <c r="I819">
        <v>400</v>
      </c>
      <c r="J819"/>
      <c r="K819" t="inlineStr">
        <is>
          <t>课件</t>
        </is>
      </c>
      <c r="L819"/>
      <c r="M819" t="inlineStr">
        <is>
          <t>K12的英语PPT的店</t>
        </is>
      </c>
      <c r="N819">
        <v>35000</v>
      </c>
      <c r="O819">
        <v>4.32</v>
      </c>
      <c r="P819">
        <v>106000</v>
      </c>
      <c r="Q819" t="inlineStr">
        <is>
          <t>6611269f0851990001540d76</t>
        </is>
      </c>
      <c r="R819"/>
      <c r="S819" t="inlineStr">
        <is>
          <t>PPT模板</t>
        </is>
      </c>
      <c r="T819" t="inlineStr">
        <is>
          <t>0.09</t>
        </is>
      </c>
      <c r="U819" s="3">
        <v>46112.78107638889</v>
      </c>
      <c r="V819" t="inlineStr">
        <is>
          <t>虚拟产品</t>
        </is>
      </c>
      <c r="W819" s="3">
        <v>46035</v>
      </c>
      <c r="X819" t="inlineStr">
        <is>
          <t>01</t>
        </is>
      </c>
      <c r="Y819" t="inlineStr">
        <is>
          <t>2026-Q1</t>
        </is>
      </c>
    </row>
    <row r="820" ht="38.25" customHeight="1">
      <c r="A820" t="inlineStr">
        <is>
          <t>新八上英语 单个课件  部分课件 WPS加密需授权</t>
        </is>
      </c>
      <c r="B820" t="inlineStr">
        <is>
          <t>recv8ahsn2sNjJ.jpg</t>
        </is>
      </c>
      <c r="C820" s="2" t="str">
        <f>=HYPERLINK("https://xhslink.com/m/25R6RG3F4zs", "https://xhslink.com/m/25R6RG3F4zs")</f>
        <v>https://xhslink.com/m/25R6RG3F4zs</v>
      </c>
      <c r="D820"/>
      <c r="E820">
        <v>3308</v>
      </c>
      <c r="F820">
        <v>12</v>
      </c>
      <c r="G820"/>
      <c r="H820"/>
      <c r="I820">
        <v>1000</v>
      </c>
      <c r="J820"/>
      <c r="K820" t="inlineStr">
        <is>
          <t>课件</t>
        </is>
      </c>
      <c r="L820"/>
      <c r="M820" t="inlineStr">
        <is>
          <t>TeacherWu英语工作室的店</t>
        </is>
      </c>
      <c r="N820">
        <v>26000</v>
      </c>
      <c r="O820">
        <v>4.38</v>
      </c>
      <c r="P820">
        <v>22000</v>
      </c>
      <c r="Q820" t="inlineStr">
        <is>
          <t>68aaa54d3f78410001c6625b</t>
        </is>
      </c>
      <c r="R820" t="inlineStr">
        <is>
          <t>🚫重复</t>
        </is>
      </c>
      <c r="S820" t="inlineStr">
        <is>
          <t>中小学教辅/教材</t>
        </is>
      </c>
      <c r="T820" t="inlineStr">
        <is>
          <t>0.13</t>
        </is>
      </c>
      <c r="U820" s="3">
        <v>46112.78107638889</v>
      </c>
      <c r="V820" t="inlineStr">
        <is>
          <t>虚拟产品</t>
        </is>
      </c>
      <c r="W820" s="3">
        <v>46035</v>
      </c>
      <c r="X820" t="inlineStr">
        <is>
          <t>01</t>
        </is>
      </c>
      <c r="Y820" t="inlineStr">
        <is>
          <t>2026-Q1</t>
        </is>
      </c>
    </row>
    <row r="821" ht="38.25" customHeight="1">
      <c r="A821" t="inlineStr">
        <is>
          <t>warming up课前热身(双语版）解压活跃氛围互动趣味跑酷游戏全套</t>
        </is>
      </c>
      <c r="B821" t="inlineStr">
        <is>
          <t>recv8ahsn2fMOT.jpg</t>
        </is>
      </c>
      <c r="C821" s="2" t="str">
        <f>=HYPERLINK("https://xhslink.com/m/7RoLK2NwLxR", "https://xhslink.com/m/7RoLK2NwLxR")</f>
        <v>https://xhslink.com/m/7RoLK2NwLxR</v>
      </c>
      <c r="D821"/>
      <c r="E821">
        <v>3317</v>
      </c>
      <c r="F821">
        <v>1.9</v>
      </c>
      <c r="G821"/>
      <c r="H821"/>
      <c r="I821">
        <v>3000</v>
      </c>
      <c r="J821"/>
      <c r="K821" t="inlineStr">
        <is>
          <t>课件</t>
        </is>
      </c>
      <c r="L821"/>
      <c r="M821" t="inlineStr">
        <is>
          <t>萌baby的店</t>
        </is>
      </c>
      <c r="N821">
        <v>6806</v>
      </c>
      <c r="O821">
        <v>4.9</v>
      </c>
      <c r="P821">
        <v>11000</v>
      </c>
      <c r="Q821" t="inlineStr">
        <is>
          <t>691d571fe17408000112900c</t>
        </is>
      </c>
      <c r="R821" t="inlineStr">
        <is>
          <t>🚫重复</t>
        </is>
      </c>
      <c r="S821" t="inlineStr">
        <is>
          <t>中小学教辅/教材</t>
        </is>
      </c>
      <c r="T821" t="inlineStr">
        <is>
          <t>0.49</t>
        </is>
      </c>
      <c r="U821" s="3">
        <v>46112.78107638889</v>
      </c>
      <c r="V821" t="inlineStr">
        <is>
          <t>虚拟产品</t>
        </is>
      </c>
      <c r="W821" s="3">
        <v>46035</v>
      </c>
      <c r="X821" t="inlineStr">
        <is>
          <t>01</t>
        </is>
      </c>
      <c r="Y821" t="inlineStr">
        <is>
          <t>2026-Q1</t>
        </is>
      </c>
    </row>
    <row r="822" ht="38.25" customHeight="1">
      <c r="A822" t="inlineStr">
        <is>
          <t>ppt课件全店任选一份|拍后私客服报课件名|网盘或私发文件发货</t>
        </is>
      </c>
      <c r="B822" t="inlineStr">
        <is>
          <t>recv8ahsn2XqhJ.jpg</t>
        </is>
      </c>
      <c r="C822" s="2" t="str">
        <f>=HYPERLINK("https://xhslink.com/m/5Gd9m6oso1S", "https://xhslink.com/m/5Gd9m6oso1S")</f>
        <v>https://xhslink.com/m/5Gd9m6oso1S</v>
      </c>
      <c r="D822"/>
      <c r="E822">
        <v>3279</v>
      </c>
      <c r="F822">
        <v>8.9</v>
      </c>
      <c r="G822"/>
      <c r="H822"/>
      <c r="I822">
        <v>700</v>
      </c>
      <c r="J822"/>
      <c r="K822" t="inlineStr">
        <is>
          <t>课件</t>
        </is>
      </c>
      <c r="L822"/>
      <c r="M822" t="inlineStr">
        <is>
          <t>简艺ppt520的店</t>
        </is>
      </c>
      <c r="N822">
        <v>2305</v>
      </c>
      <c r="O822">
        <v>4.44</v>
      </c>
      <c r="P822">
        <v>4587</v>
      </c>
      <c r="Q822" t="inlineStr">
        <is>
          <t>66f185b4afa1e90001461137</t>
        </is>
      </c>
      <c r="R822"/>
      <c r="S822" t="inlineStr">
        <is>
          <t>PPT模板</t>
        </is>
      </c>
      <c r="T822" t="inlineStr">
        <is>
          <t>1.42</t>
        </is>
      </c>
      <c r="U822" s="3">
        <v>46112.78107638889</v>
      </c>
      <c r="V822" t="inlineStr">
        <is>
          <t>虚拟产品</t>
        </is>
      </c>
      <c r="W822" s="3">
        <v>46035</v>
      </c>
      <c r="X822" t="inlineStr">
        <is>
          <t>01</t>
        </is>
      </c>
      <c r="Y822" t="inlineStr">
        <is>
          <t>2026-Q1</t>
        </is>
      </c>
    </row>
    <row r="823" ht="38.25" customHeight="1">
      <c r="A823" t="inlineStr">
        <is>
          <t>四年级家长会《习惯，成就未来》</t>
        </is>
      </c>
      <c r="B823" t="inlineStr">
        <is>
          <t>recv8ahsn2fRnn.jpg</t>
        </is>
      </c>
      <c r="C823" s="2" t="str">
        <f>=HYPERLINK("https://xhslink.com/m/576oxqzO1Eb", "https://xhslink.com/m/576oxqzO1Eb")</f>
        <v>https://xhslink.com/m/576oxqzO1Eb</v>
      </c>
      <c r="D823"/>
      <c r="E823">
        <v>3227</v>
      </c>
      <c r="F823">
        <v>9.9</v>
      </c>
      <c r="G823"/>
      <c r="H823"/>
      <c r="I823">
        <v>1000</v>
      </c>
      <c r="J823"/>
      <c r="K823" t="inlineStr">
        <is>
          <t>课件</t>
        </is>
      </c>
      <c r="L823"/>
      <c r="M823" t="inlineStr">
        <is>
          <t>小雨老师的课堂的店</t>
        </is>
      </c>
      <c r="N823">
        <v>7779</v>
      </c>
      <c r="O823">
        <v>4.37</v>
      </c>
      <c r="P823">
        <v>40000</v>
      </c>
      <c r="Q823" t="inlineStr">
        <is>
          <t>685bd35b9028340001da8041</t>
        </is>
      </c>
      <c r="R823" t="inlineStr">
        <is>
          <t>🚫重复</t>
        </is>
      </c>
      <c r="S823" t="inlineStr">
        <is>
          <t>老师资料</t>
        </is>
      </c>
      <c r="T823" t="inlineStr">
        <is>
          <t>0.41</t>
        </is>
      </c>
      <c r="U823" s="3">
        <v>46112.78107638889</v>
      </c>
      <c r="V823" t="inlineStr">
        <is>
          <t>虚拟产品</t>
        </is>
      </c>
      <c r="W823" s="3">
        <v>46035</v>
      </c>
      <c r="X823" t="inlineStr">
        <is>
          <t>01</t>
        </is>
      </c>
      <c r="Y823" t="inlineStr">
        <is>
          <t>2026-Q1</t>
        </is>
      </c>
    </row>
    <row r="824" ht="38.25" customHeight="1">
      <c r="A824" t="inlineStr">
        <is>
          <t>2026新人教版初中英语七八九年级上下册PPT课件教案学案教学设计</t>
        </is>
      </c>
      <c r="B824" t="inlineStr">
        <is>
          <t>recv8ahsn26Xbj.jpg</t>
        </is>
      </c>
      <c r="C824" s="2" t="str">
        <f>=HYPERLINK("https://xhslink.com/m/96Zq4jQj9EC", "https://xhslink.com/m/96Zq4jQj9EC")</f>
        <v>https://xhslink.com/m/96Zq4jQj9EC</v>
      </c>
      <c r="D824"/>
      <c r="E824">
        <v>3221</v>
      </c>
      <c r="F824">
        <v>18.8</v>
      </c>
      <c r="G824"/>
      <c r="H824"/>
      <c r="I824">
        <v>400</v>
      </c>
      <c r="J824"/>
      <c r="K824" t="inlineStr">
        <is>
          <t>课件</t>
        </is>
      </c>
      <c r="L824"/>
      <c r="M824" t="inlineStr">
        <is>
          <t>张老师智慧屋的店</t>
        </is>
      </c>
      <c r="N824">
        <v>3811</v>
      </c>
      <c r="O824">
        <v>4.37</v>
      </c>
      <c r="P824">
        <v>8639</v>
      </c>
      <c r="Q824" t="inlineStr">
        <is>
          <t>67e0cbaf6147ac00013cdf1d</t>
        </is>
      </c>
      <c r="R824" t="inlineStr">
        <is>
          <t>🚫重复</t>
        </is>
      </c>
      <c r="S824" t="inlineStr">
        <is>
          <t>中小学教辅/教材</t>
        </is>
      </c>
      <c r="T824" t="inlineStr">
        <is>
          <t>0.85</t>
        </is>
      </c>
      <c r="U824" s="3">
        <v>46112.78107638889</v>
      </c>
      <c r="V824" t="inlineStr">
        <is>
          <t>虚拟产品</t>
        </is>
      </c>
      <c r="W824" s="3">
        <v>46035</v>
      </c>
      <c r="X824" t="inlineStr">
        <is>
          <t>01</t>
        </is>
      </c>
      <c r="Y824" t="inlineStr">
        <is>
          <t>2026-Q1</t>
        </is>
      </c>
    </row>
    <row r="825" ht="38.25" customHeight="1">
      <c r="A825" t="inlineStr">
        <is>
          <t>AI · YesGPT老师工具定制｜DeepSeek网页课件【拍前先联系客服】</t>
        </is>
      </c>
      <c r="B825" t="inlineStr">
        <is>
          <t>recv8ahsn2G11F.jpg</t>
        </is>
      </c>
      <c r="C825" s="2" t="str">
        <f>=HYPERLINK("https://xhslink.com/m/2cRHGztjdVu", "https://xhslink.com/m/2cRHGztjdVu")</f>
        <v>https://xhslink.com/m/2cRHGztjdVu</v>
      </c>
      <c r="D825"/>
      <c r="E825">
        <v>3190</v>
      </c>
      <c r="F825">
        <v>19.9</v>
      </c>
      <c r="G825"/>
      <c r="H825"/>
      <c r="I825">
        <v>400</v>
      </c>
      <c r="J825"/>
      <c r="K825" t="inlineStr">
        <is>
          <t>课件</t>
        </is>
      </c>
      <c r="L825"/>
      <c r="M825" t="inlineStr">
        <is>
          <t>YesGPT的店</t>
        </is>
      </c>
      <c r="N825">
        <v>3625</v>
      </c>
      <c r="O825">
        <v>4.4</v>
      </c>
      <c r="P825">
        <v>12000</v>
      </c>
      <c r="Q825" t="inlineStr">
        <is>
          <t>67d6ad9d5fc3f700011d3d10</t>
        </is>
      </c>
      <c r="R825"/>
      <c r="S825" t="inlineStr">
        <is>
          <t>AI</t>
        </is>
      </c>
      <c r="T825" t="inlineStr">
        <is>
          <t>0.88</t>
        </is>
      </c>
      <c r="U825" s="3">
        <v>46112.78107638889</v>
      </c>
      <c r="V825" t="inlineStr">
        <is>
          <t>虚拟产品</t>
        </is>
      </c>
      <c r="W825" s="3">
        <v>46035</v>
      </c>
      <c r="X825" t="inlineStr">
        <is>
          <t>01</t>
        </is>
      </c>
      <c r="Y825" t="inlineStr">
        <is>
          <t>2026-Q1</t>
        </is>
      </c>
    </row>
    <row r="826" ht="38.25" customHeight="1">
      <c r="A826" t="inlineStr">
        <is>
          <t>课堂趣味惩罚ppt课件（4套）可修改</t>
        </is>
      </c>
      <c r="B826" t="inlineStr">
        <is>
          <t>recv8ahsn2rcek.jpg</t>
        </is>
      </c>
      <c r="C826" s="2" t="str">
        <f>=HYPERLINK("https://xhslink.com/m/5bbRf3tt7fc", "https://xhslink.com/m/5bbRf3tt7fc")</f>
        <v>https://xhslink.com/m/5bbRf3tt7fc</v>
      </c>
      <c r="D826"/>
      <c r="E826">
        <v>3181</v>
      </c>
      <c r="F826">
        <v>1.6</v>
      </c>
      <c r="G826"/>
      <c r="H826"/>
      <c r="I826">
        <v>800</v>
      </c>
      <c r="J826"/>
      <c r="K826" t="inlineStr">
        <is>
          <t>课件</t>
        </is>
      </c>
      <c r="L826"/>
      <c r="M826" t="inlineStr">
        <is>
          <t>中小学教学资料库的店</t>
        </is>
      </c>
      <c r="N826">
        <v>3077</v>
      </c>
      <c r="O826">
        <v>4.33</v>
      </c>
      <c r="P826">
        <v>15000</v>
      </c>
      <c r="Q826" t="inlineStr">
        <is>
          <t>67d2a1c85339580001e1d610</t>
        </is>
      </c>
      <c r="R826" t="inlineStr">
        <is>
          <t>🚫重复</t>
        </is>
      </c>
      <c r="S826" t="inlineStr">
        <is>
          <t>PPT模板</t>
        </is>
      </c>
      <c r="T826" t="inlineStr">
        <is>
          <t>1.03</t>
        </is>
      </c>
      <c r="U826" s="3">
        <v>46112.78107638889</v>
      </c>
      <c r="V826" t="inlineStr">
        <is>
          <t>虚拟产品</t>
        </is>
      </c>
      <c r="W826" s="3">
        <v>46035</v>
      </c>
      <c r="X826" t="inlineStr">
        <is>
          <t>01</t>
        </is>
      </c>
      <c r="Y826" t="inlineStr">
        <is>
          <t>2026-Q1</t>
        </is>
      </c>
    </row>
    <row r="827" ht="38.25" customHeight="1">
      <c r="A827" t="inlineStr">
        <is>
          <t>自选主题任选1个 ppt创意美术课件</t>
        </is>
      </c>
      <c r="B827" t="inlineStr">
        <is>
          <t>recv8ahsn2R7C8.jpg</t>
        </is>
      </c>
      <c r="C827" s="2" t="str">
        <f>=HYPERLINK("https://xhslink.com/m/9NFnMn3L94X", "https://xhslink.com/m/9NFnMn3L94X")</f>
        <v>https://xhslink.com/m/9NFnMn3L94X</v>
      </c>
      <c r="D827"/>
      <c r="E827">
        <v>3048</v>
      </c>
      <c r="F827">
        <v>5</v>
      </c>
      <c r="G827"/>
      <c r="H827"/>
      <c r="I827">
        <v>500</v>
      </c>
      <c r="J827"/>
      <c r="K827" t="inlineStr">
        <is>
          <t>课件</t>
        </is>
      </c>
      <c r="L827"/>
      <c r="M827" t="inlineStr">
        <is>
          <t>画画栩（有课件）的店</t>
        </is>
      </c>
      <c r="N827">
        <v>21000</v>
      </c>
      <c r="O827">
        <v>4</v>
      </c>
      <c r="P827">
        <v>4256</v>
      </c>
      <c r="Q827" t="inlineStr">
        <is>
          <t>6726f7c48a48d900011f2084</t>
        </is>
      </c>
      <c r="R827"/>
      <c r="S827" t="inlineStr">
        <is>
          <t>PPT模板</t>
        </is>
      </c>
      <c r="T827" t="inlineStr">
        <is>
          <t>0.15</t>
        </is>
      </c>
      <c r="U827" s="3">
        <v>46112.78107638889</v>
      </c>
      <c r="V827" t="inlineStr">
        <is>
          <t>虚拟产品</t>
        </is>
      </c>
      <c r="W827" s="3">
        <v>46035</v>
      </c>
      <c r="X827" t="inlineStr">
        <is>
          <t>01</t>
        </is>
      </c>
      <c r="Y827" t="inlineStr">
        <is>
          <t>2026-Q1</t>
        </is>
      </c>
    </row>
    <row r="828" ht="38.25" customHeight="1">
      <c r="A828" t="inlineStr">
        <is>
          <t>【单个课件】六上课件（仅含课件+教案）自动发货</t>
        </is>
      </c>
      <c r="B828" t="inlineStr">
        <is>
          <t>recv8ahsn2ycms.jpg</t>
        </is>
      </c>
      <c r="C828" s="2" t="str">
        <f>=HYPERLINK("https://xhslink.com/m/7XPZkGMByDP", "https://xhslink.com/m/7XPZkGMByDP")</f>
        <v>https://xhslink.com/m/7XPZkGMByDP</v>
      </c>
      <c r="D828"/>
      <c r="E828">
        <v>3043</v>
      </c>
      <c r="F828">
        <v>15.8</v>
      </c>
      <c r="G828"/>
      <c r="H828"/>
      <c r="I828">
        <v>1000</v>
      </c>
      <c r="J828"/>
      <c r="K828" t="inlineStr">
        <is>
          <t>课件</t>
        </is>
      </c>
      <c r="L828"/>
      <c r="M828" t="inlineStr">
        <is>
          <t>李自白课件的店</t>
        </is>
      </c>
      <c r="N828">
        <v>22000</v>
      </c>
      <c r="O828">
        <v>4.37</v>
      </c>
      <c r="P828">
        <v>11000</v>
      </c>
      <c r="Q828" t="inlineStr">
        <is>
          <t>68e49f058aa57600019f927d</t>
        </is>
      </c>
      <c r="R828" t="inlineStr">
        <is>
          <t>🚫重复</t>
        </is>
      </c>
      <c r="S828" t="inlineStr">
        <is>
          <t>中小学教辅/教材</t>
        </is>
      </c>
      <c r="T828" t="inlineStr">
        <is>
          <t>0.14</t>
        </is>
      </c>
      <c r="U828" s="3">
        <v>46112.78107638889</v>
      </c>
      <c r="V828" t="inlineStr">
        <is>
          <t>虚拟产品</t>
        </is>
      </c>
      <c r="W828" s="3">
        <v>46035</v>
      </c>
      <c r="X828" t="inlineStr">
        <is>
          <t>01</t>
        </is>
      </c>
      <c r="Y828" t="inlineStr">
        <is>
          <t>2026-Q1</t>
        </is>
      </c>
    </row>
    <row r="829" ht="38.25" customHeight="1">
      <c r="A829" t="inlineStr">
        <is>
          <t>小学英语优质课，内容完整，适合观摩学习与课件教学参考</t>
        </is>
      </c>
      <c r="B829" t="inlineStr">
        <is>
          <t>recv8ahsn2dv39.jpg</t>
        </is>
      </c>
      <c r="C829" s="2" t="str">
        <f>=HYPERLINK("https://xhslink.com/m/12BHIlUK5HU", "https://xhslink.com/m/12BHIlUK5HU")</f>
        <v>https://xhslink.com/m/12BHIlUK5HU</v>
      </c>
      <c r="D829"/>
      <c r="E829">
        <v>2988</v>
      </c>
      <c r="F829">
        <v>15</v>
      </c>
      <c r="G829"/>
      <c r="H829"/>
      <c r="I829">
        <v>400</v>
      </c>
      <c r="J829"/>
      <c r="K829" t="inlineStr">
        <is>
          <t>课件</t>
        </is>
      </c>
      <c r="L829"/>
      <c r="M829" t="inlineStr">
        <is>
          <t>是睦睦呀！的店</t>
        </is>
      </c>
      <c r="N829">
        <v>5409</v>
      </c>
      <c r="O829">
        <v>4.5</v>
      </c>
      <c r="P829">
        <v>8684</v>
      </c>
      <c r="Q829" t="inlineStr">
        <is>
          <t>6633518b9e07ee0001d91785</t>
        </is>
      </c>
      <c r="R829"/>
      <c r="S829" t="inlineStr">
        <is>
          <t>中小学教辅/教材</t>
        </is>
      </c>
      <c r="T829" t="inlineStr">
        <is>
          <t>0.55</t>
        </is>
      </c>
      <c r="U829" s="3">
        <v>46112.78107638889</v>
      </c>
      <c r="V829" t="inlineStr">
        <is>
          <t>虚拟产品</t>
        </is>
      </c>
      <c r="W829" s="3">
        <v>46035</v>
      </c>
      <c r="X829" t="inlineStr">
        <is>
          <t>01</t>
        </is>
      </c>
      <c r="Y829" t="inlineStr">
        <is>
          <t>2026-Q1</t>
        </is>
      </c>
    </row>
    <row r="830" ht="38.25" customHeight="1">
      <c r="A830" t="inlineStr">
        <is>
          <t>初中语文课前“微听写”课件（人教版部编版）</t>
        </is>
      </c>
      <c r="B830" t="inlineStr">
        <is>
          <t>recv8ahsn2gd9k.jpg</t>
        </is>
      </c>
      <c r="C830" s="2" t="str">
        <f>=HYPERLINK("https://xhslink.com/m/53RLdP0a6VA", "https://xhslink.com/m/53RLdP0a6VA")</f>
        <v>https://xhslink.com/m/53RLdP0a6VA</v>
      </c>
      <c r="D830"/>
      <c r="E830">
        <v>2949</v>
      </c>
      <c r="F830">
        <v>16.9</v>
      </c>
      <c r="G830"/>
      <c r="H830"/>
      <c r="I830">
        <v>400</v>
      </c>
      <c r="J830"/>
      <c r="K830" t="inlineStr">
        <is>
          <t>课件</t>
        </is>
      </c>
      <c r="L830"/>
      <c r="M830" t="inlineStr">
        <is>
          <t>教语文的葭葭子的店</t>
        </is>
      </c>
      <c r="N830">
        <v>13000</v>
      </c>
      <c r="O830">
        <v>4.35</v>
      </c>
      <c r="P830">
        <v>14000</v>
      </c>
      <c r="Q830" t="inlineStr">
        <is>
          <t>677020c75848cb0001b090d7</t>
        </is>
      </c>
      <c r="R830" t="inlineStr">
        <is>
          <t>🚫重复</t>
        </is>
      </c>
      <c r="S830" t="inlineStr">
        <is>
          <t>中小学教辅/教材</t>
        </is>
      </c>
      <c r="T830" t="inlineStr">
        <is>
          <t>0.23</t>
        </is>
      </c>
      <c r="U830" s="3">
        <v>46112.78107638889</v>
      </c>
      <c r="V830" t="inlineStr">
        <is>
          <t>虚拟产品</t>
        </is>
      </c>
      <c r="W830" s="3">
        <v>46035</v>
      </c>
      <c r="X830" t="inlineStr">
        <is>
          <t>01</t>
        </is>
      </c>
      <c r="Y830" t="inlineStr">
        <is>
          <t>2026-Q1</t>
        </is>
      </c>
    </row>
    <row r="831" ht="38.25" customHeight="1">
      <c r="A831" t="inlineStr">
        <is>
          <t>Procreate可商用字体包下载中英文古风毛笔书法AI/PS免费字体素材</t>
        </is>
      </c>
      <c r="B831" t="inlineStr">
        <is>
          <t>recv8ahsn26f6Q.jpg</t>
        </is>
      </c>
      <c r="C831" s="2" t="str">
        <f>=HYPERLINK("https://xhslink.com/m/4JbtpYgvIxE", "https://xhslink.com/m/4JbtpYgvIxE")</f>
        <v>https://xhslink.com/m/4JbtpYgvIxE</v>
      </c>
      <c r="D831"/>
      <c r="E831">
        <v>2531</v>
      </c>
      <c r="F831">
        <v>5</v>
      </c>
      <c r="G831"/>
      <c r="H831"/>
      <c r="I831">
        <v>700</v>
      </c>
      <c r="J831"/>
      <c r="K831" t="inlineStr">
        <is>
          <t>古风字体库(可商用)</t>
        </is>
      </c>
      <c r="L831"/>
      <c r="M831" t="inlineStr">
        <is>
          <t>印象素材资源的店</t>
        </is>
      </c>
      <c r="N831">
        <v>2320</v>
      </c>
      <c r="O831">
        <v>4.41</v>
      </c>
      <c r="P831">
        <v>21000</v>
      </c>
      <c r="Q831" t="inlineStr">
        <is>
          <t>670fb42a51c91c0001f8f487</t>
        </is>
      </c>
      <c r="R831" t="inlineStr">
        <is>
          <t>🚫重复</t>
        </is>
      </c>
      <c r="S831" t="inlineStr">
        <is>
          <t>设计素材</t>
        </is>
      </c>
      <c r="T831" t="inlineStr">
        <is>
          <t>1.09</t>
        </is>
      </c>
      <c r="U831" s="3">
        <v>46112.78107638889</v>
      </c>
      <c r="V831" t="inlineStr">
        <is>
          <t>虚拟产品</t>
        </is>
      </c>
      <c r="W831" s="3">
        <v>46035</v>
      </c>
      <c r="X831" t="inlineStr">
        <is>
          <t>01</t>
        </is>
      </c>
      <c r="Y831" t="inlineStr">
        <is>
          <t>2026-Q1</t>
        </is>
      </c>
    </row>
    <row r="832" ht="38.25" customHeight="1">
      <c r="A832" t="inlineStr">
        <is>
          <t>初中教学课件+教务资料合集|语文教学4W＋必备资料</t>
        </is>
      </c>
      <c r="B832" t="inlineStr">
        <is>
          <t>recv8ahsn2bQeg.jpg</t>
        </is>
      </c>
      <c r="C832" s="2" t="str">
        <f>=HYPERLINK("https://xhslink.com/m/A1SHhreGnnI", "https://xhslink.com/m/A1SHhreGnnI")</f>
        <v>https://xhslink.com/m/A1SHhreGnnI</v>
      </c>
      <c r="D832"/>
      <c r="E832">
        <v>555</v>
      </c>
      <c r="F832">
        <v>9.9</v>
      </c>
      <c r="G832"/>
      <c r="H832"/>
      <c r="I832">
        <v>500</v>
      </c>
      <c r="J832"/>
      <c r="K832" t="inlineStr">
        <is>
          <t>教务资料</t>
        </is>
      </c>
      <c r="L832"/>
      <c r="M832" t="inlineStr">
        <is>
          <t>Amy老师的资料库的店</t>
        </is>
      </c>
      <c r="N832">
        <v>1487</v>
      </c>
      <c r="O832">
        <v>4.28</v>
      </c>
      <c r="P832">
        <v>12000</v>
      </c>
      <c r="Q832" t="inlineStr">
        <is>
          <t>694226d10a90060001ac7a85</t>
        </is>
      </c>
      <c r="R832" t="inlineStr">
        <is>
          <t>🚫重复</t>
        </is>
      </c>
      <c r="S832" t="inlineStr">
        <is>
          <t>中小学教辅/教材</t>
        </is>
      </c>
      <c r="T832" t="inlineStr">
        <is>
          <t>0.37</t>
        </is>
      </c>
      <c r="U832" s="3">
        <v>46112.78107638889</v>
      </c>
      <c r="V832" t="inlineStr">
        <is>
          <t>虚拟产品</t>
        </is>
      </c>
      <c r="W832" s="3">
        <v>46035</v>
      </c>
      <c r="X832" t="inlineStr">
        <is>
          <t>01</t>
        </is>
      </c>
      <c r="Y832" t="inlineStr">
        <is>
          <t>2026-Q1</t>
        </is>
      </c>
    </row>
    <row r="833" ht="38.25" customHeight="1">
      <c r="A833" t="inlineStr">
        <is>
          <t>2025新版初一初二初三语文数学英语生物化史地道法知识点电子版</t>
        </is>
      </c>
      <c r="B833" t="inlineStr">
        <is>
          <t>recv8ahsn287PK.jpg</t>
        </is>
      </c>
      <c r="C833" s="2" t="str">
        <f>=HYPERLINK("https://xhslink.com/m/9xWegpswiGA", "https://xhslink.com/m/9xWegpswiGA")</f>
        <v>https://xhslink.com/m/9xWegpswiGA</v>
      </c>
      <c r="D833"/>
      <c r="E833">
        <v>3813</v>
      </c>
      <c r="F833">
        <v>4.99</v>
      </c>
      <c r="G833"/>
      <c r="H833"/>
      <c r="I833">
        <v>1000</v>
      </c>
      <c r="J833"/>
      <c r="K833" t="inlineStr">
        <is>
          <t>初中物理知识点总结</t>
        </is>
      </c>
      <c r="L833"/>
      <c r="M833" t="inlineStr">
        <is>
          <t>任老师学习资料库的店</t>
        </is>
      </c>
      <c r="N833">
        <v>1604</v>
      </c>
      <c r="O833">
        <v>4.38</v>
      </c>
      <c r="P833">
        <v>4584</v>
      </c>
      <c r="Q833" t="inlineStr">
        <is>
          <t>68518fcac5d1b4000143c04a</t>
        </is>
      </c>
      <c r="R833" t="inlineStr">
        <is>
          <t>🚫重复</t>
        </is>
      </c>
      <c r="S833" t="inlineStr">
        <is>
          <t>中小学教辅/教材</t>
        </is>
      </c>
      <c r="T833" t="inlineStr">
        <is>
          <t>2.38</t>
        </is>
      </c>
      <c r="U833" s="3">
        <v>46112.78107638889</v>
      </c>
      <c r="V833" t="inlineStr">
        <is>
          <t>虚拟产品</t>
        </is>
      </c>
      <c r="W833" s="3">
        <v>46035</v>
      </c>
      <c r="X833" t="inlineStr">
        <is>
          <t>01</t>
        </is>
      </c>
      <c r="Y833" t="inlineStr">
        <is>
          <t>2026-Q1</t>
        </is>
      </c>
    </row>
    <row r="834" ht="38.25" customHeight="1">
      <c r="A834" t="inlineStr">
        <is>
          <t>初中物理每日默写小纸条+知识归纳总结+中考状元笔记 通用版</t>
        </is>
      </c>
      <c r="B834" t="inlineStr">
        <is>
          <t>recv8ahsn2yp0j.jpg</t>
        </is>
      </c>
      <c r="C834" s="2" t="str">
        <f>=HYPERLINK("https://xhslink.com/m/AcFUk5DHCAw", "https://xhslink.com/m/AcFUk5DHCAw")</f>
        <v>https://xhslink.com/m/AcFUk5DHCAw</v>
      </c>
      <c r="D834"/>
      <c r="E834">
        <v>1853</v>
      </c>
      <c r="F834">
        <v>9.8</v>
      </c>
      <c r="G834"/>
      <c r="H834"/>
      <c r="I834">
        <v>300</v>
      </c>
      <c r="J834"/>
      <c r="K834" t="inlineStr">
        <is>
          <t>初中物理知识点总结</t>
        </is>
      </c>
      <c r="L834"/>
      <c r="M834" t="inlineStr">
        <is>
          <t>小徐老师学习资料库的店</t>
        </is>
      </c>
      <c r="N834">
        <v>5698</v>
      </c>
      <c r="O834">
        <v>4</v>
      </c>
      <c r="P834">
        <v>10000</v>
      </c>
      <c r="Q834" t="inlineStr">
        <is>
          <t>6717057975e23c000110a6b9</t>
        </is>
      </c>
      <c r="R834" t="inlineStr">
        <is>
          <t>🚫重复</t>
        </is>
      </c>
      <c r="S834" t="inlineStr">
        <is>
          <t>中小学教辅/教材</t>
        </is>
      </c>
      <c r="T834" t="inlineStr">
        <is>
          <t>0.33</t>
        </is>
      </c>
      <c r="U834" s="3">
        <v>46112.78107638889</v>
      </c>
      <c r="V834" t="inlineStr">
        <is>
          <t>虚拟产品</t>
        </is>
      </c>
      <c r="W834" s="3">
        <v>46035</v>
      </c>
      <c r="X834" t="inlineStr">
        <is>
          <t>01</t>
        </is>
      </c>
      <c r="Y834" t="inlineStr">
        <is>
          <t>2026-Q1</t>
        </is>
      </c>
    </row>
    <row r="835" ht="38.25" customHeight="1">
      <c r="A835" t="inlineStr">
        <is>
          <t>2025年全国通用初中各科学习资料七八九年级上下册知识点电子版</t>
        </is>
      </c>
      <c r="B835" t="inlineStr">
        <is>
          <t>recv8ahsn2j8P1.jpg</t>
        </is>
      </c>
      <c r="C835" s="2" t="str">
        <f>=HYPERLINK("https://xhslink.com/m/8VtaMcsGmCc", "https://xhslink.com/m/8VtaMcsGmCc")</f>
        <v>https://xhslink.com/m/8VtaMcsGmCc</v>
      </c>
      <c r="D835"/>
      <c r="E835">
        <v>1825</v>
      </c>
      <c r="F835">
        <v>6.9</v>
      </c>
      <c r="G835"/>
      <c r="H835"/>
      <c r="I835">
        <v>400</v>
      </c>
      <c r="J835"/>
      <c r="K835" t="inlineStr">
        <is>
          <t>初中物理知识点总结</t>
        </is>
      </c>
      <c r="L835"/>
      <c r="M835" t="inlineStr">
        <is>
          <t>小王学姐很nice的店</t>
        </is>
      </c>
      <c r="N835">
        <v>1126</v>
      </c>
      <c r="O835">
        <v>4.22</v>
      </c>
      <c r="P835">
        <v>7693</v>
      </c>
      <c r="Q835" t="inlineStr">
        <is>
          <t>68491471fab3990001c2c141</t>
        </is>
      </c>
      <c r="R835" t="inlineStr">
        <is>
          <t>🚫重复</t>
        </is>
      </c>
      <c r="S835" t="inlineStr">
        <is>
          <t>中小学教辅/教材</t>
        </is>
      </c>
      <c r="T835" t="inlineStr">
        <is>
          <t>1.62</t>
        </is>
      </c>
      <c r="U835" s="3">
        <v>46112.78107638889</v>
      </c>
      <c r="V835" t="inlineStr">
        <is>
          <t>虚拟产品</t>
        </is>
      </c>
      <c r="W835" s="3">
        <v>46035</v>
      </c>
      <c r="X835" t="inlineStr">
        <is>
          <t>01</t>
        </is>
      </c>
      <c r="Y835" t="inlineStr">
        <is>
          <t>2026-Q1</t>
        </is>
      </c>
    </row>
    <row r="836" ht="38.25" customHeight="1">
      <c r="A836" t="inlineStr">
        <is>
          <t>2026年中考一轮二轮总复习初三课件知识点专题训练模拟题历年真题</t>
        </is>
      </c>
      <c r="B836" t="inlineStr">
        <is>
          <t>recv8ahsn2wmWc.jpg</t>
        </is>
      </c>
      <c r="C836" s="2" t="str">
        <f>=HYPERLINK("https://xhslink.com/m/9jAVH6cVJHc", "https://xhslink.com/m/9jAVH6cVJHc")</f>
        <v>https://xhslink.com/m/9jAVH6cVJHc</v>
      </c>
      <c r="D836"/>
      <c r="E836">
        <v>722</v>
      </c>
      <c r="F836">
        <v>6.88</v>
      </c>
      <c r="G836"/>
      <c r="H836"/>
      <c r="I836"/>
      <c r="J836"/>
      <c r="K836" t="inlineStr">
        <is>
          <t>初中物理知识点总结</t>
        </is>
      </c>
      <c r="L836"/>
      <c r="M836" t="inlineStr">
        <is>
          <t>婷婷老师的学习库的店</t>
        </is>
      </c>
      <c r="N836">
        <v>3903</v>
      </c>
      <c r="O836">
        <v>4.5</v>
      </c>
      <c r="P836">
        <v>15000</v>
      </c>
      <c r="Q836" t="inlineStr">
        <is>
          <t>68810ac8b1b9df00017ba1e7</t>
        </is>
      </c>
      <c r="R836" t="inlineStr">
        <is>
          <t>🚫重复</t>
        </is>
      </c>
      <c r="S836" t="inlineStr">
        <is>
          <t>中小学教辅/教材</t>
        </is>
      </c>
      <c r="T836" t="inlineStr">
        <is>
          <t>0.18</t>
        </is>
      </c>
      <c r="U836" s="3">
        <v>46112.78107638889</v>
      </c>
      <c r="V836" t="inlineStr">
        <is>
          <t>虚拟产品</t>
        </is>
      </c>
      <c r="W836" s="3">
        <v>46035</v>
      </c>
      <c r="X836" t="inlineStr">
        <is>
          <t>01</t>
        </is>
      </c>
      <c r="Y836" t="inlineStr">
        <is>
          <t>2026-Q1</t>
        </is>
      </c>
    </row>
    <row r="837" ht="38.25" customHeight="1">
      <c r="A837" t="inlineStr">
        <is>
          <t>初中人教版物理核心考点笔记完整版</t>
        </is>
      </c>
      <c r="B837" t="inlineStr">
        <is>
          <t>recv8ahsn2GFqH.jpg</t>
        </is>
      </c>
      <c r="C837" s="2" t="str">
        <f>=HYPERLINK("https://xhslink.com/m/1Oc6gGnpJNT", "https://xhslink.com/m/1Oc6gGnpJNT")</f>
        <v>https://xhslink.com/m/1Oc6gGnpJNT</v>
      </c>
      <c r="D837"/>
      <c r="E837">
        <v>536</v>
      </c>
      <c r="F837">
        <v>2.9</v>
      </c>
      <c r="G837"/>
      <c r="H837"/>
      <c r="I837">
        <v>400</v>
      </c>
      <c r="J837"/>
      <c r="K837" t="inlineStr">
        <is>
          <t>初中物理知识点总结</t>
        </is>
      </c>
      <c r="L837"/>
      <c r="M837" t="inlineStr">
        <is>
          <t>刘木木老师（教辅分享）的店</t>
        </is>
      </c>
      <c r="N837">
        <v>12000</v>
      </c>
      <c r="O837">
        <v>4.36</v>
      </c>
      <c r="P837">
        <v>11000</v>
      </c>
      <c r="Q837" t="inlineStr">
        <is>
          <t>6913fd9ce561cd000180a4ff</t>
        </is>
      </c>
      <c r="R837" t="inlineStr">
        <is>
          <t>🚫重复</t>
        </is>
      </c>
      <c r="S837" t="inlineStr">
        <is>
          <t>中小学教辅/教材</t>
        </is>
      </c>
      <c r="T837" t="inlineStr">
        <is>
          <t>0.04</t>
        </is>
      </c>
      <c r="U837" s="3">
        <v>46112.78107638889</v>
      </c>
      <c r="V837" t="inlineStr">
        <is>
          <t>虚拟产品</t>
        </is>
      </c>
      <c r="W837" s="3">
        <v>46035</v>
      </c>
      <c r="X837" t="inlineStr">
        <is>
          <t>01</t>
        </is>
      </c>
      <c r="Y837" t="inlineStr">
        <is>
          <t>2026-Q1</t>
        </is>
      </c>
    </row>
    <row r="838" ht="38.25" customHeight="1">
      <c r="A838" t="inlineStr">
        <is>
          <t>P掉路人P图去多余人消除游客杂物物品ps修图去掉陌生人换背景杂乱</t>
        </is>
      </c>
      <c r="B838" t="inlineStr">
        <is>
          <t>recv8ahsn2qyas.jpg</t>
        </is>
      </c>
      <c r="C838" s="2" t="str">
        <f>=HYPERLINK("https://xhslink.com/m/IeYoRD2MW3", "https://xhslink.com/m/IeYoRD2MW3")</f>
        <v>https://xhslink.com/m/IeYoRD2MW3</v>
      </c>
      <c r="D838"/>
      <c r="E838">
        <v>129000</v>
      </c>
      <c r="F838">
        <v>1</v>
      </c>
      <c r="G838"/>
      <c r="H838"/>
      <c r="I838">
        <v>1000</v>
      </c>
      <c r="J838"/>
      <c r="K838" t="inlineStr">
        <is>
          <t>Stable Diffusion漠型库</t>
        </is>
      </c>
      <c r="L838" t="inlineStr">
        <is>
          <t>🔥低粉爆款</t>
        </is>
      </c>
      <c r="M838" t="inlineStr">
        <is>
          <t>唐果 P图大神的店</t>
        </is>
      </c>
      <c r="N838">
        <v>12000</v>
      </c>
      <c r="O838">
        <v>4.36</v>
      </c>
      <c r="P838">
        <v>232000</v>
      </c>
      <c r="Q838" t="inlineStr">
        <is>
          <t>662b00285e76560001e46228</t>
        </is>
      </c>
      <c r="R838"/>
      <c r="S838" t="inlineStr">
        <is>
          <t>设计素材</t>
        </is>
      </c>
      <c r="T838" t="inlineStr">
        <is>
          <t>10.75</t>
        </is>
      </c>
      <c r="U838" s="3">
        <v>46112.78107638889</v>
      </c>
      <c r="V838" t="inlineStr">
        <is>
          <t>虚拟产品</t>
        </is>
      </c>
      <c r="W838" s="3">
        <v>46035</v>
      </c>
      <c r="X838" t="inlineStr">
        <is>
          <t>01</t>
        </is>
      </c>
      <c r="Y838" t="inlineStr">
        <is>
          <t>2026-Q1</t>
        </is>
      </c>
    </row>
    <row r="839" ht="38.25" customHeight="1">
      <c r="A839" t="inlineStr">
        <is>
          <t>照片去水印图片PS水印去水印无痕去商品水印修去路人P图修图抠图</t>
        </is>
      </c>
      <c r="B839" t="inlineStr">
        <is>
          <t>recv8ahsn2xoZC.jpg</t>
        </is>
      </c>
      <c r="C839" s="2" t="str">
        <f>=HYPERLINK("https://xhslink.com/m/2WlvDYqM8NP", "https://xhslink.com/m/2WlvDYqM8NP")</f>
        <v>https://xhslink.com/m/2WlvDYqM8NP</v>
      </c>
      <c r="D839"/>
      <c r="E839">
        <v>14000</v>
      </c>
      <c r="F839">
        <v>1</v>
      </c>
      <c r="G839"/>
      <c r="H839"/>
      <c r="I839">
        <v>500</v>
      </c>
      <c r="J839"/>
      <c r="K839" t="inlineStr">
        <is>
          <t>Stable Diffusion漠型库</t>
        </is>
      </c>
      <c r="L839" t="inlineStr">
        <is>
          <t>🔥低粉爆款</t>
        </is>
      </c>
      <c r="M839" t="inlineStr">
        <is>
          <t>时空设计的店</t>
        </is>
      </c>
      <c r="N839">
        <v>560</v>
      </c>
      <c r="O839">
        <v>3.99</v>
      </c>
      <c r="P839">
        <v>23000</v>
      </c>
      <c r="Q839" t="inlineStr">
        <is>
          <t>675bb580faaaf3000166777f</t>
        </is>
      </c>
      <c r="R839"/>
      <c r="S839" t="inlineStr">
        <is>
          <t>设计素材</t>
        </is>
      </c>
      <c r="T839" t="inlineStr">
        <is>
          <t>25.00</t>
        </is>
      </c>
      <c r="U839" s="3">
        <v>46112.78107638889</v>
      </c>
      <c r="V839" t="inlineStr">
        <is>
          <t>虚拟产品</t>
        </is>
      </c>
      <c r="W839" s="3">
        <v>46035</v>
      </c>
      <c r="X839" t="inlineStr">
        <is>
          <t>01</t>
        </is>
      </c>
      <c r="Y839" t="inlineStr">
        <is>
          <t>2026-Q1</t>
        </is>
      </c>
    </row>
    <row r="840" ht="38.25" customHeight="1">
      <c r="A840" t="inlineStr">
        <is>
          <t>先咨询再下单~婚纱照订婚P图专业人像修图网红精修网感自拍写真</t>
        </is>
      </c>
      <c r="B840" t="inlineStr">
        <is>
          <t>recv8ahsn2BoZ3.jpg</t>
        </is>
      </c>
      <c r="C840" s="2" t="str">
        <f>=HYPERLINK("https://xhslink.com/m/9HdCcZnuJis", "https://xhslink.com/m/9HdCcZnuJis")</f>
        <v>https://xhslink.com/m/9HdCcZnuJis</v>
      </c>
      <c r="D840"/>
      <c r="E840">
        <v>13000</v>
      </c>
      <c r="F840">
        <v>5</v>
      </c>
      <c r="G840"/>
      <c r="H840"/>
      <c r="I840">
        <v>500</v>
      </c>
      <c r="J840"/>
      <c r="K840" t="inlineStr">
        <is>
          <t>Stable Diffusion漠型库</t>
        </is>
      </c>
      <c r="L840"/>
      <c r="M840" t="inlineStr">
        <is>
          <t>艾米莉设计工作室的店</t>
        </is>
      </c>
      <c r="N840">
        <v>8477</v>
      </c>
      <c r="O840">
        <v>4.09</v>
      </c>
      <c r="P840">
        <v>23000</v>
      </c>
      <c r="Q840" t="inlineStr">
        <is>
          <t>667c142eafc41c000113af80</t>
        </is>
      </c>
      <c r="R840"/>
      <c r="S840" t="inlineStr">
        <is>
          <t>咨询服务</t>
        </is>
      </c>
      <c r="T840" t="inlineStr">
        <is>
          <t>1.53</t>
        </is>
      </c>
      <c r="U840" s="3">
        <v>46112.78107638889</v>
      </c>
      <c r="V840" t="inlineStr">
        <is>
          <t>虚拟产品</t>
        </is>
      </c>
      <c r="W840" s="3">
        <v>46035</v>
      </c>
      <c r="X840" t="inlineStr">
        <is>
          <t>01</t>
        </is>
      </c>
      <c r="Y840" t="inlineStr">
        <is>
          <t>2026-Q1</t>
        </is>
      </c>
    </row>
    <row r="841" ht="38.25" customHeight="1">
      <c r="A841" t="inlineStr">
        <is>
          <t>修图人像 抠图 精修人物照片 写真婚纱照</t>
        </is>
      </c>
      <c r="B841" t="inlineStr">
        <is>
          <t>recv8ahsn2Y1JM.jpg</t>
        </is>
      </c>
      <c r="C841" s="2" t="str">
        <f>=HYPERLINK("https://xhslink.com/m/3bpvSrqL4Ht", "https://xhslink.com/m/3bpvSrqL4Ht")</f>
        <v>https://xhslink.com/m/3bpvSrqL4Ht</v>
      </c>
      <c r="D841"/>
      <c r="E841">
        <v>13000</v>
      </c>
      <c r="F841">
        <v>5</v>
      </c>
      <c r="G841"/>
      <c r="H841"/>
      <c r="I841">
        <v>1000</v>
      </c>
      <c r="J841"/>
      <c r="K841" t="inlineStr">
        <is>
          <t>Stable Diffusion漠型库</t>
        </is>
      </c>
      <c r="L841"/>
      <c r="M841" t="inlineStr">
        <is>
          <t>柒柒修图工作室的店</t>
        </is>
      </c>
      <c r="N841">
        <v>10000</v>
      </c>
      <c r="O841">
        <v>3.9</v>
      </c>
      <c r="P841">
        <v>50000</v>
      </c>
      <c r="Q841" t="inlineStr">
        <is>
          <t>686342b87e7bf0000137b744</t>
        </is>
      </c>
      <c r="R841"/>
      <c r="S841" t="inlineStr">
        <is>
          <t>设计素材</t>
        </is>
      </c>
      <c r="T841" t="inlineStr">
        <is>
          <t>1.30</t>
        </is>
      </c>
      <c r="U841" s="3">
        <v>46112.78107638889</v>
      </c>
      <c r="V841" t="inlineStr">
        <is>
          <t>虚拟产品</t>
        </is>
      </c>
      <c r="W841" s="3">
        <v>46035</v>
      </c>
      <c r="X841" t="inlineStr">
        <is>
          <t>01</t>
        </is>
      </c>
      <c r="Y841" t="inlineStr">
        <is>
          <t>2026-Q1</t>
        </is>
      </c>
    </row>
    <row r="842" ht="38.25" customHeight="1">
      <c r="A842" t="inlineStr">
        <is>
          <t>GraphPad Prism 10.6蕞新中英文新版本 支持Win/Mac 科研绘图软件</t>
        </is>
      </c>
      <c r="B842" t="inlineStr">
        <is>
          <t>recv8ahsn2XmqQ.jpg</t>
        </is>
      </c>
      <c r="C842" s="2" t="str">
        <f>=HYPERLINK("https://xhslink.com/m/3mjLjRBgsE7", "https://xhslink.com/m/3mjLjRBgsE7")</f>
        <v>https://xhslink.com/m/3mjLjRBgsE7</v>
      </c>
      <c r="D842"/>
      <c r="E842">
        <v>8387</v>
      </c>
      <c r="F842">
        <v>1.99</v>
      </c>
      <c r="G842"/>
      <c r="H842"/>
      <c r="I842">
        <v>500</v>
      </c>
      <c r="J842"/>
      <c r="K842" t="inlineStr">
        <is>
          <t>Stable Diffusion漠型库</t>
        </is>
      </c>
      <c r="L842"/>
      <c r="M842" t="inlineStr">
        <is>
          <t>小张数码迷的店</t>
        </is>
      </c>
      <c r="N842">
        <v>8993</v>
      </c>
      <c r="O842">
        <v>4.4</v>
      </c>
      <c r="P842">
        <v>61000</v>
      </c>
      <c r="Q842" t="inlineStr">
        <is>
          <t>6730c4d947f3d000013cf998</t>
        </is>
      </c>
      <c r="R842"/>
      <c r="S842" t="inlineStr">
        <is>
          <t>软件应用</t>
        </is>
      </c>
      <c r="T842" t="inlineStr">
        <is>
          <t>0.93</t>
        </is>
      </c>
      <c r="U842" s="3">
        <v>46112.78107638889</v>
      </c>
      <c r="V842" t="inlineStr">
        <is>
          <t>虚拟产品</t>
        </is>
      </c>
      <c r="W842" s="3">
        <v>46035</v>
      </c>
      <c r="X842" t="inlineStr">
        <is>
          <t>01</t>
        </is>
      </c>
      <c r="Y842" t="inlineStr">
        <is>
          <t>2026-Q1</t>
        </is>
      </c>
    </row>
    <row r="843" ht="38.25" customHeight="1">
      <c r="A843" t="inlineStr">
        <is>
          <t>PS修图无痕改字PDF编辑改图改尺寸换装形象照图片处理</t>
        </is>
      </c>
      <c r="B843" t="inlineStr">
        <is>
          <t>recv8ahsn2yD2L.jpg</t>
        </is>
      </c>
      <c r="C843" s="2" t="str">
        <f>=HYPERLINK("https://xhslink.com/m/7zMCYQj4jts", "https://xhslink.com/m/7zMCYQj4jts")</f>
        <v>https://xhslink.com/m/7zMCYQj4jts</v>
      </c>
      <c r="D843"/>
      <c r="E843">
        <v>9865</v>
      </c>
      <c r="F843">
        <v>2</v>
      </c>
      <c r="G843"/>
      <c r="H843"/>
      <c r="I843">
        <v>600</v>
      </c>
      <c r="J843"/>
      <c r="K843" t="inlineStr">
        <is>
          <t>Stable Diffusion漠型库</t>
        </is>
      </c>
      <c r="L843" t="inlineStr">
        <is>
          <t>🔥低粉爆款</t>
        </is>
      </c>
      <c r="M843" t="inlineStr">
        <is>
          <t>never say never金chel的店</t>
        </is>
      </c>
      <c r="N843">
        <v>869</v>
      </c>
      <c r="O843">
        <v>4.27</v>
      </c>
      <c r="P843">
        <v>16000</v>
      </c>
      <c r="Q843" t="inlineStr">
        <is>
          <t>673a96bb34179e0001ab2a9c</t>
        </is>
      </c>
      <c r="R843"/>
      <c r="S843" t="inlineStr">
        <is>
          <t>设计素材</t>
        </is>
      </c>
      <c r="T843" t="inlineStr">
        <is>
          <t>11.35</t>
        </is>
      </c>
      <c r="U843" s="3">
        <v>46112.78107638889</v>
      </c>
      <c r="V843" t="inlineStr">
        <is>
          <t>虚拟产品</t>
        </is>
      </c>
      <c r="W843" s="3">
        <v>46035</v>
      </c>
      <c r="X843" t="inlineStr">
        <is>
          <t>01</t>
        </is>
      </c>
      <c r="Y843" t="inlineStr">
        <is>
          <t>2026-Q1</t>
        </is>
      </c>
    </row>
    <row r="844" ht="38.25" customHeight="1">
      <c r="A844" t="inlineStr">
        <is>
          <t>宝宝照电脑ps抠图修图/一张</t>
        </is>
      </c>
      <c r="B844" t="inlineStr">
        <is>
          <t>recv8ahsn2IigS.jpg</t>
        </is>
      </c>
      <c r="C844" s="2" t="str">
        <f>=HYPERLINK("https://xhslink.com/m/1MZZGVVhGYu", "https://xhslink.com/m/1MZZGVVhGYu")</f>
        <v>https://xhslink.com/m/1MZZGVVhGYu</v>
      </c>
      <c r="D844"/>
      <c r="E844">
        <v>7761</v>
      </c>
      <c r="F844">
        <v>10</v>
      </c>
      <c r="G844"/>
      <c r="H844"/>
      <c r="I844">
        <v>300</v>
      </c>
      <c r="J844"/>
      <c r="K844" t="inlineStr">
        <is>
          <t>Stable Diffusion漠型库</t>
        </is>
      </c>
      <c r="L844"/>
      <c r="M844" t="inlineStr">
        <is>
          <t>修图师&amp;「出租」服装道具的店</t>
        </is>
      </c>
      <c r="N844">
        <v>23000</v>
      </c>
      <c r="O844">
        <v>4.77</v>
      </c>
      <c r="P844">
        <v>10000</v>
      </c>
      <c r="Q844" t="inlineStr">
        <is>
          <t>691aa258cba79f0001ee4ce3</t>
        </is>
      </c>
      <c r="R844"/>
      <c r="S844" t="inlineStr">
        <is>
          <t>设计素材</t>
        </is>
      </c>
      <c r="T844" t="inlineStr">
        <is>
          <t>0.34</t>
        </is>
      </c>
      <c r="U844" s="3">
        <v>46112.78107638889</v>
      </c>
      <c r="V844" t="inlineStr">
        <is>
          <t>虚拟产品</t>
        </is>
      </c>
      <c r="W844" s="3">
        <v>46035</v>
      </c>
      <c r="X844" t="inlineStr">
        <is>
          <t>01</t>
        </is>
      </c>
      <c r="Y844" t="inlineStr">
        <is>
          <t>2026-Q1</t>
        </is>
      </c>
    </row>
    <row r="845" ht="38.25" customHeight="1">
      <c r="A845" t="inlineStr">
        <is>
          <t>sd绘画stablediffusion远程安装中文插件+ai教程精选模型库提示词</t>
        </is>
      </c>
      <c r="B845" t="inlineStr">
        <is>
          <t>recv8ahsn2Ku5l.jpg</t>
        </is>
      </c>
      <c r="C845" s="2" t="str">
        <f>=HYPERLINK("https://xhslink.com/m/pHRmr8au9o", "https://xhslink.com/m/pHRmr8au9o")</f>
        <v>https://xhslink.com/m/pHRmr8au9o</v>
      </c>
      <c r="D845"/>
      <c r="E845">
        <v>5633</v>
      </c>
      <c r="F845">
        <v>19.9</v>
      </c>
      <c r="G845"/>
      <c r="H845"/>
      <c r="I845">
        <v>300</v>
      </c>
      <c r="J845"/>
      <c r="K845" t="inlineStr">
        <is>
          <t>Stable Diffusion漠型库</t>
        </is>
      </c>
      <c r="L845"/>
      <c r="M845" t="inlineStr">
        <is>
          <t>stabledifussion的店</t>
        </is>
      </c>
      <c r="N845">
        <v>2637</v>
      </c>
      <c r="O845">
        <v>4.63</v>
      </c>
      <c r="P845">
        <v>6651</v>
      </c>
      <c r="Q845" t="inlineStr">
        <is>
          <t>661d27971294510001bb1e6c</t>
        </is>
      </c>
      <c r="R845"/>
      <c r="S845" t="inlineStr">
        <is>
          <t>AI</t>
        </is>
      </c>
      <c r="T845" t="inlineStr">
        <is>
          <t>2.14</t>
        </is>
      </c>
      <c r="U845" s="3">
        <v>46112.78107638889</v>
      </c>
      <c r="V845" t="inlineStr">
        <is>
          <t>虚拟产品</t>
        </is>
      </c>
      <c r="W845" s="3">
        <v>46035</v>
      </c>
      <c r="X845" t="inlineStr">
        <is>
          <t>01</t>
        </is>
      </c>
      <c r="Y845" t="inlineStr">
        <is>
          <t>2026-Q1</t>
        </is>
      </c>
    </row>
    <row r="846" ht="38.25" customHeight="1">
      <c r="A846" t="inlineStr">
        <is>
          <t>不要担心2小时和8公里以外的事情（心理治愈指南）</t>
        </is>
      </c>
      <c r="B846" t="inlineStr">
        <is>
          <t>recv8ahsn25V36.jpg</t>
        </is>
      </c>
      <c r="C846" s="2" t="str">
        <f>=HYPERLINK("https://xhslink.com/m/1poecur08gZ", "https://xhslink.com/m/1poecur08gZ")</f>
        <v>https://xhslink.com/m/1poecur08gZ</v>
      </c>
      <c r="D846"/>
      <c r="E846">
        <v>1343</v>
      </c>
      <c r="F846">
        <v>59.8</v>
      </c>
      <c r="G846"/>
      <c r="H846"/>
      <c r="I846">
        <v>1000</v>
      </c>
      <c r="J846"/>
      <c r="K846" t="inlineStr">
        <is>
          <t>失恋心理疏导指南</t>
        </is>
      </c>
      <c r="L846"/>
      <c r="M846" t="inlineStr">
        <is>
          <t>慧城图书的店</t>
        </is>
      </c>
      <c r="N846">
        <v>469</v>
      </c>
      <c r="O846">
        <v>4.65</v>
      </c>
      <c r="P846">
        <v>14000</v>
      </c>
      <c r="Q846" t="inlineStr">
        <is>
          <t>6909b8fd47309000018e1168</t>
        </is>
      </c>
      <c r="R846"/>
      <c r="S846" t="inlineStr">
        <is>
          <t>生活成长</t>
        </is>
      </c>
      <c r="T846" t="inlineStr">
        <is>
          <t>2.86</t>
        </is>
      </c>
      <c r="U846" s="3">
        <v>46112.78107638889</v>
      </c>
      <c r="V846" t="inlineStr">
        <is>
          <t>虚拟产品</t>
        </is>
      </c>
      <c r="W846" s="3">
        <v>46035</v>
      </c>
      <c r="X846" t="inlineStr">
        <is>
          <t>01</t>
        </is>
      </c>
      <c r="Y846" t="inlineStr">
        <is>
          <t>2026-Q1</t>
        </is>
      </c>
    </row>
    <row r="847" ht="38.25" customHeight="1">
      <c r="A847" t="inlineStr">
        <is>
          <t>【自动发货】恋爱攻心脱单指南（聊天版）综合版</t>
        </is>
      </c>
      <c r="B847" t="inlineStr">
        <is>
          <t>recv8ahsn2ikZE.jpg</t>
        </is>
      </c>
      <c r="C847" s="2" t="str">
        <f>=HYPERLINK("https://xhslink.com/m/2itZNaMuSn1", "https://xhslink.com/m/2itZNaMuSn1")</f>
        <v>https://xhslink.com/m/2itZNaMuSn1</v>
      </c>
      <c r="D847"/>
      <c r="E847">
        <v>644</v>
      </c>
      <c r="F847">
        <v>5.9</v>
      </c>
      <c r="G847"/>
      <c r="H847"/>
      <c r="I847">
        <v>300</v>
      </c>
      <c r="J847"/>
      <c r="K847" t="inlineStr">
        <is>
          <t>失恋心理疏导指南</t>
        </is>
      </c>
      <c r="L847"/>
      <c r="M847" t="inlineStr">
        <is>
          <t>坤知学堂的店</t>
        </is>
      </c>
      <c r="N847">
        <v>1177</v>
      </c>
      <c r="O847">
        <v>4.01</v>
      </c>
      <c r="P847">
        <v>9090</v>
      </c>
      <c r="Q847" t="inlineStr">
        <is>
          <t>683fdbda53e72e00015f7703</t>
        </is>
      </c>
      <c r="R847"/>
      <c r="S847" t="inlineStr">
        <is>
          <t>生活成长</t>
        </is>
      </c>
      <c r="T847" t="inlineStr">
        <is>
          <t>0.55</t>
        </is>
      </c>
      <c r="U847" s="3">
        <v>46112.78107638889</v>
      </c>
      <c r="V847" t="inlineStr">
        <is>
          <t>虚拟产品</t>
        </is>
      </c>
      <c r="W847" s="3">
        <v>46035</v>
      </c>
      <c r="X847" t="inlineStr">
        <is>
          <t>01</t>
        </is>
      </c>
      <c r="Y847" t="inlineStr">
        <is>
          <t>2026-Q1</t>
        </is>
      </c>
    </row>
    <row r="848" ht="38.25" customHeight="1">
      <c r="A848" t="inlineStr">
        <is>
          <t>3色视频水印 板写题字头像帮会壁纸约字原创设计 兮瑶的手写铺</t>
        </is>
      </c>
      <c r="B848" t="inlineStr">
        <is>
          <t>recv8ahsn2lPnc.jpg</t>
        </is>
      </c>
      <c r="C848" s="2" t="str">
        <f>=HYPERLINK("https://xhslink.com/m/AdHWnw0ZqT9", "https://xhslink.com/m/AdHWnw0ZqT9")</f>
        <v>https://xhslink.com/m/AdHWnw0ZqT9</v>
      </c>
      <c r="D848"/>
      <c r="E848">
        <v>6335</v>
      </c>
      <c r="F848">
        <v>7</v>
      </c>
      <c r="G848"/>
      <c r="H848"/>
      <c r="I848">
        <v>400</v>
      </c>
      <c r="J848"/>
      <c r="K848" t="inlineStr">
        <is>
          <t>头像壁纸</t>
        </is>
      </c>
      <c r="L848"/>
      <c r="M848" t="inlineStr">
        <is>
          <t>兮瑶的店</t>
        </is>
      </c>
      <c r="N848">
        <v>4855</v>
      </c>
      <c r="O848">
        <v>4.41</v>
      </c>
      <c r="P848">
        <v>7349</v>
      </c>
      <c r="Q848" t="inlineStr">
        <is>
          <t>67b1ce97db1dc10001f8a462</t>
        </is>
      </c>
      <c r="R848"/>
      <c r="S848" t="inlineStr">
        <is>
          <t>设计素材</t>
        </is>
      </c>
      <c r="T848" t="inlineStr">
        <is>
          <t>1.30</t>
        </is>
      </c>
      <c r="U848" s="3">
        <v>46112.78107638889</v>
      </c>
      <c r="V848" t="inlineStr">
        <is>
          <t>虚拟产品</t>
        </is>
      </c>
      <c r="W848" s="3">
        <v>46035</v>
      </c>
      <c r="X848" t="inlineStr">
        <is>
          <t>01</t>
        </is>
      </c>
      <c r="Y848" t="inlineStr">
        <is>
          <t>2026-Q1</t>
        </is>
      </c>
    </row>
    <row r="849" ht="38.25" customHeight="1">
      <c r="A849" t="inlineStr">
        <is>
          <t>3款五行喜金火|日出金山吸金头像手机壁纸ipad壁纸</t>
        </is>
      </c>
      <c r="B849" t="inlineStr">
        <is>
          <t>recv8ahsn2q7aX.jpg</t>
        </is>
      </c>
      <c r="C849" s="2" t="str">
        <f>=HYPERLINK("https://xhslink.com/m/3OzDHFgSoit", "https://xhslink.com/m/3OzDHFgSoit")</f>
        <v>https://xhslink.com/m/3OzDHFgSoit</v>
      </c>
      <c r="D849"/>
      <c r="E849">
        <v>1900</v>
      </c>
      <c r="F849">
        <v>12.8</v>
      </c>
      <c r="G849"/>
      <c r="H849"/>
      <c r="I849">
        <v>1000</v>
      </c>
      <c r="J849"/>
      <c r="K849" t="inlineStr">
        <is>
          <t>头像壁纸</t>
        </is>
      </c>
      <c r="L849"/>
      <c r="M849" t="inlineStr">
        <is>
          <t>云端lucky的店</t>
        </is>
      </c>
      <c r="N849">
        <v>3462</v>
      </c>
      <c r="O849">
        <v>4.43</v>
      </c>
      <c r="P849">
        <v>10000</v>
      </c>
      <c r="Q849" t="inlineStr">
        <is>
          <t>686ba1ebd16ded00014881d9</t>
        </is>
      </c>
      <c r="R849"/>
      <c r="S849" t="inlineStr">
        <is>
          <t>头像壁纸</t>
        </is>
      </c>
      <c r="T849" t="inlineStr">
        <is>
          <t>0.55</t>
        </is>
      </c>
      <c r="U849" s="3">
        <v>46112.78107638889</v>
      </c>
      <c r="V849" t="inlineStr">
        <is>
          <t>虚拟产品</t>
        </is>
      </c>
      <c r="W849" s="3">
        <v>46035</v>
      </c>
      <c r="X849" t="inlineStr">
        <is>
          <t>01</t>
        </is>
      </c>
      <c r="Y849" t="inlineStr">
        <is>
          <t>2026-Q1</t>
        </is>
      </c>
    </row>
    <row r="850" ht="38.25" customHeight="1">
      <c r="A850" t="inlineStr">
        <is>
          <t>王佩丰196节Excel实战大全-合集（下单后留意短信）</t>
        </is>
      </c>
      <c r="B850" t="inlineStr">
        <is>
          <t>recv8fKlTr5YDD.jpg</t>
        </is>
      </c>
      <c r="C850" s="2" t="str">
        <f>=HYPERLINK("https://xhslink.com/m/7NAqlrLeU7g", "https://xhslink.com/m/7NAqlrLeU7g")</f>
        <v>https://xhslink.com/m/7NAqlrLeU7g</v>
      </c>
      <c r="D850"/>
      <c r="E850">
        <v>6933</v>
      </c>
      <c r="F850">
        <v>118</v>
      </c>
      <c r="G850"/>
      <c r="H850"/>
      <c r="I850">
        <v>2000</v>
      </c>
      <c r="J850"/>
      <c r="K850" t="inlineStr">
        <is>
          <t>Excel函数实操包</t>
        </is>
      </c>
      <c r="L850" t="inlineStr">
        <is>
          <t>🔥低粉爆款</t>
        </is>
      </c>
      <c r="M850" t="inlineStr">
        <is>
          <t>阳图技术的店</t>
        </is>
      </c>
      <c r="N850">
        <v>483</v>
      </c>
      <c r="O850">
        <v>4.54</v>
      </c>
      <c r="P850">
        <v>7607</v>
      </c>
      <c r="Q850" t="inlineStr">
        <is>
          <t>6833c8d205b7000015e143c2</t>
        </is>
      </c>
      <c r="R850"/>
      <c r="S850" t="inlineStr">
        <is>
          <t>软件应用</t>
        </is>
      </c>
      <c r="T850" t="inlineStr">
        <is>
          <t>14.35</t>
        </is>
      </c>
      <c r="U850" s="3">
        <v>46112.78107638889</v>
      </c>
      <c r="V850" t="inlineStr">
        <is>
          <t>虚拟产品</t>
        </is>
      </c>
      <c r="W850" s="3">
        <v>46036</v>
      </c>
      <c r="X850" t="inlineStr">
        <is>
          <t>01</t>
        </is>
      </c>
      <c r="Y850" t="inlineStr">
        <is>
          <t>2026-Q1</t>
        </is>
      </c>
    </row>
    <row r="851" ht="38.25" customHeight="1">
      <c r="A851" t="inlineStr">
        <is>
          <t>办公软件 自动发货 永久使用Word excle ppt</t>
        </is>
      </c>
      <c r="B851" t="inlineStr">
        <is>
          <t>recv8fKlTr9wQW.jpg</t>
        </is>
      </c>
      <c r="C851" s="2" t="str">
        <f>=HYPERLINK("https://xhslink.com/m/6CGnHOcXJf5", "https://xhslink.com/m/6CGnHOcXJf5")</f>
        <v>https://xhslink.com/m/6CGnHOcXJf5</v>
      </c>
      <c r="D851"/>
      <c r="E851">
        <v>6505</v>
      </c>
      <c r="F851">
        <v>15.99</v>
      </c>
      <c r="G851"/>
      <c r="H851"/>
      <c r="I851">
        <v>1000</v>
      </c>
      <c r="J851"/>
      <c r="K851" t="inlineStr">
        <is>
          <t>Excel函数实操包</t>
        </is>
      </c>
      <c r="L851"/>
      <c r="M851" t="inlineStr">
        <is>
          <t>瑶瑶的软件安装的店</t>
        </is>
      </c>
      <c r="N851">
        <v>3058</v>
      </c>
      <c r="O851">
        <v>4.36</v>
      </c>
      <c r="P851">
        <v>50000</v>
      </c>
      <c r="Q851" t="inlineStr">
        <is>
          <t>6944dc5be935e9000136204d</t>
        </is>
      </c>
      <c r="R851" t="inlineStr">
        <is>
          <t>🚫重复</t>
        </is>
      </c>
      <c r="S851" t="inlineStr">
        <is>
          <t>PPT模板</t>
        </is>
      </c>
      <c r="T851" t="inlineStr">
        <is>
          <t>2.13</t>
        </is>
      </c>
      <c r="U851" s="3">
        <v>46112.78107638889</v>
      </c>
      <c r="V851" t="inlineStr">
        <is>
          <t>虚拟产品</t>
        </is>
      </c>
      <c r="W851" s="3">
        <v>46036</v>
      </c>
      <c r="X851" t="inlineStr">
        <is>
          <t>01</t>
        </is>
      </c>
      <c r="Y851" t="inlineStr">
        <is>
          <t>2026-Q1</t>
        </is>
      </c>
    </row>
    <row r="852" ht="38.25" customHeight="1">
      <c r="A852" t="inlineStr">
        <is>
          <t>工作中常用的Excel案例练习题含答案与解析</t>
        </is>
      </c>
      <c r="B852" t="inlineStr">
        <is>
          <t>recv8fKlTrCJgg.jpg</t>
        </is>
      </c>
      <c r="C852" s="2" t="str">
        <f>=HYPERLINK("https://xhslink.com/m/WWm7j16tra", "https://xhslink.com/m/WWm7j16tra")</f>
        <v>https://xhslink.com/m/WWm7j16tra</v>
      </c>
      <c r="D852"/>
      <c r="E852">
        <v>4920</v>
      </c>
      <c r="F852">
        <v>3.99</v>
      </c>
      <c r="G852"/>
      <c r="H852"/>
      <c r="I852">
        <v>3000</v>
      </c>
      <c r="J852"/>
      <c r="K852" t="inlineStr">
        <is>
          <t>Excel函数实操包</t>
        </is>
      </c>
      <c r="L852"/>
      <c r="M852" t="inlineStr">
        <is>
          <t>小涵资料的店</t>
        </is>
      </c>
      <c r="N852">
        <v>2319</v>
      </c>
      <c r="O852">
        <v>4.49</v>
      </c>
      <c r="P852">
        <v>10000</v>
      </c>
      <c r="Q852" t="inlineStr">
        <is>
          <t>68ac6e1862c1ee0001481225</t>
        </is>
      </c>
      <c r="R852"/>
      <c r="S852" t="inlineStr">
        <is>
          <t>软件应用</t>
        </is>
      </c>
      <c r="T852" t="inlineStr">
        <is>
          <t>2.12</t>
        </is>
      </c>
      <c r="U852" s="3">
        <v>46112.78107638889</v>
      </c>
      <c r="V852" t="inlineStr">
        <is>
          <t>虚拟产品</t>
        </is>
      </c>
      <c r="W852" s="3">
        <v>46036</v>
      </c>
      <c r="X852" t="inlineStr">
        <is>
          <t>01</t>
        </is>
      </c>
      <c r="Y852" t="inlineStr">
        <is>
          <t>2026-Q1</t>
        </is>
      </c>
    </row>
    <row r="853" ht="38.25" customHeight="1">
      <c r="A853" t="inlineStr">
        <is>
          <t>工作中常用的Excel案例练习题实操素材函数入门零基础表格制作</t>
        </is>
      </c>
      <c r="B853" t="inlineStr">
        <is>
          <t>recv8fKlTrLK02.jpg</t>
        </is>
      </c>
      <c r="C853" s="2" t="str">
        <f>=HYPERLINK("https://xhslink.com/m/3Sb2COk34eo", "https://xhslink.com/m/3Sb2COk34eo")</f>
        <v>https://xhslink.com/m/3Sb2COk34eo</v>
      </c>
      <c r="D853"/>
      <c r="E853">
        <v>2463</v>
      </c>
      <c r="F853">
        <v>5.5</v>
      </c>
      <c r="G853"/>
      <c r="H853"/>
      <c r="I853">
        <v>300</v>
      </c>
      <c r="J853"/>
      <c r="K853" t="inlineStr">
        <is>
          <t>Excel函数实操包</t>
        </is>
      </c>
      <c r="L853"/>
      <c r="M853" t="inlineStr">
        <is>
          <t>o兄w弟的店</t>
        </is>
      </c>
      <c r="N853">
        <v>3687</v>
      </c>
      <c r="O853">
        <v>4.29</v>
      </c>
      <c r="P853">
        <v>15000</v>
      </c>
      <c r="Q853" t="inlineStr">
        <is>
          <t>67c96e0bcb5e420001a73a58</t>
        </is>
      </c>
      <c r="R853"/>
      <c r="S853" t="inlineStr">
        <is>
          <t>软件应用</t>
        </is>
      </c>
      <c r="T853" t="inlineStr">
        <is>
          <t>0.67</t>
        </is>
      </c>
      <c r="U853" s="3">
        <v>46112.78107638889</v>
      </c>
      <c r="V853" t="inlineStr">
        <is>
          <t>虚拟产品</t>
        </is>
      </c>
      <c r="W853" s="3">
        <v>46036</v>
      </c>
      <c r="X853" t="inlineStr">
        <is>
          <t>01</t>
        </is>
      </c>
      <c r="Y853" t="inlineStr">
        <is>
          <t>2026-Q1</t>
        </is>
      </c>
    </row>
    <row r="854" ht="38.25" customHeight="1">
      <c r="A854" t="inlineStr">
        <is>
          <t>Microsoft365Office永久账户PPT激活Word产品密钥Excel表格</t>
        </is>
      </c>
      <c r="B854" t="inlineStr">
        <is>
          <t>recv8fKlTraPeH.jpg</t>
        </is>
      </c>
      <c r="C854" s="2" t="str">
        <f>=HYPERLINK("https://xhslink.com/m/79oIXWwMoJL", "https://xhslink.com/m/79oIXWwMoJL")</f>
        <v>https://xhslink.com/m/79oIXWwMoJL</v>
      </c>
      <c r="D854"/>
      <c r="E854">
        <v>1816</v>
      </c>
      <c r="F854">
        <v>6.18</v>
      </c>
      <c r="G854"/>
      <c r="H854"/>
      <c r="I854">
        <v>1000</v>
      </c>
      <c r="J854"/>
      <c r="K854" t="inlineStr">
        <is>
          <t>Excel函数实操包</t>
        </is>
      </c>
      <c r="L854" t="inlineStr">
        <is>
          <t>🔥低粉爆款</t>
        </is>
      </c>
      <c r="M854" t="inlineStr">
        <is>
          <t>windows-office激活服务商的店</t>
        </is>
      </c>
      <c r="N854">
        <v>395</v>
      </c>
      <c r="O854">
        <v>4.04</v>
      </c>
      <c r="P854">
        <v>3312</v>
      </c>
      <c r="Q854" t="inlineStr">
        <is>
          <t>69104bfb81ef5a00016a57e8</t>
        </is>
      </c>
      <c r="R854" t="inlineStr">
        <is>
          <t>🚫重复</t>
        </is>
      </c>
      <c r="S854" t="inlineStr">
        <is>
          <t>PPT模板</t>
        </is>
      </c>
      <c r="T854" t="inlineStr">
        <is>
          <t>4.60</t>
        </is>
      </c>
      <c r="U854" s="3">
        <v>46112.78107638889</v>
      </c>
      <c r="V854" t="inlineStr">
        <is>
          <t>虚拟产品</t>
        </is>
      </c>
      <c r="W854" s="3">
        <v>46036</v>
      </c>
      <c r="X854" t="inlineStr">
        <is>
          <t>01</t>
        </is>
      </c>
      <c r="Y854" t="inlineStr">
        <is>
          <t>2026-Q1</t>
        </is>
      </c>
    </row>
    <row r="855" ht="38.25" customHeight="1">
      <c r="A855" t="inlineStr">
        <is>
          <t>Microsoft365Office永久账户PPT激活Word产品密钥Excel表格</t>
        </is>
      </c>
      <c r="B855" t="inlineStr">
        <is>
          <t>recv8fKlTr2QJp.jpg</t>
        </is>
      </c>
      <c r="C855" s="2" t="str">
        <f>=HYPERLINK("https://xhslink.com/m/7KWSbzaGSAB", "https://xhslink.com/m/7KWSbzaGSAB")</f>
        <v>https://xhslink.com/m/7KWSbzaGSAB</v>
      </c>
      <c r="D855"/>
      <c r="E855">
        <v>1816</v>
      </c>
      <c r="F855">
        <v>1</v>
      </c>
      <c r="G855"/>
      <c r="H855"/>
      <c r="I855">
        <v>1000</v>
      </c>
      <c r="J855"/>
      <c r="K855" t="inlineStr">
        <is>
          <t>Excel函数实操包</t>
        </is>
      </c>
      <c r="L855" t="inlineStr">
        <is>
          <t>🔥低粉爆款</t>
        </is>
      </c>
      <c r="M855" t="inlineStr">
        <is>
          <t>windows-office激活服务商的店</t>
        </is>
      </c>
      <c r="N855">
        <v>395</v>
      </c>
      <c r="O855">
        <v>4.04</v>
      </c>
      <c r="P855">
        <v>3312</v>
      </c>
      <c r="Q855" t="inlineStr">
        <is>
          <t>6893245b47d5bd0001347f69</t>
        </is>
      </c>
      <c r="R855" t="inlineStr">
        <is>
          <t>🚫重复</t>
        </is>
      </c>
      <c r="S855" t="inlineStr">
        <is>
          <t>PPT模板</t>
        </is>
      </c>
      <c r="T855" t="inlineStr">
        <is>
          <t>4.60</t>
        </is>
      </c>
      <c r="U855" s="3">
        <v>46112.78107638889</v>
      </c>
      <c r="V855" t="inlineStr">
        <is>
          <t>虚拟产品</t>
        </is>
      </c>
      <c r="W855" s="3">
        <v>46036</v>
      </c>
      <c r="X855" t="inlineStr">
        <is>
          <t>01</t>
        </is>
      </c>
      <c r="Y855" t="inlineStr">
        <is>
          <t>2026-Q1</t>
        </is>
      </c>
    </row>
    <row r="856" ht="38.25" customHeight="1">
      <c r="A856" t="inlineStr">
        <is>
          <t>办公常用excel/wps数据分析图表合集</t>
        </is>
      </c>
      <c r="B856" t="inlineStr">
        <is>
          <t>recv8fKlTrjj4X.jpg</t>
        </is>
      </c>
      <c r="C856" s="2" t="str">
        <f>=HYPERLINK("https://xhslink.com/m/3SGXtnQuEvr", "https://xhslink.com/m/3SGXtnQuEvr")</f>
        <v>https://xhslink.com/m/3SGXtnQuEvr</v>
      </c>
      <c r="D856"/>
      <c r="E856">
        <v>980</v>
      </c>
      <c r="F856">
        <v>9.9</v>
      </c>
      <c r="G856"/>
      <c r="H856"/>
      <c r="I856">
        <v>300</v>
      </c>
      <c r="J856"/>
      <c r="K856" t="inlineStr">
        <is>
          <t>Excel函数实操包</t>
        </is>
      </c>
      <c r="L856"/>
      <c r="M856" t="inlineStr">
        <is>
          <t>少废话,王同学Excel培训的店</t>
        </is>
      </c>
      <c r="N856">
        <v>4258</v>
      </c>
      <c r="O856">
        <v>3.92</v>
      </c>
      <c r="P856">
        <v>1088</v>
      </c>
      <c r="Q856" t="inlineStr">
        <is>
          <t>678e1105f4d65700017a59a9</t>
        </is>
      </c>
      <c r="R856"/>
      <c r="S856" t="inlineStr">
        <is>
          <t>软件应用</t>
        </is>
      </c>
      <c r="T856" t="inlineStr">
        <is>
          <t>0.23</t>
        </is>
      </c>
      <c r="U856" s="3">
        <v>46112.78107638889</v>
      </c>
      <c r="V856" t="inlineStr">
        <is>
          <t>虚拟产品</t>
        </is>
      </c>
      <c r="W856" s="3">
        <v>46036</v>
      </c>
      <c r="X856" t="inlineStr">
        <is>
          <t>01</t>
        </is>
      </c>
      <c r="Y856" t="inlineStr">
        <is>
          <t>2026-Q1</t>
        </is>
      </c>
    </row>
    <row r="857" ht="38.25" customHeight="1">
      <c r="A857" t="inlineStr">
        <is>
          <t>Ms Office全版本 Word Excel PPT安装激活 自动发货 永久激活</t>
        </is>
      </c>
      <c r="B857" t="inlineStr">
        <is>
          <t>recv8fKlTrIf01.jpg</t>
        </is>
      </c>
      <c r="C857" s="2" t="str">
        <f>=HYPERLINK("https://xhslink.com/m/62IgT4wbh85", "https://xhslink.com/m/62IgT4wbh85")</f>
        <v>https://xhslink.com/m/62IgT4wbh85</v>
      </c>
      <c r="D857"/>
      <c r="E857">
        <v>627</v>
      </c>
      <c r="F857">
        <v>3.99</v>
      </c>
      <c r="G857"/>
      <c r="H857"/>
      <c r="I857">
        <v>400</v>
      </c>
      <c r="J857"/>
      <c r="K857" t="inlineStr">
        <is>
          <t>Excel函数实操包</t>
        </is>
      </c>
      <c r="L857" t="inlineStr">
        <is>
          <t>🔥低粉爆款</t>
        </is>
      </c>
      <c r="M857" t="inlineStr">
        <is>
          <t>日月潭软件小店的店</t>
        </is>
      </c>
      <c r="N857">
        <v>120</v>
      </c>
      <c r="O857">
        <v>4.28</v>
      </c>
      <c r="P857">
        <v>4586</v>
      </c>
      <c r="Q857" t="inlineStr">
        <is>
          <t>68a309bdd3dd4d000164c4ba</t>
        </is>
      </c>
      <c r="R857"/>
      <c r="S857" t="inlineStr">
        <is>
          <t>PPT模板</t>
        </is>
      </c>
      <c r="T857" t="inlineStr">
        <is>
          <t>5.22</t>
        </is>
      </c>
      <c r="U857" s="3">
        <v>46112.78107638889</v>
      </c>
      <c r="V857" t="inlineStr">
        <is>
          <t>虚拟产品</t>
        </is>
      </c>
      <c r="W857" s="3">
        <v>46036</v>
      </c>
      <c r="X857" t="inlineStr">
        <is>
          <t>01</t>
        </is>
      </c>
      <c r="Y857" t="inlineStr">
        <is>
          <t>2026-Q1</t>
        </is>
      </c>
    </row>
    <row r="858" ht="38.25" customHeight="1">
      <c r="A858" t="inlineStr">
        <is>
          <t>40套项目计划进度管理甘特图excel文档模版可以编辑支持WPS和微软</t>
        </is>
      </c>
      <c r="B858" t="inlineStr">
        <is>
          <t>recv8fKlTrx9LH.jpg</t>
        </is>
      </c>
      <c r="C858" s="2" t="str">
        <f>=HYPERLINK("https://xhslink.com/m/3fMXF2AynmL", "https://xhslink.com/m/3fMXF2AynmL")</f>
        <v>https://xhslink.com/m/3fMXF2AynmL</v>
      </c>
      <c r="D858"/>
      <c r="E858">
        <v>1378</v>
      </c>
      <c r="F858">
        <v>9.99</v>
      </c>
      <c r="G858"/>
      <c r="H858"/>
      <c r="I858">
        <v>400</v>
      </c>
      <c r="J858"/>
      <c r="K858" t="inlineStr">
        <is>
          <t>项目管理计划表</t>
        </is>
      </c>
      <c r="L858"/>
      <c r="M858" t="inlineStr">
        <is>
          <t>跟着花姐学写标书（分享精选投标方案）的店</t>
        </is>
      </c>
      <c r="N858">
        <v>3132</v>
      </c>
      <c r="O858">
        <v>4.31</v>
      </c>
      <c r="P858">
        <v>3119</v>
      </c>
      <c r="Q858" t="inlineStr">
        <is>
          <t>67ceaf972aad820001495ea6</t>
        </is>
      </c>
      <c r="R858"/>
      <c r="S858" t="inlineStr">
        <is>
          <t>无匹配类别</t>
        </is>
      </c>
      <c r="T858" t="inlineStr">
        <is>
          <t>0.44</t>
        </is>
      </c>
      <c r="U858" s="3">
        <v>46112.78107638889</v>
      </c>
      <c r="V858" t="inlineStr">
        <is>
          <t>虚拟产品</t>
        </is>
      </c>
      <c r="W858" s="3">
        <v>46036</v>
      </c>
      <c r="X858" t="inlineStr">
        <is>
          <t>01</t>
        </is>
      </c>
      <c r="Y858" t="inlineStr">
        <is>
          <t>2026-Q1</t>
        </is>
      </c>
    </row>
    <row r="859" ht="38.25" customHeight="1">
      <c r="A859" t="inlineStr">
        <is>
          <t>10000+ppt模板高级感简约商务毕业答辩教师课件工作汇报总结模板</t>
        </is>
      </c>
      <c r="B859" t="inlineStr">
        <is>
          <t>recv8fKlTriQdu.jpg</t>
        </is>
      </c>
      <c r="C859" s="2" t="str">
        <f>=HYPERLINK("https://xhslink.com/m/3MQO8KoCGF", "https://xhslink.com/m/3MQO8KoCGF")</f>
        <v>https://xhslink.com/m/3MQO8KoCGF</v>
      </c>
      <c r="D859"/>
      <c r="E859">
        <v>5399</v>
      </c>
      <c r="F859">
        <v>0.88</v>
      </c>
      <c r="G859"/>
      <c r="H859"/>
      <c r="I859">
        <v>5000</v>
      </c>
      <c r="J859"/>
      <c r="K859" t="inlineStr">
        <is>
          <t>工作汇报PPT模板</t>
        </is>
      </c>
      <c r="L859" t="inlineStr">
        <is>
          <t>🔥低粉爆款</t>
        </is>
      </c>
      <c r="M859" t="inlineStr">
        <is>
          <t>爱吃栗子的糖炒栗子的店</t>
        </is>
      </c>
      <c r="N859">
        <v>531</v>
      </c>
      <c r="O859">
        <v>4.35</v>
      </c>
      <c r="P859">
        <v>5631</v>
      </c>
      <c r="Q859" t="inlineStr">
        <is>
          <t>69088eb85c4f1900018c04ee</t>
        </is>
      </c>
      <c r="R859"/>
      <c r="S859" t="inlineStr">
        <is>
          <t>PPT模板</t>
        </is>
      </c>
      <c r="T859" t="inlineStr">
        <is>
          <t>10.17</t>
        </is>
      </c>
      <c r="U859" s="3">
        <v>46112.78107638889</v>
      </c>
      <c r="V859" t="inlineStr">
        <is>
          <t>虚拟产品</t>
        </is>
      </c>
      <c r="W859" s="3">
        <v>46036</v>
      </c>
      <c r="X859" t="inlineStr">
        <is>
          <t>01</t>
        </is>
      </c>
      <c r="Y859" t="inlineStr">
        <is>
          <t>2026-Q1</t>
        </is>
      </c>
    </row>
    <row r="860" ht="38.25" customHeight="1">
      <c r="A860" t="inlineStr">
        <is>
          <t>高级感ppt模板，工作汇报逻辑图表，多种答辩场合可用</t>
        </is>
      </c>
      <c r="B860" t="inlineStr">
        <is>
          <t>recv8fKlTrEpOW.jpg</t>
        </is>
      </c>
      <c r="C860" s="2" t="str">
        <f>=HYPERLINK("https://xhslink.com/m/2P3B8VpmwhS", "https://xhslink.com/m/2P3B8VpmwhS")</f>
        <v>https://xhslink.com/m/2P3B8VpmwhS</v>
      </c>
      <c r="D860"/>
      <c r="E860">
        <v>2922</v>
      </c>
      <c r="F860">
        <v>2.88</v>
      </c>
      <c r="G860"/>
      <c r="H860"/>
      <c r="I860">
        <v>2000</v>
      </c>
      <c r="J860"/>
      <c r="K860" t="inlineStr">
        <is>
          <t>工作汇报PPT模板</t>
        </is>
      </c>
      <c r="L860"/>
      <c r="M860" t="inlineStr">
        <is>
          <t>iPad软件总店的店</t>
        </is>
      </c>
      <c r="N860">
        <v>8246</v>
      </c>
      <c r="O860">
        <v>4.1</v>
      </c>
      <c r="P860">
        <v>32000</v>
      </c>
      <c r="Q860" t="inlineStr">
        <is>
          <t>6816070fe375ae0001265a8b</t>
        </is>
      </c>
      <c r="R860" t="inlineStr">
        <is>
          <t>🚫重复</t>
        </is>
      </c>
      <c r="S860" t="inlineStr">
        <is>
          <t>PPT模板</t>
        </is>
      </c>
      <c r="T860" t="inlineStr">
        <is>
          <t>0.35</t>
        </is>
      </c>
      <c r="U860" s="3">
        <v>46112.78107638889</v>
      </c>
      <c r="V860" t="inlineStr">
        <is>
          <t>虚拟产品</t>
        </is>
      </c>
      <c r="W860" s="3">
        <v>46036</v>
      </c>
      <c r="X860" t="inlineStr">
        <is>
          <t>01</t>
        </is>
      </c>
      <c r="Y860" t="inlineStr">
        <is>
          <t>2026-Q1</t>
        </is>
      </c>
    </row>
    <row r="861" ht="38.25" customHeight="1">
      <c r="A861" t="inlineStr">
        <is>
          <t>柔和创意设计毕业季PPT模板毕业答辩工作总结静态1套</t>
        </is>
      </c>
      <c r="B861" t="inlineStr">
        <is>
          <t>recv8fKlTrZJUc.jpg</t>
        </is>
      </c>
      <c r="C861" s="2" t="str">
        <f>=HYPERLINK("https://xhslink.com/m/4QTKkwHPBsG", "https://xhslink.com/m/4QTKkwHPBsG")</f>
        <v>https://xhslink.com/m/4QTKkwHPBsG</v>
      </c>
      <c r="D861"/>
      <c r="E861">
        <v>1786</v>
      </c>
      <c r="F861">
        <v>3.9</v>
      </c>
      <c r="G861"/>
      <c r="H861"/>
      <c r="I861">
        <v>400</v>
      </c>
      <c r="J861"/>
      <c r="K861" t="inlineStr">
        <is>
          <t>工作汇报PPT模板</t>
        </is>
      </c>
      <c r="L861"/>
      <c r="M861" t="inlineStr">
        <is>
          <t>PPT制造厂的店</t>
        </is>
      </c>
      <c r="N861">
        <v>9233</v>
      </c>
      <c r="O861">
        <v>4.12</v>
      </c>
      <c r="P861">
        <v>27000</v>
      </c>
      <c r="Q861" t="inlineStr">
        <is>
          <t>65e19f01b3f28d00010b71fc</t>
        </is>
      </c>
      <c r="R861" t="inlineStr">
        <is>
          <t>🚫重复</t>
        </is>
      </c>
      <c r="S861" t="inlineStr">
        <is>
          <t>PPT模板</t>
        </is>
      </c>
      <c r="T861" t="inlineStr">
        <is>
          <t>0.19</t>
        </is>
      </c>
      <c r="U861" s="3">
        <v>46112.78107638889</v>
      </c>
      <c r="V861" t="inlineStr">
        <is>
          <t>虚拟产品</t>
        </is>
      </c>
      <c r="W861" s="3">
        <v>46036</v>
      </c>
      <c r="X861" t="inlineStr">
        <is>
          <t>01</t>
        </is>
      </c>
      <c r="Y861" t="inlineStr">
        <is>
          <t>2026-Q1</t>
        </is>
      </c>
    </row>
    <row r="862" ht="38.25" customHeight="1">
      <c r="A862" t="inlineStr">
        <is>
          <t>早晨PPT视频同款PPT模板工作汇报|已更新超110套</t>
        </is>
      </c>
      <c r="B862" t="inlineStr">
        <is>
          <t>recv8fKlTrP4Dp.jpg</t>
        </is>
      </c>
      <c r="C862" s="2" t="str">
        <f>=HYPERLINK("https://xhslink.com/m/4ptIj85DRt5", "https://xhslink.com/m/4ptIj85DRt5")</f>
        <v>https://xhslink.com/m/4ptIj85DRt5</v>
      </c>
      <c r="D862"/>
      <c r="E862">
        <v>1866</v>
      </c>
      <c r="F862">
        <v>19.9</v>
      </c>
      <c r="G862"/>
      <c r="H862"/>
      <c r="I862">
        <v>500</v>
      </c>
      <c r="J862"/>
      <c r="K862" t="inlineStr">
        <is>
          <t>工作汇报PPT模板</t>
        </is>
      </c>
      <c r="L862"/>
      <c r="M862" t="inlineStr">
        <is>
          <t>早晨PPT的店</t>
        </is>
      </c>
      <c r="N862">
        <v>174000</v>
      </c>
      <c r="O862">
        <v>4.53</v>
      </c>
      <c r="P862">
        <v>3169</v>
      </c>
      <c r="Q862" t="inlineStr">
        <is>
          <t>666001dd2c8f12000141e2c4</t>
        </is>
      </c>
      <c r="R862"/>
      <c r="S862" t="inlineStr">
        <is>
          <t>PPT模板</t>
        </is>
      </c>
      <c r="T862" t="inlineStr">
        <is>
          <t>0.01</t>
        </is>
      </c>
      <c r="U862" s="3">
        <v>46112.78107638889</v>
      </c>
      <c r="V862" t="inlineStr">
        <is>
          <t>虚拟产品</t>
        </is>
      </c>
      <c r="W862" s="3">
        <v>46036</v>
      </c>
      <c r="X862" t="inlineStr">
        <is>
          <t>01</t>
        </is>
      </c>
      <c r="Y862" t="inlineStr">
        <is>
          <t>2026-Q1</t>
        </is>
      </c>
    </row>
    <row r="863" ht="38.25" customHeight="1">
      <c r="A863" t="inlineStr">
        <is>
          <t>笔记中PPT模板系列1【已经勾选好，默认付款发百度网盘下载链接】</t>
        </is>
      </c>
      <c r="B863" t="inlineStr">
        <is>
          <t>recv8fKlTr7o7j.jpg</t>
        </is>
      </c>
      <c r="C863" s="2" t="str">
        <f>=HYPERLINK("https://xhslink.com/m/652oyNdNJxf", "https://xhslink.com/m/652oyNdNJxf")</f>
        <v>https://xhslink.com/m/652oyNdNJxf</v>
      </c>
      <c r="D863"/>
      <c r="E863">
        <v>1641</v>
      </c>
      <c r="F863">
        <v>9.9</v>
      </c>
      <c r="G863"/>
      <c r="H863"/>
      <c r="I863">
        <v>500</v>
      </c>
      <c r="J863"/>
      <c r="K863" t="inlineStr">
        <is>
          <t>工作汇报PPT模板</t>
        </is>
      </c>
      <c r="L863"/>
      <c r="M863" t="inlineStr">
        <is>
          <t>蓝老师PPT的店</t>
        </is>
      </c>
      <c r="N863">
        <v>774</v>
      </c>
      <c r="O863">
        <v>3.93</v>
      </c>
      <c r="P863">
        <v>4021</v>
      </c>
      <c r="Q863" t="inlineStr">
        <is>
          <t>678e443897ab010001497992</t>
        </is>
      </c>
      <c r="R863" t="inlineStr">
        <is>
          <t>🚫重复</t>
        </is>
      </c>
      <c r="S863" t="inlineStr">
        <is>
          <t>PPT模板</t>
        </is>
      </c>
      <c r="T863" t="inlineStr">
        <is>
          <t>2.12</t>
        </is>
      </c>
      <c r="U863" s="3">
        <v>46112.78107638889</v>
      </c>
      <c r="V863" t="inlineStr">
        <is>
          <t>虚拟产品</t>
        </is>
      </c>
      <c r="W863" s="3">
        <v>46036</v>
      </c>
      <c r="X863" t="inlineStr">
        <is>
          <t>01</t>
        </is>
      </c>
      <c r="Y863" t="inlineStr">
        <is>
          <t>2026-Q1</t>
        </is>
      </c>
    </row>
    <row r="864" ht="38.25" customHeight="1">
      <c r="A864" t="inlineStr">
        <is>
          <t>任选一份PPT模板（1—20）</t>
        </is>
      </c>
      <c r="B864" t="inlineStr">
        <is>
          <t>recv8fKlTrWJkB.jpg</t>
        </is>
      </c>
      <c r="C864" s="2" t="str">
        <f>=HYPERLINK("https://xhslink.com/m/9zdio6VhDvJ", "https://xhslink.com/m/9zdio6VhDvJ")</f>
        <v>https://xhslink.com/m/9zdio6VhDvJ</v>
      </c>
      <c r="D864"/>
      <c r="E864">
        <v>1554</v>
      </c>
      <c r="F864">
        <v>5.99</v>
      </c>
      <c r="G864"/>
      <c r="H864"/>
      <c r="I864">
        <v>300</v>
      </c>
      <c r="J864"/>
      <c r="K864" t="inlineStr">
        <is>
          <t>工作汇报PPT模板</t>
        </is>
      </c>
      <c r="L864" t="inlineStr">
        <is>
          <t>🔥低粉爆款</t>
        </is>
      </c>
      <c r="M864" t="inlineStr">
        <is>
          <t>fre_PPT的店</t>
        </is>
      </c>
      <c r="N864">
        <v>475</v>
      </c>
      <c r="O864">
        <v>3.89</v>
      </c>
      <c r="P864">
        <v>2301</v>
      </c>
      <c r="Q864" t="inlineStr">
        <is>
          <t>68bdae37fed5490001865190</t>
        </is>
      </c>
      <c r="R864"/>
      <c r="S864" t="inlineStr">
        <is>
          <t>PPT模板</t>
        </is>
      </c>
      <c r="T864" t="inlineStr">
        <is>
          <t>3.27</t>
        </is>
      </c>
      <c r="U864" s="3">
        <v>46112.78107638889</v>
      </c>
      <c r="V864" t="inlineStr">
        <is>
          <t>虚拟产品</t>
        </is>
      </c>
      <c r="W864" s="3">
        <v>46036</v>
      </c>
      <c r="X864" t="inlineStr">
        <is>
          <t>01</t>
        </is>
      </c>
      <c r="Y864" t="inlineStr">
        <is>
          <t>2026-Q1</t>
        </is>
      </c>
    </row>
    <row r="865" ht="38.25" customHeight="1">
      <c r="A865" t="inlineStr">
        <is>
          <t>多风格多用途定制级PPT模板设计（工作汇报 年终报告 精美PPT）</t>
        </is>
      </c>
      <c r="B865" t="inlineStr">
        <is>
          <t>recv8fKlTrSdjy.jpg</t>
        </is>
      </c>
      <c r="C865" s="2" t="str">
        <f>=HYPERLINK("https://xhslink.com/m/1cR4fPfV7GV", "https://xhslink.com/m/1cR4fPfV7GV")</f>
        <v>https://xhslink.com/m/1cR4fPfV7GV</v>
      </c>
      <c r="D865"/>
      <c r="E865">
        <v>1571</v>
      </c>
      <c r="F865">
        <v>19.99</v>
      </c>
      <c r="G865"/>
      <c r="H865"/>
      <c r="I865">
        <v>400</v>
      </c>
      <c r="J865"/>
      <c r="K865" t="inlineStr">
        <is>
          <t>工作汇报PPT模板</t>
        </is>
      </c>
      <c r="L865"/>
      <c r="M865" t="inlineStr">
        <is>
          <t>毛球PPT模板的店</t>
        </is>
      </c>
      <c r="N865">
        <v>951</v>
      </c>
      <c r="O865">
        <v>4.33</v>
      </c>
      <c r="P865">
        <v>8609</v>
      </c>
      <c r="Q865" t="inlineStr">
        <is>
          <t>678551c4fb6ac00001a66f5c</t>
        </is>
      </c>
      <c r="R865" t="inlineStr">
        <is>
          <t>🚫重复</t>
        </is>
      </c>
      <c r="S865" t="inlineStr">
        <is>
          <t>PPT模板</t>
        </is>
      </c>
      <c r="T865" t="inlineStr">
        <is>
          <t>1.65</t>
        </is>
      </c>
      <c r="U865" s="3">
        <v>46112.78107638889</v>
      </c>
      <c r="V865" t="inlineStr">
        <is>
          <t>虚拟产品</t>
        </is>
      </c>
      <c r="W865" s="3">
        <v>46036</v>
      </c>
      <c r="X865" t="inlineStr">
        <is>
          <t>01</t>
        </is>
      </c>
      <c r="Y865" t="inlineStr">
        <is>
          <t>2026-Q1</t>
        </is>
      </c>
    </row>
    <row r="866" ht="38.25" customHeight="1">
      <c r="A866" t="inlineStr">
        <is>
          <t>艺术生作品集PPT模板毕业答辩工作汇报总结</t>
        </is>
      </c>
      <c r="B866" t="inlineStr">
        <is>
          <t>recv8fKlTraZwc.jpg</t>
        </is>
      </c>
      <c r="C866" s="2" t="str">
        <f>=HYPERLINK("https://xhslink.com/m/9kPzrk8CrH3", "https://xhslink.com/m/9kPzrk8CrH3")</f>
        <v>https://xhslink.com/m/9kPzrk8CrH3</v>
      </c>
      <c r="D866"/>
      <c r="E866">
        <v>1544</v>
      </c>
      <c r="F866">
        <v>3.9</v>
      </c>
      <c r="G866"/>
      <c r="H866"/>
      <c r="I866">
        <v>400</v>
      </c>
      <c r="J866"/>
      <c r="K866" t="inlineStr">
        <is>
          <t>工作汇报PPT模板</t>
        </is>
      </c>
      <c r="L866"/>
      <c r="M866" t="inlineStr">
        <is>
          <t>PPT制造厂的店</t>
        </is>
      </c>
      <c r="N866">
        <v>9233</v>
      </c>
      <c r="O866">
        <v>4.12</v>
      </c>
      <c r="P866">
        <v>27000</v>
      </c>
      <c r="Q866" t="inlineStr">
        <is>
          <t>662236415bb60e000162917e</t>
        </is>
      </c>
      <c r="R866" t="inlineStr">
        <is>
          <t>🚫重复</t>
        </is>
      </c>
      <c r="S866" t="inlineStr">
        <is>
          <t>PPT模板</t>
        </is>
      </c>
      <c r="T866" t="inlineStr">
        <is>
          <t>0.17</t>
        </is>
      </c>
      <c r="U866" s="3">
        <v>46112.78107638889</v>
      </c>
      <c r="V866" t="inlineStr">
        <is>
          <t>虚拟产品</t>
        </is>
      </c>
      <c r="W866" s="3">
        <v>46036</v>
      </c>
      <c r="X866" t="inlineStr">
        <is>
          <t>01</t>
        </is>
      </c>
      <c r="Y866" t="inlineStr">
        <is>
          <t>2026-Q1</t>
        </is>
      </c>
    </row>
    <row r="867" ht="38.25" customHeight="1">
      <c r="A867" t="inlineStr">
        <is>
          <t>极简水彩纹理PPT模板工作汇报作品集毕业答辩静态1套</t>
        </is>
      </c>
      <c r="B867" t="inlineStr">
        <is>
          <t>recv8fKlTrNTH9.jpg</t>
        </is>
      </c>
      <c r="C867" s="2" t="str">
        <f>=HYPERLINK("https://xhslink.com/m/7zVsjl8uYss", "https://xhslink.com/m/7zVsjl8uYss")</f>
        <v>https://xhslink.com/m/7zVsjl8uYss</v>
      </c>
      <c r="D867"/>
      <c r="E867">
        <v>1538</v>
      </c>
      <c r="F867">
        <v>3.9</v>
      </c>
      <c r="G867"/>
      <c r="H867"/>
      <c r="I867">
        <v>300</v>
      </c>
      <c r="J867"/>
      <c r="K867" t="inlineStr">
        <is>
          <t>工作汇报PPT模板</t>
        </is>
      </c>
      <c r="L867"/>
      <c r="M867" t="inlineStr">
        <is>
          <t>PPT制造厂的店</t>
        </is>
      </c>
      <c r="N867">
        <v>9233</v>
      </c>
      <c r="O867">
        <v>4.12</v>
      </c>
      <c r="P867">
        <v>27000</v>
      </c>
      <c r="Q867" t="inlineStr">
        <is>
          <t>66d972b0d0a0ac000142f34d</t>
        </is>
      </c>
      <c r="R867" t="inlineStr">
        <is>
          <t>🚫重复</t>
        </is>
      </c>
      <c r="S867" t="inlineStr">
        <is>
          <t>PPT模板</t>
        </is>
      </c>
      <c r="T867" t="inlineStr">
        <is>
          <t>0.17</t>
        </is>
      </c>
      <c r="U867" s="3">
        <v>46112.78107638889</v>
      </c>
      <c r="V867" t="inlineStr">
        <is>
          <t>虚拟产品</t>
        </is>
      </c>
      <c r="W867" s="3">
        <v>46036</v>
      </c>
      <c r="X867" t="inlineStr">
        <is>
          <t>01</t>
        </is>
      </c>
      <c r="Y867" t="inlineStr">
        <is>
          <t>2026-Q1</t>
        </is>
      </c>
    </row>
    <row r="868" ht="38.25" customHeight="1">
      <c r="A868" t="inlineStr">
        <is>
          <t>医学医疗医院医护ppt模板医生护士护理工作汇报工作计划总结模版</t>
        </is>
      </c>
      <c r="B868" t="inlineStr">
        <is>
          <t>recv8fKlTr398X.jpg</t>
        </is>
      </c>
      <c r="C868" s="2" t="str">
        <f>=HYPERLINK("https://xhslink.com/m/2g0tZWEjcfP", "https://xhslink.com/m/2g0tZWEjcfP")</f>
        <v>https://xhslink.com/m/2g0tZWEjcfP</v>
      </c>
      <c r="D868"/>
      <c r="E868">
        <v>1231</v>
      </c>
      <c r="F868">
        <v>9.9</v>
      </c>
      <c r="G868"/>
      <c r="H868"/>
      <c r="I868">
        <v>500</v>
      </c>
      <c r="J868"/>
      <c r="K868" t="inlineStr">
        <is>
          <t>工作汇报PPT模板</t>
        </is>
      </c>
      <c r="L868"/>
      <c r="M868" t="inlineStr">
        <is>
          <t>糖心资料铺(白嫖勿扰）的店</t>
        </is>
      </c>
      <c r="N868">
        <v>2573</v>
      </c>
      <c r="O868">
        <v>4.5</v>
      </c>
      <c r="P868">
        <v>29000</v>
      </c>
      <c r="Q868" t="inlineStr">
        <is>
          <t>687ef1f0417c3f0001e5ed0b</t>
        </is>
      </c>
      <c r="R868"/>
      <c r="S868" t="inlineStr">
        <is>
          <t>PPT模板</t>
        </is>
      </c>
      <c r="T868" t="inlineStr">
        <is>
          <t>0.48</t>
        </is>
      </c>
      <c r="U868" s="3">
        <v>46112.78107638889</v>
      </c>
      <c r="V868" t="inlineStr">
        <is>
          <t>虚拟产品</t>
        </is>
      </c>
      <c r="W868" s="3">
        <v>46036</v>
      </c>
      <c r="X868" t="inlineStr">
        <is>
          <t>01</t>
        </is>
      </c>
      <c r="Y868" t="inlineStr">
        <is>
          <t>2026-Q1</t>
        </is>
      </c>
    </row>
    <row r="869" ht="38.25" customHeight="1">
      <c r="A869" t="inlineStr">
        <is>
          <t>No.28 深海之息高级感蓝色系工作汇报课件总结PPT模板</t>
        </is>
      </c>
      <c r="B869" t="inlineStr">
        <is>
          <t>recv8fKlTrISar.jpg</t>
        </is>
      </c>
      <c r="C869" s="2" t="str">
        <f>=HYPERLINK("https://xhslink.com/m/1yZwlSID2og", "https://xhslink.com/m/1yZwlSID2og")</f>
        <v>https://xhslink.com/m/1yZwlSID2og</v>
      </c>
      <c r="D869"/>
      <c r="E869">
        <v>1092</v>
      </c>
      <c r="F869">
        <v>4.9</v>
      </c>
      <c r="G869"/>
      <c r="H869"/>
      <c r="I869">
        <v>400</v>
      </c>
      <c r="J869"/>
      <c r="K869" t="inlineStr">
        <is>
          <t>工作汇报PPT模板</t>
        </is>
      </c>
      <c r="L869"/>
      <c r="M869" t="inlineStr">
        <is>
          <t>舒城PPT的店</t>
        </is>
      </c>
      <c r="N869">
        <v>695</v>
      </c>
      <c r="O869">
        <v>4.05</v>
      </c>
      <c r="P869">
        <v>2263</v>
      </c>
      <c r="Q869" t="inlineStr">
        <is>
          <t>67cbb90bbffe4d0001c91207</t>
        </is>
      </c>
      <c r="R869"/>
      <c r="S869" t="inlineStr">
        <is>
          <t>PPT模板</t>
        </is>
      </c>
      <c r="T869" t="inlineStr">
        <is>
          <t>1.57</t>
        </is>
      </c>
      <c r="U869" s="3">
        <v>46112.78107638889</v>
      </c>
      <c r="V869" t="inlineStr">
        <is>
          <t>虚拟产品</t>
        </is>
      </c>
      <c r="W869" s="3">
        <v>46036</v>
      </c>
      <c r="X869" t="inlineStr">
        <is>
          <t>01</t>
        </is>
      </c>
      <c r="Y869" t="inlineStr">
        <is>
          <t>2026-Q1</t>
        </is>
      </c>
    </row>
    <row r="870" ht="38.25" customHeight="1">
      <c r="A870" t="inlineStr">
        <is>
          <t>秒发货！国风PPT模板1（内容看主页笔记，已勾选）</t>
        </is>
      </c>
      <c r="B870" t="inlineStr">
        <is>
          <t>recv8fKlTrScCk.jpg</t>
        </is>
      </c>
      <c r="C870" s="2" t="str">
        <f>=HYPERLINK("https://xhslink.com/m/5u6W7eOFL3x", "https://xhslink.com/m/5u6W7eOFL3x")</f>
        <v>https://xhslink.com/m/5u6W7eOFL3x</v>
      </c>
      <c r="D870"/>
      <c r="E870">
        <v>927</v>
      </c>
      <c r="F870">
        <v>3.99</v>
      </c>
      <c r="G870"/>
      <c r="H870"/>
      <c r="I870">
        <v>300</v>
      </c>
      <c r="J870"/>
      <c r="K870" t="inlineStr">
        <is>
          <t>工作汇报PPT模板</t>
        </is>
      </c>
      <c r="L870"/>
      <c r="M870" t="inlineStr">
        <is>
          <t>鸭梨山大PPT的店</t>
        </is>
      </c>
      <c r="N870">
        <v>21000</v>
      </c>
      <c r="O870">
        <v>4.18</v>
      </c>
      <c r="P870">
        <v>52000</v>
      </c>
      <c r="Q870" t="inlineStr">
        <is>
          <t>675867d496f9a200015c4a7f</t>
        </is>
      </c>
      <c r="R870"/>
      <c r="S870" t="inlineStr">
        <is>
          <t>PPT模板</t>
        </is>
      </c>
      <c r="T870" t="inlineStr">
        <is>
          <t>0.04</t>
        </is>
      </c>
      <c r="U870" s="3">
        <v>46112.78107638889</v>
      </c>
      <c r="V870" t="inlineStr">
        <is>
          <t>虚拟产品</t>
        </is>
      </c>
      <c r="W870" s="3">
        <v>46036</v>
      </c>
      <c r="X870" t="inlineStr">
        <is>
          <t>01</t>
        </is>
      </c>
      <c r="Y870" t="inlineStr">
        <is>
          <t>2026-Q1</t>
        </is>
      </c>
    </row>
    <row r="871" ht="38.25" customHeight="1">
      <c r="A871" t="inlineStr">
        <is>
          <t>【秒发PPT】9色1440页高级感工作汇报数据分析PPT模板  工作汇报</t>
        </is>
      </c>
      <c r="B871" t="inlineStr">
        <is>
          <t>recv8fKlTrfYuc.jpg</t>
        </is>
      </c>
      <c r="C871" s="2" t="str">
        <f>=HYPERLINK("https://xhslink.com/m/4PDZKmD9M9F", "https://xhslink.com/m/4PDZKmD9M9F")</f>
        <v>https://xhslink.com/m/4PDZKmD9M9F</v>
      </c>
      <c r="D871"/>
      <c r="E871">
        <v>843</v>
      </c>
      <c r="F871">
        <v>9.9</v>
      </c>
      <c r="G871"/>
      <c r="H871"/>
      <c r="I871">
        <v>300</v>
      </c>
      <c r="J871"/>
      <c r="K871" t="inlineStr">
        <is>
          <t>工作汇报PPT模板</t>
        </is>
      </c>
      <c r="L871"/>
      <c r="M871" t="inlineStr">
        <is>
          <t>婉茹小黑粉的店的店</t>
        </is>
      </c>
      <c r="N871">
        <v>320</v>
      </c>
      <c r="O871">
        <v>3.78</v>
      </c>
      <c r="P871">
        <v>2199</v>
      </c>
      <c r="Q871" t="inlineStr">
        <is>
          <t>6764fa3bc6c20a0001a1f9b6</t>
        </is>
      </c>
      <c r="R871"/>
      <c r="S871" t="inlineStr">
        <is>
          <t>PPT模板</t>
        </is>
      </c>
      <c r="T871" t="inlineStr">
        <is>
          <t>2.63</t>
        </is>
      </c>
      <c r="U871" s="3">
        <v>46112.78107638889</v>
      </c>
      <c r="V871" t="inlineStr">
        <is>
          <t>虚拟产品</t>
        </is>
      </c>
      <c r="W871" s="3">
        <v>46036</v>
      </c>
      <c r="X871" t="inlineStr">
        <is>
          <t>01</t>
        </is>
      </c>
      <c r="Y871" t="inlineStr">
        <is>
          <t>2026-Q1</t>
        </is>
      </c>
    </row>
    <row r="872" ht="38.25" customHeight="1">
      <c r="A872" t="inlineStr">
        <is>
          <t>854号工作总结ppt模板一套，拍下秒发</t>
        </is>
      </c>
      <c r="B872" t="inlineStr">
        <is>
          <t>recv8fKlTrewte.jpg</t>
        </is>
      </c>
      <c r="C872" s="2" t="str">
        <f>=HYPERLINK("https://xhslink.com/m/92V2NHQu2lt", "https://xhslink.com/m/92V2NHQu2lt")</f>
        <v>https://xhslink.com/m/92V2NHQu2lt</v>
      </c>
      <c r="D872"/>
      <c r="E872">
        <v>490</v>
      </c>
      <c r="F872">
        <v>5.9</v>
      </c>
      <c r="G872"/>
      <c r="H872"/>
      <c r="I872">
        <v>300</v>
      </c>
      <c r="J872"/>
      <c r="K872" t="inlineStr">
        <is>
          <t>工作汇报PPT模板</t>
        </is>
      </c>
      <c r="L872"/>
      <c r="M872" t="inlineStr">
        <is>
          <t>辉月PPT的店</t>
        </is>
      </c>
      <c r="N872">
        <v>3596</v>
      </c>
      <c r="O872">
        <v>3.9</v>
      </c>
      <c r="P872">
        <v>10000</v>
      </c>
      <c r="Q872" t="inlineStr">
        <is>
          <t>6758224deb35d70001dfae10</t>
        </is>
      </c>
      <c r="R872" t="inlineStr">
        <is>
          <t>🚫重复</t>
        </is>
      </c>
      <c r="S872" t="inlineStr">
        <is>
          <t>PPT模板</t>
        </is>
      </c>
      <c r="T872" t="inlineStr">
        <is>
          <t>0.14</t>
        </is>
      </c>
      <c r="U872" s="3">
        <v>46112.78107638889</v>
      </c>
      <c r="V872" t="inlineStr">
        <is>
          <t>虚拟产品</t>
        </is>
      </c>
      <c r="W872" s="3">
        <v>46036</v>
      </c>
      <c r="X872" t="inlineStr">
        <is>
          <t>01</t>
        </is>
      </c>
      <c r="Y872" t="inlineStr">
        <is>
          <t>2026-Q1</t>
        </is>
      </c>
    </row>
    <row r="873" ht="38.25" customHeight="1">
      <c r="A873" t="inlineStr">
        <is>
          <t>【1125】实习总结工作汇报通用20页可编辑PPT模板</t>
        </is>
      </c>
      <c r="B873" t="inlineStr">
        <is>
          <t>recv8fKlTrtbj4.jpg</t>
        </is>
      </c>
      <c r="C873" s="2" t="str">
        <f>=HYPERLINK("https://xhslink.com/m/6S1jQDWv2Ey", "https://xhslink.com/m/6S1jQDWv2Ey")</f>
        <v>https://xhslink.com/m/6S1jQDWv2Ey</v>
      </c>
      <c r="D873"/>
      <c r="E873">
        <v>476</v>
      </c>
      <c r="F873">
        <v>3.9</v>
      </c>
      <c r="G873"/>
      <c r="H873"/>
      <c r="I873">
        <v>300</v>
      </c>
      <c r="J873"/>
      <c r="K873" t="inlineStr">
        <is>
          <t>工作汇报PPT模板</t>
        </is>
      </c>
      <c r="L873"/>
      <c r="M873" t="inlineStr">
        <is>
          <t>慕渔PPT的店</t>
        </is>
      </c>
      <c r="N873">
        <v>2472</v>
      </c>
      <c r="O873">
        <v>4.36</v>
      </c>
      <c r="P873">
        <v>25000</v>
      </c>
      <c r="Q873" t="inlineStr">
        <is>
          <t>6896b1f58895550001b74d9e</t>
        </is>
      </c>
      <c r="R873" t="inlineStr">
        <is>
          <t>🚫重复</t>
        </is>
      </c>
      <c r="S873" t="inlineStr">
        <is>
          <t>PPT模板</t>
        </is>
      </c>
      <c r="T873" t="inlineStr">
        <is>
          <t>0.19</t>
        </is>
      </c>
      <c r="U873" s="3">
        <v>46112.78107638889</v>
      </c>
      <c r="V873" t="inlineStr">
        <is>
          <t>虚拟产品</t>
        </is>
      </c>
      <c r="W873" s="3">
        <v>46036</v>
      </c>
      <c r="X873" t="inlineStr">
        <is>
          <t>01</t>
        </is>
      </c>
      <c r="Y873" t="inlineStr">
        <is>
          <t>2026-Q1</t>
        </is>
      </c>
    </row>
    <row r="874" ht="38.25" customHeight="1">
      <c r="A874" t="inlineStr">
        <is>
          <t>工作汇报PPT模板任选一套（含多种风格可选）</t>
        </is>
      </c>
      <c r="B874" t="inlineStr">
        <is>
          <t>recv8fKlTrROn2.jpg</t>
        </is>
      </c>
      <c r="C874" s="2" t="str">
        <f>=HYPERLINK("https://xhslink.com/m/5XX4Y9UXJcd", "https://xhslink.com/m/5XX4Y9UXJcd")</f>
        <v>https://xhslink.com/m/5XX4Y9UXJcd</v>
      </c>
      <c r="D874"/>
      <c r="E874">
        <v>368</v>
      </c>
      <c r="F874">
        <v>8.8</v>
      </c>
      <c r="G874"/>
      <c r="H874"/>
      <c r="I874">
        <v>300</v>
      </c>
      <c r="J874"/>
      <c r="K874" t="inlineStr">
        <is>
          <t>工作汇报PPT模板</t>
        </is>
      </c>
      <c r="L874"/>
      <c r="M874" t="inlineStr">
        <is>
          <t>PPT小帮手的店</t>
        </is>
      </c>
      <c r="N874">
        <v>722</v>
      </c>
      <c r="O874">
        <v>4.24</v>
      </c>
      <c r="P874">
        <v>2520</v>
      </c>
      <c r="Q874" t="inlineStr">
        <is>
          <t>68c0f1dc95d6c700017d5543</t>
        </is>
      </c>
      <c r="R874"/>
      <c r="S874" t="inlineStr">
        <is>
          <t>PPT模板</t>
        </is>
      </c>
      <c r="T874" t="inlineStr">
        <is>
          <t>0.51</t>
        </is>
      </c>
      <c r="U874" s="3">
        <v>46112.78107638889</v>
      </c>
      <c r="V874" t="inlineStr">
        <is>
          <t>虚拟产品</t>
        </is>
      </c>
      <c r="W874" s="3">
        <v>46036</v>
      </c>
      <c r="X874" t="inlineStr">
        <is>
          <t>01</t>
        </is>
      </c>
      <c r="Y874" t="inlineStr">
        <is>
          <t>2026-Q1</t>
        </is>
      </c>
    </row>
    <row r="875" ht="38.25" customHeight="1">
      <c r="A875" t="inlineStr">
        <is>
          <t>新版人教版小学数学一二三四五六年级上下册课件教案</t>
        </is>
      </c>
      <c r="B875" t="inlineStr">
        <is>
          <t>recv8fKlTrlvsO.jpg</t>
        </is>
      </c>
      <c r="C875" s="2" t="str">
        <f>=HYPERLINK("https://xhslink.com/m/XFSmwkXMI6", "https://xhslink.com/m/XFSmwkXMI6")</f>
        <v>https://xhslink.com/m/XFSmwkXMI6</v>
      </c>
      <c r="D875"/>
      <c r="E875">
        <v>8294</v>
      </c>
      <c r="F875">
        <v>6</v>
      </c>
      <c r="G875"/>
      <c r="H875"/>
      <c r="I875">
        <v>500</v>
      </c>
      <c r="J875"/>
      <c r="K875" t="inlineStr">
        <is>
          <t>小学数学课件</t>
        </is>
      </c>
      <c r="L875"/>
      <c r="M875" t="inlineStr">
        <is>
          <t>kk老师优质课的店</t>
        </is>
      </c>
      <c r="N875">
        <v>10000</v>
      </c>
      <c r="O875">
        <v>4.22</v>
      </c>
      <c r="P875">
        <v>28000</v>
      </c>
      <c r="Q875" t="inlineStr">
        <is>
          <t>6520e3a3f047b300012430c3</t>
        </is>
      </c>
      <c r="R875" t="inlineStr">
        <is>
          <t>🚫重复</t>
        </is>
      </c>
      <c r="S875" t="inlineStr">
        <is>
          <t>中小学教辅/教材</t>
        </is>
      </c>
      <c r="T875" t="inlineStr">
        <is>
          <t>0.83</t>
        </is>
      </c>
      <c r="U875" s="3">
        <v>46112.78107638889</v>
      </c>
      <c r="V875" t="inlineStr">
        <is>
          <t>虚拟产品</t>
        </is>
      </c>
      <c r="W875" s="3">
        <v>46036</v>
      </c>
      <c r="X875" t="inlineStr">
        <is>
          <t>01</t>
        </is>
      </c>
      <c r="Y875" t="inlineStr">
        <is>
          <t>2026-Q1</t>
        </is>
      </c>
    </row>
    <row r="876" ht="38.25" customHeight="1">
      <c r="A876" t="inlineStr">
        <is>
          <t>幼小衔接拼音、数学、英语课件PPT教案老师教学</t>
        </is>
      </c>
      <c r="B876" t="inlineStr">
        <is>
          <t>recv8fKlTr0QVv.jpg</t>
        </is>
      </c>
      <c r="C876" s="2" t="str">
        <f>=HYPERLINK("https://xhslink.com/m/1lEa6GWxQ5p", "https://xhslink.com/m/1lEa6GWxQ5p")</f>
        <v>https://xhslink.com/m/1lEa6GWxQ5p</v>
      </c>
      <c r="D876"/>
      <c r="E876">
        <v>4483</v>
      </c>
      <c r="F876">
        <v>9.9</v>
      </c>
      <c r="G876"/>
      <c r="H876"/>
      <c r="I876">
        <v>300</v>
      </c>
      <c r="J876"/>
      <c r="K876" t="inlineStr">
        <is>
          <t>小学数学课件</t>
        </is>
      </c>
      <c r="L876"/>
      <c r="M876" t="inlineStr">
        <is>
          <t>本源书屋名教优选的店</t>
        </is>
      </c>
      <c r="N876">
        <v>2802</v>
      </c>
      <c r="O876">
        <v>4.1</v>
      </c>
      <c r="P876">
        <v>5605</v>
      </c>
      <c r="Q876" t="inlineStr">
        <is>
          <t>693d222636ea3d00010da24a</t>
        </is>
      </c>
      <c r="R876"/>
      <c r="S876" t="inlineStr">
        <is>
          <t>中小学教辅/教材</t>
        </is>
      </c>
      <c r="T876" t="inlineStr">
        <is>
          <t>1.60</t>
        </is>
      </c>
      <c r="U876" s="3">
        <v>46112.78107638889</v>
      </c>
      <c r="V876" t="inlineStr">
        <is>
          <t>虚拟产品</t>
        </is>
      </c>
      <c r="W876" s="3">
        <v>46036</v>
      </c>
      <c r="X876" t="inlineStr">
        <is>
          <t>01</t>
        </is>
      </c>
      <c r="Y876" t="inlineStr">
        <is>
          <t>2026-Q1</t>
        </is>
      </c>
    </row>
    <row r="877" ht="38.25" customHeight="1">
      <c r="A877" t="inlineStr">
        <is>
          <t>【新教材】初中各科学习笔记(电子版）知识点复习-自动发货</t>
        </is>
      </c>
      <c r="B877" t="inlineStr">
        <is>
          <t>recv8fKlTrkh2F.jpg</t>
        </is>
      </c>
      <c r="C877" s="2" t="str">
        <f>=HYPERLINK("https://xhslink.com/m/5w8mrZoJSK3", "https://xhslink.com/m/5w8mrZoJSK3")</f>
        <v>https://xhslink.com/m/5w8mrZoJSK3</v>
      </c>
      <c r="D877"/>
      <c r="E877">
        <v>4698</v>
      </c>
      <c r="F877">
        <v>9.9</v>
      </c>
      <c r="G877"/>
      <c r="H877"/>
      <c r="I877">
        <v>500</v>
      </c>
      <c r="J877"/>
      <c r="K877" t="inlineStr">
        <is>
          <t>初中物理知识点总结</t>
        </is>
      </c>
      <c r="L877"/>
      <c r="M877" t="inlineStr">
        <is>
          <t>三水爱学习的店</t>
        </is>
      </c>
      <c r="N877">
        <v>11000</v>
      </c>
      <c r="O877">
        <v>4.43</v>
      </c>
      <c r="P877">
        <v>21000</v>
      </c>
      <c r="Q877" t="inlineStr">
        <is>
          <t>681c7831794ce20001b6ca35</t>
        </is>
      </c>
      <c r="R877" t="inlineStr">
        <is>
          <t>🚫重复</t>
        </is>
      </c>
      <c r="S877" t="inlineStr">
        <is>
          <t>中小学教辅/教材</t>
        </is>
      </c>
      <c r="T877" t="inlineStr">
        <is>
          <t>0.43</t>
        </is>
      </c>
      <c r="U877" s="3">
        <v>46112.78107638889</v>
      </c>
      <c r="V877" t="inlineStr">
        <is>
          <t>虚拟产品</t>
        </is>
      </c>
      <c r="W877" s="3">
        <v>46036</v>
      </c>
      <c r="X877" t="inlineStr">
        <is>
          <t>01</t>
        </is>
      </c>
      <c r="Y877" t="inlineStr">
        <is>
          <t>2026-Q1</t>
        </is>
      </c>
    </row>
    <row r="878" ht="38.25" customHeight="1">
      <c r="A878" t="inlineStr">
        <is>
          <t>初中人教版物理核心考点笔记完整版</t>
        </is>
      </c>
      <c r="B878" t="inlineStr">
        <is>
          <t>recv8fKlTrYVc3.jpg</t>
        </is>
      </c>
      <c r="C878" s="2" t="str">
        <f>=HYPERLINK("https://xhslink.com/m/8MGTrxCSPNs", "https://xhslink.com/m/8MGTrxCSPNs")</f>
        <v>https://xhslink.com/m/8MGTrxCSPNs</v>
      </c>
      <c r="D878"/>
      <c r="E878">
        <v>557</v>
      </c>
      <c r="F878">
        <v>2.9</v>
      </c>
      <c r="G878"/>
      <c r="H878"/>
      <c r="I878">
        <v>400</v>
      </c>
      <c r="J878"/>
      <c r="K878" t="inlineStr">
        <is>
          <t>初中物理知识点总结</t>
        </is>
      </c>
      <c r="L878"/>
      <c r="M878" t="inlineStr">
        <is>
          <t>刘木木老师（教辅分享）的店</t>
        </is>
      </c>
      <c r="N878">
        <v>12000</v>
      </c>
      <c r="O878">
        <v>4.37</v>
      </c>
      <c r="P878">
        <v>11000</v>
      </c>
      <c r="Q878" t="inlineStr">
        <is>
          <t>6913fd9ce561cd000180a502</t>
        </is>
      </c>
      <c r="R878" t="inlineStr">
        <is>
          <t>🚫重复</t>
        </is>
      </c>
      <c r="S878" t="inlineStr">
        <is>
          <t>中小学教辅/教材</t>
        </is>
      </c>
      <c r="T878" t="inlineStr">
        <is>
          <t>0.05</t>
        </is>
      </c>
      <c r="U878" s="3">
        <v>46112.78107638889</v>
      </c>
      <c r="V878" t="inlineStr">
        <is>
          <t>虚拟产品</t>
        </is>
      </c>
      <c r="W878" s="3">
        <v>46036</v>
      </c>
      <c r="X878" t="inlineStr">
        <is>
          <t>01</t>
        </is>
      </c>
      <c r="Y878" t="inlineStr">
        <is>
          <t>2026-Q1</t>
        </is>
      </c>
    </row>
    <row r="879" ht="38.25" customHeight="1">
      <c r="A879" t="inlineStr">
        <is>
          <t>淘米熊 · 【试听课】4-12岁线上少儿美术 · 拍完联系客服登记更快约上课！</t>
        </is>
      </c>
      <c r="B879" t="inlineStr">
        <is>
          <t>recv8fKlTrwiPd.jpg</t>
        </is>
      </c>
      <c r="C879" s="2" t="str">
        <f>=HYPERLINK("https://xhslink.com/m/5vEpfv0xmNO", "https://xhslink.com/m/5vEpfv0xmNO")</f>
        <v>https://xhslink.com/m/5vEpfv0xmNO</v>
      </c>
      <c r="D879"/>
      <c r="E879">
        <v>6332</v>
      </c>
      <c r="F879">
        <v>0.1</v>
      </c>
      <c r="G879"/>
      <c r="H879"/>
      <c r="I879">
        <v>400</v>
      </c>
      <c r="J879"/>
      <c r="K879" t="inlineStr">
        <is>
          <t>美术课件</t>
        </is>
      </c>
      <c r="L879"/>
      <c r="M879" t="inlineStr">
        <is>
          <t>淘米熊艺术的店</t>
        </is>
      </c>
      <c r="N879">
        <v>111000</v>
      </c>
      <c r="O879">
        <v>4.49</v>
      </c>
      <c r="P879">
        <v>14000</v>
      </c>
      <c r="Q879" t="inlineStr">
        <is>
          <t>6528bb62ec72bc00013bd880</t>
        </is>
      </c>
      <c r="R879"/>
      <c r="S879" t="inlineStr">
        <is>
          <t>中小学教辅/教材</t>
        </is>
      </c>
      <c r="T879" t="inlineStr">
        <is>
          <t>0.06</t>
        </is>
      </c>
      <c r="U879" s="3">
        <v>46112.78107638889</v>
      </c>
      <c r="V879" t="inlineStr">
        <is>
          <t>虚拟产品</t>
        </is>
      </c>
      <c r="W879" s="3">
        <v>46036</v>
      </c>
      <c r="X879" t="inlineStr">
        <is>
          <t>01</t>
        </is>
      </c>
      <c r="Y879" t="inlineStr">
        <is>
          <t>2026-Q1</t>
        </is>
      </c>
    </row>
    <row r="880" ht="38.25" customHeight="1">
      <c r="A880" t="inlineStr">
        <is>
          <t>新版人教版初中美术课件PPT（单个课件+大单元教学设计+课时教案</t>
        </is>
      </c>
      <c r="B880" t="inlineStr">
        <is>
          <t>recv8fKlTrW4dS.jpg</t>
        </is>
      </c>
      <c r="C880" s="2" t="str">
        <f>=HYPERLINK("https://xhslink.com/m/7aB99svErKb", "https://xhslink.com/m/7aB99svErKb")</f>
        <v>https://xhslink.com/m/7aB99svErKb</v>
      </c>
      <c r="D880"/>
      <c r="E880">
        <v>1603</v>
      </c>
      <c r="F880">
        <v>12.8</v>
      </c>
      <c r="G880"/>
      <c r="H880"/>
      <c r="I880">
        <v>700</v>
      </c>
      <c r="J880"/>
      <c r="K880" t="inlineStr">
        <is>
          <t>美术课件</t>
        </is>
      </c>
      <c r="L880"/>
      <c r="M880" t="inlineStr">
        <is>
          <t>宅心仁猴🙊的店</t>
        </is>
      </c>
      <c r="N880">
        <v>2065</v>
      </c>
      <c r="O880">
        <v>4.39</v>
      </c>
      <c r="P880">
        <v>3363</v>
      </c>
      <c r="Q880" t="inlineStr">
        <is>
          <t>68c82adb24f1f80001284812</t>
        </is>
      </c>
      <c r="R880" t="inlineStr">
        <is>
          <t>🚫重复</t>
        </is>
      </c>
      <c r="S880" t="inlineStr">
        <is>
          <t>中小学教辅/教材</t>
        </is>
      </c>
      <c r="T880" t="inlineStr">
        <is>
          <t>0.78</t>
        </is>
      </c>
      <c r="U880" s="3">
        <v>46112.78107638889</v>
      </c>
      <c r="V880" t="inlineStr">
        <is>
          <t>虚拟产品</t>
        </is>
      </c>
      <c r="W880" s="3">
        <v>46036</v>
      </c>
      <c r="X880" t="inlineStr">
        <is>
          <t>01</t>
        </is>
      </c>
      <c r="Y880" t="inlineStr">
        <is>
          <t>2026-Q1</t>
        </is>
      </c>
    </row>
    <row r="881" ht="38.25" customHeight="1">
      <c r="A881" t="inlineStr">
        <is>
          <t>少儿创意美术：“课件专拍” 链接，可在笔记页 自选课题（可私信</t>
        </is>
      </c>
      <c r="B881" t="inlineStr">
        <is>
          <t>recv8fKlTr3aii.jpg</t>
        </is>
      </c>
      <c r="C881" s="2" t="str">
        <f>=HYPERLINK("https://xhslink.com/m/5b1JsEUe1fT", "https://xhslink.com/m/5b1JsEUe1fT")</f>
        <v>https://xhslink.com/m/5b1JsEUe1fT</v>
      </c>
      <c r="D881"/>
      <c r="E881">
        <v>2009</v>
      </c>
      <c r="F881">
        <v>4.66</v>
      </c>
      <c r="G881"/>
      <c r="H881"/>
      <c r="I881">
        <v>300</v>
      </c>
      <c r="J881"/>
      <c r="K881" t="inlineStr">
        <is>
          <t>美术课件</t>
        </is>
      </c>
      <c r="L881"/>
      <c r="M881" t="inlineStr">
        <is>
          <t>麦子.少儿美术的店</t>
        </is>
      </c>
      <c r="N881">
        <v>15000</v>
      </c>
      <c r="O881">
        <v>4.49</v>
      </c>
      <c r="P881">
        <v>5178</v>
      </c>
      <c r="Q881" t="inlineStr">
        <is>
          <t>6618eadc990a2d00013b22c5</t>
        </is>
      </c>
      <c r="R881"/>
      <c r="S881" t="inlineStr">
        <is>
          <t>中小学教辅/教材</t>
        </is>
      </c>
      <c r="T881" t="inlineStr">
        <is>
          <t>0.13</t>
        </is>
      </c>
      <c r="U881" s="3">
        <v>46112.78107638889</v>
      </c>
      <c r="V881" t="inlineStr">
        <is>
          <t>虚拟产品</t>
        </is>
      </c>
      <c r="W881" s="3">
        <v>46036</v>
      </c>
      <c r="X881" t="inlineStr">
        <is>
          <t>01</t>
        </is>
      </c>
      <c r="Y881" t="inlineStr">
        <is>
          <t>2026-Q1</t>
        </is>
      </c>
    </row>
    <row r="882" ht="38.25" customHeight="1">
      <c r="A882" t="inlineStr">
        <is>
          <t>机器人 少儿创意美术课件ppt 23页</t>
        </is>
      </c>
      <c r="B882" t="inlineStr">
        <is>
          <t>recv8fKlTrQD7R.jpg</t>
        </is>
      </c>
      <c r="C882" s="2" t="str">
        <f>=HYPERLINK("https://xhslink.com/m/58PASDMrSQb", "https://xhslink.com/m/58PASDMrSQb")</f>
        <v>https://xhslink.com/m/58PASDMrSQb</v>
      </c>
      <c r="D882"/>
      <c r="E882">
        <v>1966</v>
      </c>
      <c r="F882">
        <v>2.98</v>
      </c>
      <c r="G882"/>
      <c r="H882"/>
      <c r="I882">
        <v>500</v>
      </c>
      <c r="J882"/>
      <c r="K882" t="inlineStr">
        <is>
          <t>美术课件</t>
        </is>
      </c>
      <c r="L882"/>
      <c r="M882" t="inlineStr">
        <is>
          <t>小棠教画画的店</t>
        </is>
      </c>
      <c r="N882">
        <v>13000</v>
      </c>
      <c r="O882">
        <v>4.27</v>
      </c>
      <c r="P882">
        <v>76000</v>
      </c>
      <c r="Q882" t="inlineStr">
        <is>
          <t>67cd73288deea80001f8910a</t>
        </is>
      </c>
      <c r="R882" t="inlineStr">
        <is>
          <t>🚫重复</t>
        </is>
      </c>
      <c r="S882" t="inlineStr">
        <is>
          <t>中小学教辅/教材</t>
        </is>
      </c>
      <c r="T882" t="inlineStr">
        <is>
          <t>0.15</t>
        </is>
      </c>
      <c r="U882" s="3">
        <v>46112.78107638889</v>
      </c>
      <c r="V882" t="inlineStr">
        <is>
          <t>虚拟产品</t>
        </is>
      </c>
      <c r="W882" s="3">
        <v>46036</v>
      </c>
      <c r="X882" t="inlineStr">
        <is>
          <t>01</t>
        </is>
      </c>
      <c r="Y882" t="inlineStr">
        <is>
          <t>2026-Q1</t>
        </is>
      </c>
    </row>
    <row r="883" ht="38.25" customHeight="1">
      <c r="A883" t="inlineStr">
        <is>
          <t>美术课件拍下备注课题默认发网盘</t>
        </is>
      </c>
      <c r="B883" t="inlineStr">
        <is>
          <t>recv8fKlTrNL0a.jpg</t>
        </is>
      </c>
      <c r="C883" s="2" t="str">
        <f>=HYPERLINK("https://xhslink.com/m/7oW0ao6oouD", "https://xhslink.com/m/7oW0ao6oouD")</f>
        <v>https://xhslink.com/m/7oW0ao6oouD</v>
      </c>
      <c r="D883"/>
      <c r="E883">
        <v>1737</v>
      </c>
      <c r="F883">
        <v>9.88</v>
      </c>
      <c r="G883"/>
      <c r="H883"/>
      <c r="I883">
        <v>400</v>
      </c>
      <c r="J883"/>
      <c r="K883" t="inlineStr">
        <is>
          <t>美术课件</t>
        </is>
      </c>
      <c r="L883"/>
      <c r="M883" t="inlineStr">
        <is>
          <t>拾七圆的店</t>
        </is>
      </c>
      <c r="N883">
        <v>739</v>
      </c>
      <c r="O883">
        <v>4.05</v>
      </c>
      <c r="P883">
        <v>2152</v>
      </c>
      <c r="Q883" t="inlineStr">
        <is>
          <t>6612aa3408519900015e34f3</t>
        </is>
      </c>
      <c r="R883"/>
      <c r="S883" t="inlineStr">
        <is>
          <t>中小学教辅/教材</t>
        </is>
      </c>
      <c r="T883" t="inlineStr">
        <is>
          <t>2.35</t>
        </is>
      </c>
      <c r="U883" s="3">
        <v>46112.78107638889</v>
      </c>
      <c r="V883" t="inlineStr">
        <is>
          <t>虚拟产品</t>
        </is>
      </c>
      <c r="W883" s="3">
        <v>46036</v>
      </c>
      <c r="X883" t="inlineStr">
        <is>
          <t>01</t>
        </is>
      </c>
      <c r="Y883" t="inlineStr">
        <is>
          <t>2026-Q1</t>
        </is>
      </c>
    </row>
    <row r="884" ht="38.25" customHeight="1">
      <c r="A884" t="inlineStr">
        <is>
          <t>《非遗扎染》‖美术‖课件、教案、逐字稿</t>
        </is>
      </c>
      <c r="B884" t="inlineStr">
        <is>
          <t>recv8fKlTrjiiz.jpg</t>
        </is>
      </c>
      <c r="C884" s="2" t="str">
        <f>=HYPERLINK("https://xhslink.com/m/aWkmUjAgyX", "https://xhslink.com/m/aWkmUjAgyX")</f>
        <v>https://xhslink.com/m/aWkmUjAgyX</v>
      </c>
      <c r="D884"/>
      <c r="E884">
        <v>1632</v>
      </c>
      <c r="F884">
        <v>9.9</v>
      </c>
      <c r="G884"/>
      <c r="H884"/>
      <c r="I884">
        <v>300</v>
      </c>
      <c r="J884"/>
      <c r="K884" t="inlineStr">
        <is>
          <t>美术课件</t>
        </is>
      </c>
      <c r="L884"/>
      <c r="M884" t="inlineStr">
        <is>
          <t>沫渔老师的店</t>
        </is>
      </c>
      <c r="N884">
        <v>1911</v>
      </c>
      <c r="O884">
        <v>4.28</v>
      </c>
      <c r="P884">
        <v>5852</v>
      </c>
      <c r="Q884" t="inlineStr">
        <is>
          <t>675c56f3eb35d70001fa7293</t>
        </is>
      </c>
      <c r="R884"/>
      <c r="S884" t="inlineStr">
        <is>
          <t>中小学教辅/教材</t>
        </is>
      </c>
      <c r="T884" t="inlineStr">
        <is>
          <t>0.85</t>
        </is>
      </c>
      <c r="U884" s="3">
        <v>46112.78107638889</v>
      </c>
      <c r="V884" t="inlineStr">
        <is>
          <t>虚拟产品</t>
        </is>
      </c>
      <c r="W884" s="3">
        <v>46036</v>
      </c>
      <c r="X884" t="inlineStr">
        <is>
          <t>01</t>
        </is>
      </c>
      <c r="Y884" t="inlineStr">
        <is>
          <t>2026-Q1</t>
        </is>
      </c>
    </row>
    <row r="885" ht="38.25" customHeight="1">
      <c r="A885" t="inlineStr">
        <is>
          <t>美术课件16.9元专拍（正常发网盘/邮箱需备注）</t>
        </is>
      </c>
      <c r="B885" t="inlineStr">
        <is>
          <t>recv8fKlTrJzQC.jpg</t>
        </is>
      </c>
      <c r="C885" s="2" t="str">
        <f>=HYPERLINK("https://xhslink.com/m/C9oYwTsHuZ", "https://xhslink.com/m/C9oYwTsHuZ")</f>
        <v>https://xhslink.com/m/C9oYwTsHuZ</v>
      </c>
      <c r="D885"/>
      <c r="E885">
        <v>1379</v>
      </c>
      <c r="F885">
        <v>16.9</v>
      </c>
      <c r="G885"/>
      <c r="H885"/>
      <c r="I885">
        <v>600</v>
      </c>
      <c r="J885"/>
      <c r="K885" t="inlineStr">
        <is>
          <t>美术课件</t>
        </is>
      </c>
      <c r="L885"/>
      <c r="M885" t="inlineStr">
        <is>
          <t>爱画画的桔子老师的店</t>
        </is>
      </c>
      <c r="N885">
        <v>3845</v>
      </c>
      <c r="O885">
        <v>4.62</v>
      </c>
      <c r="P885">
        <v>4877</v>
      </c>
      <c r="Q885" t="inlineStr">
        <is>
          <t>687c5c70b1b9df000117fc1d</t>
        </is>
      </c>
      <c r="R885" t="inlineStr">
        <is>
          <t>🚫重复</t>
        </is>
      </c>
      <c r="S885" t="inlineStr">
        <is>
          <t>中小学教辅/教材</t>
        </is>
      </c>
      <c r="T885" t="inlineStr">
        <is>
          <t>0.36</t>
        </is>
      </c>
      <c r="U885" s="3">
        <v>46112.78107638889</v>
      </c>
      <c r="V885" t="inlineStr">
        <is>
          <t>虚拟产品</t>
        </is>
      </c>
      <c r="W885" s="3">
        <v>46036</v>
      </c>
      <c r="X885" t="inlineStr">
        <is>
          <t>01</t>
        </is>
      </c>
      <c r="Y885" t="inlineStr">
        <is>
          <t>2026-Q1</t>
        </is>
      </c>
    </row>
    <row r="886" ht="38.25" customHeight="1">
      <c r="A886" t="inlineStr">
        <is>
          <t>三上单课课件（“立即购买” ，确定课题，不退不换！）</t>
        </is>
      </c>
      <c r="B886" t="inlineStr">
        <is>
          <t>recv8fKlTr8HED.jpg</t>
        </is>
      </c>
      <c r="C886" s="2" t="str">
        <f>=HYPERLINK("https://xhslink.com/m/n8JspOrbsi", "https://xhslink.com/m/n8JspOrbsi")</f>
        <v>https://xhslink.com/m/n8JspOrbsi</v>
      </c>
      <c r="D886"/>
      <c r="E886">
        <v>1339</v>
      </c>
      <c r="F886">
        <v>15</v>
      </c>
      <c r="G886"/>
      <c r="H886"/>
      <c r="I886">
        <v>600</v>
      </c>
      <c r="J886"/>
      <c r="K886" t="inlineStr">
        <is>
          <t>美术课件</t>
        </is>
      </c>
      <c r="L886"/>
      <c r="M886" t="inlineStr">
        <is>
          <t>美术老师可可的店</t>
        </is>
      </c>
      <c r="N886">
        <v>8172</v>
      </c>
      <c r="O886">
        <v>4.4</v>
      </c>
      <c r="P886">
        <v>11000</v>
      </c>
      <c r="Q886" t="inlineStr">
        <is>
          <t>68d7bd627d3b3f0001b0ab85</t>
        </is>
      </c>
      <c r="R886" t="inlineStr">
        <is>
          <t>🚫重复</t>
        </is>
      </c>
      <c r="S886" t="inlineStr">
        <is>
          <t>中小学教辅/教材</t>
        </is>
      </c>
      <c r="T886" t="inlineStr">
        <is>
          <t>0.16</t>
        </is>
      </c>
      <c r="U886" s="3">
        <v>46112.78107638889</v>
      </c>
      <c r="V886" t="inlineStr">
        <is>
          <t>虚拟产品</t>
        </is>
      </c>
      <c r="W886" s="3">
        <v>46036</v>
      </c>
      <c r="X886" t="inlineStr">
        <is>
          <t>01</t>
        </is>
      </c>
      <c r="Y886" t="inlineStr">
        <is>
          <t>2026-Q1</t>
        </is>
      </c>
    </row>
    <row r="887" ht="38.25" customHeight="1">
      <c r="A887" t="inlineStr">
        <is>
          <t>新版人教美术三年级上册课件+同步教案</t>
        </is>
      </c>
      <c r="B887" t="inlineStr">
        <is>
          <t>recv8fKlTr6IAT.jpg</t>
        </is>
      </c>
      <c r="C887" s="2" t="str">
        <f>=HYPERLINK("https://xhslink.com/m/4zJaOkz6Hrr", "https://xhslink.com/m/4zJaOkz6Hrr")</f>
        <v>https://xhslink.com/m/4zJaOkz6Hrr</v>
      </c>
      <c r="D887"/>
      <c r="E887">
        <v>1320</v>
      </c>
      <c r="F887">
        <v>10.8</v>
      </c>
      <c r="G887"/>
      <c r="H887"/>
      <c r="I887">
        <v>400</v>
      </c>
      <c r="J887"/>
      <c r="K887" t="inlineStr">
        <is>
          <t>美术课件</t>
        </is>
      </c>
      <c r="L887"/>
      <c r="M887" t="inlineStr">
        <is>
          <t>爱画画的豚豚老师🍊的店</t>
        </is>
      </c>
      <c r="N887">
        <v>3635</v>
      </c>
      <c r="O887">
        <v>4.34</v>
      </c>
      <c r="P887">
        <v>6057</v>
      </c>
      <c r="Q887" t="inlineStr">
        <is>
          <t>68b03e7b82bd7100012ff984</t>
        </is>
      </c>
      <c r="R887" t="inlineStr">
        <is>
          <t>🚫重复</t>
        </is>
      </c>
      <c r="S887" t="inlineStr">
        <is>
          <t>中小学教辅/教材</t>
        </is>
      </c>
      <c r="T887" t="inlineStr">
        <is>
          <t>0.36</t>
        </is>
      </c>
      <c r="U887" s="3">
        <v>46112.78107638889</v>
      </c>
      <c r="V887" t="inlineStr">
        <is>
          <t>虚拟产品</t>
        </is>
      </c>
      <c r="W887" s="3">
        <v>46036</v>
      </c>
      <c r="X887" t="inlineStr">
        <is>
          <t>01</t>
        </is>
      </c>
      <c r="Y887" t="inlineStr">
        <is>
          <t>2026-Q1</t>
        </is>
      </c>
    </row>
    <row r="888" ht="38.25" customHeight="1">
      <c r="A888" t="inlineStr">
        <is>
          <t>【浙美版七八年级美术课件】单课（下单备注课题名）</t>
        </is>
      </c>
      <c r="B888" t="inlineStr">
        <is>
          <t>recv8fKlTrWbp2.jpg</t>
        </is>
      </c>
      <c r="C888" s="2" t="str">
        <f>=HYPERLINK("https://xhslink.com/m/9gigFJSkP6n", "https://xhslink.com/m/9gigFJSkP6n")</f>
        <v>https://xhslink.com/m/9gigFJSkP6n</v>
      </c>
      <c r="D888"/>
      <c r="E888">
        <v>1297</v>
      </c>
      <c r="F888">
        <v>9.9</v>
      </c>
      <c r="G888"/>
      <c r="H888"/>
      <c r="I888">
        <v>700</v>
      </c>
      <c r="J888"/>
      <c r="K888" t="inlineStr">
        <is>
          <t>美术课件</t>
        </is>
      </c>
      <c r="L888" t="inlineStr">
        <is>
          <t>🔥低粉爆款</t>
        </is>
      </c>
      <c r="M888" t="inlineStr">
        <is>
          <t>小米周杂货铺（下单店铺）的店</t>
        </is>
      </c>
      <c r="N888">
        <v>348</v>
      </c>
      <c r="O888">
        <v>4.34</v>
      </c>
      <c r="P888">
        <v>1597</v>
      </c>
      <c r="Q888" t="inlineStr">
        <is>
          <t>68c93cfccb717b0001707c31</t>
        </is>
      </c>
      <c r="R888"/>
      <c r="S888" t="inlineStr">
        <is>
          <t>中小学教辅/教材</t>
        </is>
      </c>
      <c r="T888" t="inlineStr">
        <is>
          <t>3.73</t>
        </is>
      </c>
      <c r="U888" s="3">
        <v>46112.78107638889</v>
      </c>
      <c r="V888" t="inlineStr">
        <is>
          <t>虚拟产品</t>
        </is>
      </c>
      <c r="W888" s="3">
        <v>46036</v>
      </c>
      <c r="X888" t="inlineStr">
        <is>
          <t>01</t>
        </is>
      </c>
      <c r="Y888" t="inlineStr">
        <is>
          <t>2026-Q1</t>
        </is>
      </c>
    </row>
    <row r="889" ht="38.25" customHeight="1">
      <c r="A889" t="inlineStr">
        <is>
          <t>秒发货！教学说课PPT模板2（内容看主页笔记）</t>
        </is>
      </c>
      <c r="B889" t="inlineStr">
        <is>
          <t>recv8fKlTr0wwZ.jpg</t>
        </is>
      </c>
      <c r="C889" s="2" t="str">
        <f>=HYPERLINK("https://xhslink.com/m/Ak1UvXEboUn", "https://xhslink.com/m/Ak1UvXEboUn")</f>
        <v>https://xhslink.com/m/Ak1UvXEboUn</v>
      </c>
      <c r="D889"/>
      <c r="E889">
        <v>1236</v>
      </c>
      <c r="F889">
        <v>3.99</v>
      </c>
      <c r="G889"/>
      <c r="H889"/>
      <c r="I889">
        <v>600</v>
      </c>
      <c r="J889"/>
      <c r="K889" t="inlineStr">
        <is>
          <t>美术课件</t>
        </is>
      </c>
      <c r="L889"/>
      <c r="M889" t="inlineStr">
        <is>
          <t>冻梨火车PPT的店</t>
        </is>
      </c>
      <c r="N889">
        <v>5287</v>
      </c>
      <c r="O889">
        <v>4.12</v>
      </c>
      <c r="P889">
        <v>25000</v>
      </c>
      <c r="Q889" t="inlineStr">
        <is>
          <t>67fa5fb2ec137400013e3ef0</t>
        </is>
      </c>
      <c r="R889"/>
      <c r="S889" t="inlineStr">
        <is>
          <t>PPT模板</t>
        </is>
      </c>
      <c r="T889" t="inlineStr">
        <is>
          <t>0.23</t>
        </is>
      </c>
      <c r="U889" s="3">
        <v>46112.78107638889</v>
      </c>
      <c r="V889" t="inlineStr">
        <is>
          <t>虚拟产品</t>
        </is>
      </c>
      <c r="W889" s="3">
        <v>46036</v>
      </c>
      <c r="X889" t="inlineStr">
        <is>
          <t>01</t>
        </is>
      </c>
      <c r="Y889" t="inlineStr">
        <is>
          <t>2026-Q1</t>
        </is>
      </c>
    </row>
    <row r="890" ht="38.25" customHeight="1">
      <c r="A890" t="inlineStr">
        <is>
          <t>人美版四年级上册美术课件全册课件+教案（共15课）</t>
        </is>
      </c>
      <c r="B890" t="inlineStr">
        <is>
          <t>recv8fKlTr0r5i.jpg</t>
        </is>
      </c>
      <c r="C890" s="2" t="str">
        <f>=HYPERLINK("https://xhslink.com/m/8luXrxA2S1p", "https://xhslink.com/m/8luXrxA2S1p")</f>
        <v>https://xhslink.com/m/8luXrxA2S1p</v>
      </c>
      <c r="D890"/>
      <c r="E890">
        <v>1162</v>
      </c>
      <c r="F890">
        <v>7.9</v>
      </c>
      <c r="G890"/>
      <c r="H890"/>
      <c r="I890">
        <v>900</v>
      </c>
      <c r="J890"/>
      <c r="K890" t="inlineStr">
        <is>
          <t>美术课件</t>
        </is>
      </c>
      <c r="L890"/>
      <c r="M890" t="inlineStr">
        <is>
          <t>美术老师西西的店</t>
        </is>
      </c>
      <c r="N890">
        <v>480</v>
      </c>
      <c r="O890">
        <v>4.39</v>
      </c>
      <c r="P890">
        <v>2345</v>
      </c>
      <c r="Q890" t="inlineStr">
        <is>
          <t>693aaace838dce00016f700a</t>
        </is>
      </c>
      <c r="R890" t="inlineStr">
        <is>
          <t>🚫重复</t>
        </is>
      </c>
      <c r="S890" t="inlineStr">
        <is>
          <t>中小学教辅/教材</t>
        </is>
      </c>
      <c r="T890" t="inlineStr">
        <is>
          <t>2.42</t>
        </is>
      </c>
      <c r="U890" s="3">
        <v>46112.78107638889</v>
      </c>
      <c r="V890" t="inlineStr">
        <is>
          <t>虚拟产品</t>
        </is>
      </c>
      <c r="W890" s="3">
        <v>46036</v>
      </c>
      <c r="X890" t="inlineStr">
        <is>
          <t>01</t>
        </is>
      </c>
      <c r="Y890" t="inlineStr">
        <is>
          <t>2026-Q1</t>
        </is>
      </c>
    </row>
    <row r="891" ht="38.25" customHeight="1">
      <c r="A891" t="inlineStr">
        <is>
          <t>《会变的圆》25年中大班美术原创公开课动态ppt课件教案说课稿</t>
        </is>
      </c>
      <c r="B891" t="inlineStr">
        <is>
          <t>recv8fKlTrPOuL.jpg</t>
        </is>
      </c>
      <c r="C891" s="2" t="str">
        <f>=HYPERLINK("https://xhslink.com/m/4wzY4rIFmPP", "https://xhslink.com/m/4wzY4rIFmPP")</f>
        <v>https://xhslink.com/m/4wzY4rIFmPP</v>
      </c>
      <c r="D891"/>
      <c r="E891">
        <v>1137</v>
      </c>
      <c r="F891">
        <v>3.68</v>
      </c>
      <c r="G891"/>
      <c r="H891"/>
      <c r="I891">
        <v>500</v>
      </c>
      <c r="J891"/>
      <c r="K891" t="inlineStr">
        <is>
          <t>美术课件</t>
        </is>
      </c>
      <c r="L891"/>
      <c r="M891" t="inlineStr">
        <is>
          <t>幼教彤彤老师的店</t>
        </is>
      </c>
      <c r="N891">
        <v>5796</v>
      </c>
      <c r="O891">
        <v>4.43</v>
      </c>
      <c r="P891">
        <v>32000</v>
      </c>
      <c r="Q891" t="inlineStr">
        <is>
          <t>68286c538ee7ed00019931df</t>
        </is>
      </c>
      <c r="R891"/>
      <c r="S891" t="inlineStr">
        <is>
          <t>幼教资料</t>
        </is>
      </c>
      <c r="T891" t="inlineStr">
        <is>
          <t>0.20</t>
        </is>
      </c>
      <c r="U891" s="3">
        <v>46112.78107638889</v>
      </c>
      <c r="V891" t="inlineStr">
        <is>
          <t>虚拟产品</t>
        </is>
      </c>
      <c r="W891" s="3">
        <v>46036</v>
      </c>
      <c r="X891" t="inlineStr">
        <is>
          <t>01</t>
        </is>
      </c>
      <c r="Y891" t="inlineStr">
        <is>
          <t>2026-Q1</t>
        </is>
      </c>
    </row>
    <row r="892" ht="38.25" customHeight="1">
      <c r="A892" t="inlineStr">
        <is>
          <t>新人美版初中美术（上册）丨单课专拍（正常发网盘/邮箱需备）</t>
        </is>
      </c>
      <c r="B892" t="inlineStr">
        <is>
          <t>recv8fKlTrWkvf.jpg</t>
        </is>
      </c>
      <c r="C892" s="2" t="str">
        <f>=HYPERLINK("https://xhslink.com/m/5tDNVrXq4Oj", "https://xhslink.com/m/5tDNVrXq4Oj")</f>
        <v>https://xhslink.com/m/5tDNVrXq4Oj</v>
      </c>
      <c r="D892"/>
      <c r="E892">
        <v>1132</v>
      </c>
      <c r="F892">
        <v>13.9</v>
      </c>
      <c r="G892"/>
      <c r="H892"/>
      <c r="I892">
        <v>600</v>
      </c>
      <c r="J892"/>
      <c r="K892" t="inlineStr">
        <is>
          <t>美术课件</t>
        </is>
      </c>
      <c r="L892"/>
      <c r="M892" t="inlineStr">
        <is>
          <t>爱画画的桔子老师的店</t>
        </is>
      </c>
      <c r="N892">
        <v>3845</v>
      </c>
      <c r="O892">
        <v>4.62</v>
      </c>
      <c r="P892">
        <v>4877</v>
      </c>
      <c r="Q892" t="inlineStr">
        <is>
          <t>687bb35f44854600011aef94</t>
        </is>
      </c>
      <c r="R892" t="inlineStr">
        <is>
          <t>🚫重复</t>
        </is>
      </c>
      <c r="S892" t="inlineStr">
        <is>
          <t>中小学教辅/教材</t>
        </is>
      </c>
      <c r="T892" t="inlineStr">
        <is>
          <t>0.29</t>
        </is>
      </c>
      <c r="U892" s="3">
        <v>46112.78107638889</v>
      </c>
      <c r="V892" t="inlineStr">
        <is>
          <t>虚拟产品</t>
        </is>
      </c>
      <c r="W892" s="3">
        <v>46036</v>
      </c>
      <c r="X892" t="inlineStr">
        <is>
          <t>01</t>
        </is>
      </c>
      <c r="Y892" t="inlineStr">
        <is>
          <t>2026-Q1</t>
        </is>
      </c>
    </row>
    <row r="893" ht="38.25" customHeight="1">
      <c r="A893" t="inlineStr">
        <is>
          <t>人美版新版 | 七上精品课件教案（赛课级品质）</t>
        </is>
      </c>
      <c r="B893" t="inlineStr">
        <is>
          <t>recv8fKlTrCqoD.jpg</t>
        </is>
      </c>
      <c r="C893" s="2" t="str">
        <f>=HYPERLINK("https://xhslink.com/m/9ICGa4z4i6s", "https://xhslink.com/m/9ICGa4z4i6s")</f>
        <v>https://xhslink.com/m/9ICGa4z4i6s</v>
      </c>
      <c r="D893"/>
      <c r="E893">
        <v>1060</v>
      </c>
      <c r="F893">
        <v>13.5</v>
      </c>
      <c r="G893"/>
      <c r="H893"/>
      <c r="I893">
        <v>600</v>
      </c>
      <c r="J893"/>
      <c r="K893" t="inlineStr">
        <is>
          <t>美术课件</t>
        </is>
      </c>
      <c r="L893"/>
      <c r="M893" t="inlineStr">
        <is>
          <t>画说老师的店</t>
        </is>
      </c>
      <c r="N893">
        <v>1720</v>
      </c>
      <c r="O893">
        <v>4.34</v>
      </c>
      <c r="P893">
        <v>5612</v>
      </c>
      <c r="Q893" t="inlineStr">
        <is>
          <t>68dfe3677c1a0300013a6c29</t>
        </is>
      </c>
      <c r="R893" t="inlineStr">
        <is>
          <t>🚫重复</t>
        </is>
      </c>
      <c r="S893" t="inlineStr">
        <is>
          <t>中小学教辅/教材</t>
        </is>
      </c>
      <c r="T893" t="inlineStr">
        <is>
          <t>0.62</t>
        </is>
      </c>
      <c r="U893" s="3">
        <v>46112.78107638889</v>
      </c>
      <c r="V893" t="inlineStr">
        <is>
          <t>虚拟产品</t>
        </is>
      </c>
      <c r="W893" s="3">
        <v>46036</v>
      </c>
      <c r="X893" t="inlineStr">
        <is>
          <t>01</t>
        </is>
      </c>
      <c r="Y893" t="inlineStr">
        <is>
          <t>2026-Q1</t>
        </is>
      </c>
    </row>
    <row r="894" ht="38.25" customHeight="1">
      <c r="A894" t="inlineStr">
        <is>
          <t>小学美术精品课件+配套教案（1节课）</t>
        </is>
      </c>
      <c r="B894" t="inlineStr">
        <is>
          <t>recv8fKlTrhyns.jpg</t>
        </is>
      </c>
      <c r="C894" s="2" t="str">
        <f>=HYPERLINK("https://xhslink.com/m/bvYYPtQ8mg", "https://xhslink.com/m/bvYYPtQ8mg")</f>
        <v>https://xhslink.com/m/bvYYPtQ8mg</v>
      </c>
      <c r="D894"/>
      <c r="E894">
        <v>1053</v>
      </c>
      <c r="F894">
        <v>9.9</v>
      </c>
      <c r="G894"/>
      <c r="H894"/>
      <c r="I894">
        <v>600</v>
      </c>
      <c r="J894"/>
      <c r="K894" t="inlineStr">
        <is>
          <t>美术课件</t>
        </is>
      </c>
      <c r="L894"/>
      <c r="M894" t="inlineStr">
        <is>
          <t>画画的小顺（店铺下单）的店</t>
        </is>
      </c>
      <c r="N894">
        <v>6113</v>
      </c>
      <c r="O894">
        <v>4.49</v>
      </c>
      <c r="P894">
        <v>22000</v>
      </c>
      <c r="Q894" t="inlineStr">
        <is>
          <t>6863978ff89aa50001bc5bc4</t>
        </is>
      </c>
      <c r="R894" t="inlineStr">
        <is>
          <t>🚫重复</t>
        </is>
      </c>
      <c r="S894" t="inlineStr">
        <is>
          <t>中小学教辅/教材</t>
        </is>
      </c>
      <c r="T894" t="inlineStr">
        <is>
          <t>0.17</t>
        </is>
      </c>
      <c r="U894" s="3">
        <v>46112.78107638889</v>
      </c>
      <c r="V894" t="inlineStr">
        <is>
          <t>虚拟产品</t>
        </is>
      </c>
      <c r="W894" s="3">
        <v>46036</v>
      </c>
      <c r="X894" t="inlineStr">
        <is>
          <t>01</t>
        </is>
      </c>
      <c r="Y894" t="inlineStr">
        <is>
          <t>2026-Q1</t>
        </is>
      </c>
    </row>
    <row r="895" ht="38.25" customHeight="1">
      <c r="A895" t="inlineStr">
        <is>
          <t>二上单课课件（“立即购买” ，确定课题，不退不换！）</t>
        </is>
      </c>
      <c r="B895" t="inlineStr">
        <is>
          <t>recv8fKlTrgGqx.jpg</t>
        </is>
      </c>
      <c r="C895" s="2" t="str">
        <f>=HYPERLINK("https://xhslink.com/m/3ULcVcUsKkl", "https://xhslink.com/m/3ULcVcUsKkl")</f>
        <v>https://xhslink.com/m/3ULcVcUsKkl</v>
      </c>
      <c r="D895"/>
      <c r="E895">
        <v>1017</v>
      </c>
      <c r="F895">
        <v>15</v>
      </c>
      <c r="G895"/>
      <c r="H895"/>
      <c r="I895">
        <v>400</v>
      </c>
      <c r="J895"/>
      <c r="K895" t="inlineStr">
        <is>
          <t>美术课件</t>
        </is>
      </c>
      <c r="L895"/>
      <c r="M895" t="inlineStr">
        <is>
          <t>美术老师可可的店</t>
        </is>
      </c>
      <c r="N895">
        <v>8172</v>
      </c>
      <c r="O895">
        <v>4.4</v>
      </c>
      <c r="P895">
        <v>11000</v>
      </c>
      <c r="Q895" t="inlineStr">
        <is>
          <t>689c1c0d118f610001b6340d</t>
        </is>
      </c>
      <c r="R895" t="inlineStr">
        <is>
          <t>🚫重复</t>
        </is>
      </c>
      <c r="S895" t="inlineStr">
        <is>
          <t>中小学教辅/教材</t>
        </is>
      </c>
      <c r="T895" t="inlineStr">
        <is>
          <t>0.12</t>
        </is>
      </c>
      <c r="U895" s="3">
        <v>46112.78107638889</v>
      </c>
      <c r="V895" t="inlineStr">
        <is>
          <t>虚拟产品</t>
        </is>
      </c>
      <c r="W895" s="3">
        <v>46036</v>
      </c>
      <c r="X895" t="inlineStr">
        <is>
          <t>01</t>
        </is>
      </c>
      <c r="Y895" t="inlineStr">
        <is>
          <t>2026-Q1</t>
        </is>
      </c>
    </row>
    <row r="896" ht="38.25" customHeight="1">
      <c r="A896" t="inlineStr">
        <is>
          <t>非遗传统文化美术课件PPT（单个课件+教案）</t>
        </is>
      </c>
      <c r="B896" t="inlineStr">
        <is>
          <t>recv8fKlTrdHLv.jpg</t>
        </is>
      </c>
      <c r="C896" s="2" t="str">
        <f>=HYPERLINK("https://xhslink.com/m/6EbyeeOpBfY", "https://xhslink.com/m/6EbyeeOpBfY")</f>
        <v>https://xhslink.com/m/6EbyeeOpBfY</v>
      </c>
      <c r="D896"/>
      <c r="E896">
        <v>716</v>
      </c>
      <c r="F896">
        <v>20.8</v>
      </c>
      <c r="G896"/>
      <c r="H896"/>
      <c r="I896">
        <v>500</v>
      </c>
      <c r="J896"/>
      <c r="K896" t="inlineStr">
        <is>
          <t>美术课件</t>
        </is>
      </c>
      <c r="L896"/>
      <c r="M896" t="inlineStr">
        <is>
          <t>宅心仁猴🙊的店</t>
        </is>
      </c>
      <c r="N896">
        <v>2065</v>
      </c>
      <c r="O896">
        <v>4.39</v>
      </c>
      <c r="P896">
        <v>3363</v>
      </c>
      <c r="Q896" t="inlineStr">
        <is>
          <t>68c833b539f90c0001fb07e1</t>
        </is>
      </c>
      <c r="R896" t="inlineStr">
        <is>
          <t>🚫重复</t>
        </is>
      </c>
      <c r="S896" t="inlineStr">
        <is>
          <t>PPT模板</t>
        </is>
      </c>
      <c r="T896" t="inlineStr">
        <is>
          <t>0.35</t>
        </is>
      </c>
      <c r="U896" s="3">
        <v>46112.78107638889</v>
      </c>
      <c r="V896" t="inlineStr">
        <is>
          <t>虚拟产品</t>
        </is>
      </c>
      <c r="W896" s="3">
        <v>46036</v>
      </c>
      <c r="X896" t="inlineStr">
        <is>
          <t>01</t>
        </is>
      </c>
      <c r="Y896" t="inlineStr">
        <is>
          <t>2026-Q1</t>
        </is>
      </c>
    </row>
    <row r="897" ht="38.25" customHeight="1">
      <c r="A897" t="inlineStr">
        <is>
          <t>青花瓷——创意美术课件ppt</t>
        </is>
      </c>
      <c r="B897" t="inlineStr">
        <is>
          <t>recv8fKlTrx44D.jpg</t>
        </is>
      </c>
      <c r="C897" s="2" t="str">
        <f>=HYPERLINK("https://xhslink.com/m/858PQAxn6J7", "https://xhslink.com/m/858PQAxn6J7")</f>
        <v>https://xhslink.com/m/858PQAxn6J7</v>
      </c>
      <c r="D897"/>
      <c r="E897">
        <v>997</v>
      </c>
      <c r="F897">
        <v>2.99</v>
      </c>
      <c r="G897"/>
      <c r="H897"/>
      <c r="I897">
        <v>400</v>
      </c>
      <c r="J897"/>
      <c r="K897" t="inlineStr">
        <is>
          <t>美术课件</t>
        </is>
      </c>
      <c r="L897"/>
      <c r="M897" t="inlineStr">
        <is>
          <t>高什么美术🎨的店</t>
        </is>
      </c>
      <c r="N897">
        <v>1338</v>
      </c>
      <c r="O897">
        <v>4.36</v>
      </c>
      <c r="P897">
        <v>14000</v>
      </c>
      <c r="Q897" t="inlineStr">
        <is>
          <t>682f324cdb57370001f18ff6</t>
        </is>
      </c>
      <c r="R897"/>
      <c r="S897" t="inlineStr">
        <is>
          <t>PPT模板</t>
        </is>
      </c>
      <c r="T897" t="inlineStr">
        <is>
          <t>0.75</t>
        </is>
      </c>
      <c r="U897" s="3">
        <v>46112.78107638889</v>
      </c>
      <c r="V897" t="inlineStr">
        <is>
          <t>虚拟产品</t>
        </is>
      </c>
      <c r="W897" s="3">
        <v>46036</v>
      </c>
      <c r="X897" t="inlineStr">
        <is>
          <t>01</t>
        </is>
      </c>
      <c r="Y897" t="inlineStr">
        <is>
          <t>2026-Q1</t>
        </is>
      </c>
    </row>
    <row r="898" ht="38.25" customHeight="1">
      <c r="A898" t="inlineStr">
        <is>
          <t>新人教版三年级上册美术课件ppt教案如需说课稿逐字稿拍对应链接</t>
        </is>
      </c>
      <c r="B898" t="inlineStr">
        <is>
          <t>recv8fKlTr8x23.jpg</t>
        </is>
      </c>
      <c r="C898" s="2" t="str">
        <f>=HYPERLINK("https://xhslink.com/m/7pPVKoXazXv", "https://xhslink.com/m/7pPVKoXazXv")</f>
        <v>https://xhslink.com/m/7pPVKoXazXv</v>
      </c>
      <c r="D898"/>
      <c r="E898">
        <v>1000</v>
      </c>
      <c r="F898">
        <v>9.9</v>
      </c>
      <c r="G898"/>
      <c r="H898"/>
      <c r="I898">
        <v>500</v>
      </c>
      <c r="J898"/>
      <c r="K898" t="inlineStr">
        <is>
          <t>美术课件</t>
        </is>
      </c>
      <c r="L898"/>
      <c r="M898" t="inlineStr">
        <is>
          <t>小鱼老师要努力的店</t>
        </is>
      </c>
      <c r="N898">
        <v>668</v>
      </c>
      <c r="O898">
        <v>4.4</v>
      </c>
      <c r="P898">
        <v>2455</v>
      </c>
      <c r="Q898" t="inlineStr">
        <is>
          <t>68a2c445dc73de00012eeff1</t>
        </is>
      </c>
      <c r="R898" t="inlineStr">
        <is>
          <t>🚫重复</t>
        </is>
      </c>
      <c r="S898" t="inlineStr">
        <is>
          <t>中小学教辅/教材</t>
        </is>
      </c>
      <c r="T898" t="inlineStr">
        <is>
          <t>1.50</t>
        </is>
      </c>
      <c r="U898" s="3">
        <v>46112.78107638889</v>
      </c>
      <c r="V898" t="inlineStr">
        <is>
          <t>虚拟产品</t>
        </is>
      </c>
      <c r="W898" s="3">
        <v>46036</v>
      </c>
      <c r="X898" t="inlineStr">
        <is>
          <t>01</t>
        </is>
      </c>
      <c r="Y898" t="inlineStr">
        <is>
          <t>2026-Q1</t>
        </is>
      </c>
    </row>
    <row r="899" ht="38.25" customHeight="1">
      <c r="A899" t="inlineStr">
        <is>
          <t>湘美版新课件 单节课PPT【备注年级和课题名称】</t>
        </is>
      </c>
      <c r="B899" t="inlineStr">
        <is>
          <t>recv8fKlTrPfe4.jpg</t>
        </is>
      </c>
      <c r="C899" s="2" t="str">
        <f>=HYPERLINK("https://xhslink.com/m/6yee9LOoiyT", "https://xhslink.com/m/6yee9LOoiyT")</f>
        <v>https://xhslink.com/m/6yee9LOoiyT</v>
      </c>
      <c r="D899"/>
      <c r="E899">
        <v>975</v>
      </c>
      <c r="F899">
        <v>8.2</v>
      </c>
      <c r="G899"/>
      <c r="H899"/>
      <c r="I899">
        <v>500</v>
      </c>
      <c r="J899"/>
      <c r="K899" t="inlineStr">
        <is>
          <t>美术课件</t>
        </is>
      </c>
      <c r="L899"/>
      <c r="M899" t="inlineStr">
        <is>
          <t>教画画的啊雪的店</t>
        </is>
      </c>
      <c r="N899">
        <v>2660</v>
      </c>
      <c r="O899">
        <v>4.43</v>
      </c>
      <c r="P899">
        <v>6118</v>
      </c>
      <c r="Q899" t="inlineStr">
        <is>
          <t>678cb8c75ed7270001ff2243</t>
        </is>
      </c>
      <c r="R899"/>
      <c r="S899" t="inlineStr">
        <is>
          <t>中小学教辅/教材</t>
        </is>
      </c>
      <c r="T899" t="inlineStr">
        <is>
          <t>0.37</t>
        </is>
      </c>
      <c r="U899" s="3">
        <v>46112.78107638889</v>
      </c>
      <c r="V899" t="inlineStr">
        <is>
          <t>虚拟产品</t>
        </is>
      </c>
      <c r="W899" s="3">
        <v>46036</v>
      </c>
      <c r="X899" t="inlineStr">
        <is>
          <t>01</t>
        </is>
      </c>
      <c r="Y899" t="inlineStr">
        <is>
          <t>2026-Q1</t>
        </is>
      </c>
    </row>
    <row r="900" ht="38.25" customHeight="1">
      <c r="A900" t="inlineStr">
        <is>
          <t>湘美美术课件1课（任意年级课名）</t>
        </is>
      </c>
      <c r="B900" t="inlineStr">
        <is>
          <t>recv8fKlTrQrst.jpg</t>
        </is>
      </c>
      <c r="C900" s="2" t="str">
        <f>=HYPERLINK("https://xhslink.com/m/2dEqCgWvdaN", "https://xhslink.com/m/2dEqCgWvdaN")</f>
        <v>https://xhslink.com/m/2dEqCgWvdaN</v>
      </c>
      <c r="D900"/>
      <c r="E900">
        <v>967</v>
      </c>
      <c r="F900">
        <v>9.9</v>
      </c>
      <c r="G900"/>
      <c r="H900"/>
      <c r="I900">
        <v>400</v>
      </c>
      <c r="J900"/>
      <c r="K900" t="inlineStr">
        <is>
          <t>美术课件</t>
        </is>
      </c>
      <c r="L900"/>
      <c r="M900" t="inlineStr">
        <is>
          <t>hei凤梨的店</t>
        </is>
      </c>
      <c r="N900">
        <v>2084</v>
      </c>
      <c r="O900">
        <v>4.46</v>
      </c>
      <c r="P900">
        <v>1066</v>
      </c>
      <c r="Q900" t="inlineStr">
        <is>
          <t>67c8578ff2389c00010ddab9</t>
        </is>
      </c>
      <c r="R900"/>
      <c r="S900" t="inlineStr">
        <is>
          <t>中小学教辅/教材</t>
        </is>
      </c>
      <c r="T900" t="inlineStr">
        <is>
          <t>0.46</t>
        </is>
      </c>
      <c r="U900" s="3">
        <v>46112.78107638889</v>
      </c>
      <c r="V900" t="inlineStr">
        <is>
          <t>虚拟产品</t>
        </is>
      </c>
      <c r="W900" s="3">
        <v>46036</v>
      </c>
      <c r="X900" t="inlineStr">
        <is>
          <t>01</t>
        </is>
      </c>
      <c r="Y900" t="inlineStr">
        <is>
          <t>2026-Q1</t>
        </is>
      </c>
    </row>
    <row r="901" ht="38.25" customHeight="1">
      <c r="A901" t="inlineStr">
        <is>
          <t>全店美术课件任选一节（下单后联系客服）</t>
        </is>
      </c>
      <c r="B901" t="inlineStr">
        <is>
          <t>recv8fKlTr957Y.jpg</t>
        </is>
      </c>
      <c r="C901" s="2" t="str">
        <f>=HYPERLINK("https://xhslink.com/m/1jQKsqzCDfN", "https://xhslink.com/m/1jQKsqzCDfN")</f>
        <v>https://xhslink.com/m/1jQKsqzCDfN</v>
      </c>
      <c r="D901"/>
      <c r="E901">
        <v>958</v>
      </c>
      <c r="F901">
        <v>2.98</v>
      </c>
      <c r="G901"/>
      <c r="H901"/>
      <c r="I901">
        <v>400</v>
      </c>
      <c r="J901"/>
      <c r="K901" t="inlineStr">
        <is>
          <t>美术课件</t>
        </is>
      </c>
      <c r="L901"/>
      <c r="M901" t="inlineStr">
        <is>
          <t>柠檬🍋老师的店</t>
        </is>
      </c>
      <c r="N901">
        <v>340</v>
      </c>
      <c r="O901">
        <v>4.51</v>
      </c>
      <c r="P901">
        <v>2476</v>
      </c>
      <c r="Q901" t="inlineStr">
        <is>
          <t>686fadb40e13d50001350406</t>
        </is>
      </c>
      <c r="R901"/>
      <c r="S901" t="inlineStr">
        <is>
          <t>中小学教辅/教材</t>
        </is>
      </c>
      <c r="T901" t="inlineStr">
        <is>
          <t>2.82</t>
        </is>
      </c>
      <c r="U901" s="3">
        <v>46112.78107638889</v>
      </c>
      <c r="V901" t="inlineStr">
        <is>
          <t>虚拟产品</t>
        </is>
      </c>
      <c r="W901" s="3">
        <v>46036</v>
      </c>
      <c r="X901" t="inlineStr">
        <is>
          <t>01</t>
        </is>
      </c>
      <c r="Y901" t="inlineStr">
        <is>
          <t>2026-Q1</t>
        </is>
      </c>
    </row>
    <row r="902" ht="38.25" customHeight="1">
      <c r="A902" t="inlineStr">
        <is>
          <t>冰糖葫芦创意美术课程ppt，糖葫芦少儿美术课程PPT22页</t>
        </is>
      </c>
      <c r="B902" t="inlineStr">
        <is>
          <t>recv8fKlTrpZKA.jpg</t>
        </is>
      </c>
      <c r="C902" s="2" t="str">
        <f>=HYPERLINK("https://xhslink.com/m/81byPfJxVwo", "https://xhslink.com/m/81byPfJxVwo")</f>
        <v>https://xhslink.com/m/81byPfJxVwo</v>
      </c>
      <c r="D902"/>
      <c r="E902">
        <v>942</v>
      </c>
      <c r="F902">
        <v>2.98</v>
      </c>
      <c r="G902"/>
      <c r="H902"/>
      <c r="I902">
        <v>600</v>
      </c>
      <c r="J902"/>
      <c r="K902" t="inlineStr">
        <is>
          <t>美术课件</t>
        </is>
      </c>
      <c r="L902"/>
      <c r="M902" t="inlineStr">
        <is>
          <t>黄老师教画画的店</t>
        </is>
      </c>
      <c r="N902">
        <v>14000</v>
      </c>
      <c r="O902">
        <v>4.52</v>
      </c>
      <c r="P902">
        <v>52000</v>
      </c>
      <c r="Q902" t="inlineStr">
        <is>
          <t>677d239db7763f000182d226</t>
        </is>
      </c>
      <c r="R902"/>
      <c r="S902" t="inlineStr">
        <is>
          <t>PPT模板</t>
        </is>
      </c>
      <c r="T902" t="inlineStr">
        <is>
          <t>0.07</t>
        </is>
      </c>
      <c r="U902" s="3">
        <v>46112.78107638889</v>
      </c>
      <c r="V902" t="inlineStr">
        <is>
          <t>虚拟产品</t>
        </is>
      </c>
      <c r="W902" s="3">
        <v>46036</v>
      </c>
      <c r="X902" t="inlineStr">
        <is>
          <t>01</t>
        </is>
      </c>
      <c r="Y902" t="inlineStr">
        <is>
          <t>2026-Q1</t>
        </is>
      </c>
    </row>
    <row r="903" ht="38.25" customHeight="1">
      <c r="A903" t="inlineStr">
        <is>
          <t>湘美版新教材｜八年级上册课件</t>
        </is>
      </c>
      <c r="B903" t="inlineStr">
        <is>
          <t>recv8fKlTr3Mar.jpg</t>
        </is>
      </c>
      <c r="C903" s="2" t="str">
        <f>=HYPERLINK("https://xhslink.com/m/9gd13fc05xv", "https://xhslink.com/m/9gd13fc05xv")</f>
        <v>https://xhslink.com/m/9gd13fc05xv</v>
      </c>
      <c r="D903"/>
      <c r="E903">
        <v>886</v>
      </c>
      <c r="F903">
        <v>12</v>
      </c>
      <c r="G903"/>
      <c r="H903"/>
      <c r="I903">
        <v>300</v>
      </c>
      <c r="J903"/>
      <c r="K903" t="inlineStr">
        <is>
          <t>美术课件</t>
        </is>
      </c>
      <c r="L903"/>
      <c r="M903" t="inlineStr">
        <is>
          <t>美教护肝片的店</t>
        </is>
      </c>
      <c r="N903">
        <v>11000</v>
      </c>
      <c r="O903">
        <v>4.36</v>
      </c>
      <c r="P903">
        <v>21000</v>
      </c>
      <c r="Q903" t="inlineStr">
        <is>
          <t>692266bd01312b00010ee66f</t>
        </is>
      </c>
      <c r="R903" t="inlineStr">
        <is>
          <t>🚫重复</t>
        </is>
      </c>
      <c r="S903" t="inlineStr">
        <is>
          <t>中小学教辅/教材</t>
        </is>
      </c>
      <c r="T903" t="inlineStr">
        <is>
          <t>0.08</t>
        </is>
      </c>
      <c r="U903" s="3">
        <v>46112.78107638889</v>
      </c>
      <c r="V903" t="inlineStr">
        <is>
          <t>虚拟产品</t>
        </is>
      </c>
      <c r="W903" s="3">
        <v>46036</v>
      </c>
      <c r="X903" t="inlineStr">
        <is>
          <t>01</t>
        </is>
      </c>
      <c r="Y903" t="inlineStr">
        <is>
          <t>2026-Q1</t>
        </is>
      </c>
    </row>
    <row r="904" ht="38.25" customHeight="1">
      <c r="A904" t="inlineStr">
        <is>
          <t>新人教版二年级上册美术</t>
        </is>
      </c>
      <c r="B904" t="inlineStr">
        <is>
          <t>recv8fKlTr9n8r.jpg</t>
        </is>
      </c>
      <c r="C904" s="2" t="str">
        <f>=HYPERLINK("https://xhslink.com/m/4WViMeUmaVw", "https://xhslink.com/m/4WViMeUmaVw")</f>
        <v>https://xhslink.com/m/4WViMeUmaVw</v>
      </c>
      <c r="D904"/>
      <c r="E904">
        <v>867</v>
      </c>
      <c r="F904">
        <v>12</v>
      </c>
      <c r="G904"/>
      <c r="H904"/>
      <c r="I904">
        <v>400</v>
      </c>
      <c r="J904"/>
      <c r="K904" t="inlineStr">
        <is>
          <t>美术课件</t>
        </is>
      </c>
      <c r="L904"/>
      <c r="M904" t="inlineStr">
        <is>
          <t>下课闲人的店</t>
        </is>
      </c>
      <c r="N904">
        <v>601</v>
      </c>
      <c r="O904">
        <v>4.22</v>
      </c>
      <c r="P904">
        <v>1414</v>
      </c>
      <c r="Q904" t="inlineStr">
        <is>
          <t>670224a64ae18700017ee708</t>
        </is>
      </c>
      <c r="R904"/>
      <c r="S904" t="inlineStr">
        <is>
          <t>中小学教辅/教材</t>
        </is>
      </c>
      <c r="T904" t="inlineStr">
        <is>
          <t>1.44</t>
        </is>
      </c>
      <c r="U904" s="3">
        <v>46112.78107638889</v>
      </c>
      <c r="V904" t="inlineStr">
        <is>
          <t>虚拟产品</t>
        </is>
      </c>
      <c r="W904" s="3">
        <v>46036</v>
      </c>
      <c r="X904" t="inlineStr">
        <is>
          <t>01</t>
        </is>
      </c>
      <c r="Y904" t="inlineStr">
        <is>
          <t>2026-Q1</t>
        </is>
      </c>
    </row>
    <row r="905" ht="38.25" customHeight="1">
      <c r="A905" t="inlineStr">
        <is>
          <t>人美版初中美术课件PPT（单个课件+单元教案+课时教案）电子版</t>
        </is>
      </c>
      <c r="B905" t="inlineStr">
        <is>
          <t>recv8fKlTrl17V.jpg</t>
        </is>
      </c>
      <c r="C905" s="2" t="str">
        <f>=HYPERLINK("https://xhslink.com/m/31f8lzNU65e", "https://xhslink.com/m/31f8lzNU65e")</f>
        <v>https://xhslink.com/m/31f8lzNU65e</v>
      </c>
      <c r="D905"/>
      <c r="E905">
        <v>617</v>
      </c>
      <c r="F905">
        <v>12.8</v>
      </c>
      <c r="G905"/>
      <c r="H905"/>
      <c r="I905">
        <v>300</v>
      </c>
      <c r="J905"/>
      <c r="K905" t="inlineStr">
        <is>
          <t>美术课件</t>
        </is>
      </c>
      <c r="L905"/>
      <c r="M905" t="inlineStr">
        <is>
          <t>宅心仁猴🙊的店</t>
        </is>
      </c>
      <c r="N905">
        <v>2065</v>
      </c>
      <c r="O905">
        <v>4.39</v>
      </c>
      <c r="P905">
        <v>3363</v>
      </c>
      <c r="Q905" t="inlineStr">
        <is>
          <t>68e60ab553446d0001ec2408</t>
        </is>
      </c>
      <c r="R905" t="inlineStr">
        <is>
          <t>🚫重复</t>
        </is>
      </c>
      <c r="S905" t="inlineStr">
        <is>
          <t>中小学教辅/教材</t>
        </is>
      </c>
      <c r="T905" t="inlineStr">
        <is>
          <t>0.30</t>
        </is>
      </c>
      <c r="U905" s="3">
        <v>46112.78107638889</v>
      </c>
      <c r="V905" t="inlineStr">
        <is>
          <t>虚拟产品</t>
        </is>
      </c>
      <c r="W905" s="3">
        <v>46036</v>
      </c>
      <c r="X905" t="inlineStr">
        <is>
          <t>01</t>
        </is>
      </c>
      <c r="Y905" t="inlineStr">
        <is>
          <t>2026-Q1</t>
        </is>
      </c>
    </row>
    <row r="906" ht="38.25" customHeight="1">
      <c r="A906" t="inlineStr">
        <is>
          <t>99无实物大班《秋叶的联想》课件+配套教案【24小时阿奇索发货</t>
        </is>
      </c>
      <c r="B906" t="inlineStr">
        <is>
          <t>recv8fKlTrmB8O.jpg</t>
        </is>
      </c>
      <c r="C906" s="2" t="str">
        <f>=HYPERLINK("https://xhslink.com/m/2vmbHnnfgLW", "https://xhslink.com/m/2vmbHnnfgLW")</f>
        <v>https://xhslink.com/m/2vmbHnnfgLW</v>
      </c>
      <c r="D906"/>
      <c r="E906">
        <v>793</v>
      </c>
      <c r="F906">
        <v>6.9</v>
      </c>
      <c r="G906"/>
      <c r="H906"/>
      <c r="I906">
        <v>700</v>
      </c>
      <c r="J906"/>
      <c r="K906" t="inlineStr">
        <is>
          <t>美术课件</t>
        </is>
      </c>
      <c r="L906"/>
      <c r="M906" t="inlineStr">
        <is>
          <t>王老师手作的店</t>
        </is>
      </c>
      <c r="N906">
        <v>11000</v>
      </c>
      <c r="O906">
        <v>4.3</v>
      </c>
      <c r="P906">
        <v>8628</v>
      </c>
      <c r="Q906" t="inlineStr">
        <is>
          <t>68cd6738c7284000010c6622</t>
        </is>
      </c>
      <c r="R906"/>
      <c r="S906" t="inlineStr">
        <is>
          <t>中小学教辅/教材</t>
        </is>
      </c>
      <c r="T906" t="inlineStr">
        <is>
          <t>0.07</t>
        </is>
      </c>
      <c r="U906" s="3">
        <v>46112.78107638889</v>
      </c>
      <c r="V906" t="inlineStr">
        <is>
          <t>虚拟产品</t>
        </is>
      </c>
      <c r="W906" s="3">
        <v>46036</v>
      </c>
      <c r="X906" t="inlineStr">
        <is>
          <t>01</t>
        </is>
      </c>
      <c r="Y906" t="inlineStr">
        <is>
          <t>2026-Q1</t>
        </is>
      </c>
    </row>
    <row r="907" ht="38.25" customHeight="1">
      <c r="A907" t="inlineStr">
        <is>
          <t>1节课的 新湘美三年级上册美术课件教案 ppt格式</t>
        </is>
      </c>
      <c r="B907" t="inlineStr">
        <is>
          <t>recv8fKlTrQhjm.jpg</t>
        </is>
      </c>
      <c r="C907" s="2" t="str">
        <f>=HYPERLINK("https://xhslink.com/m/1KmBuef3j0n", "https://xhslink.com/m/1KmBuef3j0n")</f>
        <v>https://xhslink.com/m/1KmBuef3j0n</v>
      </c>
      <c r="D907"/>
      <c r="E907">
        <v>783</v>
      </c>
      <c r="F907">
        <v>8</v>
      </c>
      <c r="G907"/>
      <c r="H907"/>
      <c r="I907"/>
      <c r="J907"/>
      <c r="K907" t="inlineStr">
        <is>
          <t>美术课件</t>
        </is>
      </c>
      <c r="L907"/>
      <c r="M907" t="inlineStr">
        <is>
          <t>美术 曾老师的店</t>
        </is>
      </c>
      <c r="N907">
        <v>1042</v>
      </c>
      <c r="O907">
        <v>4.4</v>
      </c>
      <c r="P907">
        <v>3625</v>
      </c>
      <c r="Q907" t="inlineStr">
        <is>
          <t>68e8cac52990490001f259db</t>
        </is>
      </c>
      <c r="R907"/>
      <c r="S907" t="inlineStr">
        <is>
          <t>中小学教辅/教材</t>
        </is>
      </c>
      <c r="T907" t="inlineStr">
        <is>
          <t>0.75</t>
        </is>
      </c>
      <c r="U907" s="3">
        <v>46112.78107638889</v>
      </c>
      <c r="V907" t="inlineStr">
        <is>
          <t>虚拟产品</t>
        </is>
      </c>
      <c r="W907" s="3">
        <v>46036</v>
      </c>
      <c r="X907" t="inlineStr">
        <is>
          <t>01</t>
        </is>
      </c>
      <c r="Y907" t="inlineStr">
        <is>
          <t>2026-Q1</t>
        </is>
      </c>
    </row>
    <row r="908" ht="38.25" customHeight="1">
      <c r="A908" t="inlineStr">
        <is>
          <t>人美版新版 | 八上精品课件教案（赛课级品质）</t>
        </is>
      </c>
      <c r="B908" t="inlineStr">
        <is>
          <t>recv8fKlTr3d3K.jpg</t>
        </is>
      </c>
      <c r="C908" s="2" t="str">
        <f>=HYPERLINK("https://xhslink.com/m/AowFf5xcWLj", "https://xhslink.com/m/AowFf5xcWLj")</f>
        <v>https://xhslink.com/m/AowFf5xcWLj</v>
      </c>
      <c r="D908"/>
      <c r="E908">
        <v>749</v>
      </c>
      <c r="F908">
        <v>13.5</v>
      </c>
      <c r="G908"/>
      <c r="H908"/>
      <c r="I908">
        <v>400</v>
      </c>
      <c r="J908"/>
      <c r="K908" t="inlineStr">
        <is>
          <t>美术课件</t>
        </is>
      </c>
      <c r="L908"/>
      <c r="M908" t="inlineStr">
        <is>
          <t>画说老师的店</t>
        </is>
      </c>
      <c r="N908">
        <v>1720</v>
      </c>
      <c r="O908">
        <v>4.34</v>
      </c>
      <c r="P908">
        <v>5612</v>
      </c>
      <c r="Q908" t="inlineStr">
        <is>
          <t>69189be2b51a3800010853ef</t>
        </is>
      </c>
      <c r="R908" t="inlineStr">
        <is>
          <t>🚫重复</t>
        </is>
      </c>
      <c r="S908" t="inlineStr">
        <is>
          <t>中小学教辅/教材</t>
        </is>
      </c>
      <c r="T908" t="inlineStr">
        <is>
          <t>0.44</t>
        </is>
      </c>
      <c r="U908" s="3">
        <v>46112.78107638889</v>
      </c>
      <c r="V908" t="inlineStr">
        <is>
          <t>虚拟产品</t>
        </is>
      </c>
      <c r="W908" s="3">
        <v>46036</v>
      </c>
      <c r="X908" t="inlineStr">
        <is>
          <t>01</t>
        </is>
      </c>
      <c r="Y908" t="inlineStr">
        <is>
          <t>2026-Q1</t>
        </is>
      </c>
    </row>
    <row r="909" ht="38.25" customHeight="1">
      <c r="A909" t="inlineStr">
        <is>
          <t>小学美术人教版四年级上册公开课课件教案</t>
        </is>
      </c>
      <c r="B909" t="inlineStr">
        <is>
          <t>recv8fKlTrQHYD.jpg</t>
        </is>
      </c>
      <c r="C909" s="2" t="str">
        <f>=HYPERLINK("https://xhslink.com/m/50uj6OwBtew", "https://xhslink.com/m/50uj6OwBtew")</f>
        <v>https://xhslink.com/m/50uj6OwBtew</v>
      </c>
      <c r="D909"/>
      <c r="E909">
        <v>733</v>
      </c>
      <c r="F909">
        <v>6.9</v>
      </c>
      <c r="G909"/>
      <c r="H909"/>
      <c r="I909">
        <v>400</v>
      </c>
      <c r="J909"/>
      <c r="K909" t="inlineStr">
        <is>
          <t>美术课件</t>
        </is>
      </c>
      <c r="L909"/>
      <c r="M909" t="inlineStr">
        <is>
          <t>小七美术的店</t>
        </is>
      </c>
      <c r="N909">
        <v>521</v>
      </c>
      <c r="O909">
        <v>3.97</v>
      </c>
      <c r="P909">
        <v>2020</v>
      </c>
      <c r="Q909" t="inlineStr">
        <is>
          <t>68b2c0d38ec6fa000168ab7e</t>
        </is>
      </c>
      <c r="R909" t="inlineStr">
        <is>
          <t>🚫重复</t>
        </is>
      </c>
      <c r="S909" t="inlineStr">
        <is>
          <t>中小学教辅/教材</t>
        </is>
      </c>
      <c r="T909" t="inlineStr">
        <is>
          <t>1.41</t>
        </is>
      </c>
      <c r="U909" s="3">
        <v>46112.78107638889</v>
      </c>
      <c r="V909" t="inlineStr">
        <is>
          <t>虚拟产品</t>
        </is>
      </c>
      <c r="W909" s="3">
        <v>46036</v>
      </c>
      <c r="X909" t="inlineStr">
        <is>
          <t>01</t>
        </is>
      </c>
      <c r="Y909" t="inlineStr">
        <is>
          <t>2026-Q1</t>
        </is>
      </c>
    </row>
    <row r="910" ht="38.25" customHeight="1">
      <c r="A910" t="inlineStr">
        <is>
          <t>新教材人教版美术二年级上册课件教案全套</t>
        </is>
      </c>
      <c r="B910" t="inlineStr">
        <is>
          <t>recv8fKlTrkUAY.jpg</t>
        </is>
      </c>
      <c r="C910" s="2" t="str">
        <f>=HYPERLINK("https://xhslink.com/m/4sidPlUP920", "https://xhslink.com/m/4sidPlUP920")</f>
        <v>https://xhslink.com/m/4sidPlUP920</v>
      </c>
      <c r="D910"/>
      <c r="E910">
        <v>710</v>
      </c>
      <c r="F910">
        <v>8.9</v>
      </c>
      <c r="G910"/>
      <c r="H910"/>
      <c r="I910">
        <v>300</v>
      </c>
      <c r="J910"/>
      <c r="K910" t="inlineStr">
        <is>
          <t>美术课件</t>
        </is>
      </c>
      <c r="L910"/>
      <c r="M910" t="inlineStr">
        <is>
          <t>小杨老师的店</t>
        </is>
      </c>
      <c r="N910">
        <v>6523</v>
      </c>
      <c r="O910">
        <v>4.02</v>
      </c>
      <c r="P910">
        <v>4304</v>
      </c>
      <c r="Q910" t="inlineStr">
        <is>
          <t>68a46cb060a5740001de80ad</t>
        </is>
      </c>
      <c r="R910" t="inlineStr">
        <is>
          <t>🚫重复</t>
        </is>
      </c>
      <c r="S910" t="inlineStr">
        <is>
          <t>中小学教辅/教材</t>
        </is>
      </c>
      <c r="T910" t="inlineStr">
        <is>
          <t>0.11</t>
        </is>
      </c>
      <c r="U910" s="3">
        <v>46112.78107638889</v>
      </c>
      <c r="V910" t="inlineStr">
        <is>
          <t>虚拟产品</t>
        </is>
      </c>
      <c r="W910" s="3">
        <v>46036</v>
      </c>
      <c r="X910" t="inlineStr">
        <is>
          <t>01</t>
        </is>
      </c>
      <c r="Y910" t="inlineStr">
        <is>
          <t>2026-Q1</t>
        </is>
      </c>
    </row>
    <row r="911" ht="38.25" customHeight="1">
      <c r="A911" t="inlineStr">
        <is>
          <t>西卡优质美术PPT～</t>
        </is>
      </c>
      <c r="B911" t="inlineStr">
        <is>
          <t>recv8fKlTrLrCM.jpg</t>
        </is>
      </c>
      <c r="C911" s="2" t="str">
        <f>=HYPERLINK("https://xhslink.com/m/4tEDc0JF0vt", "https://xhslink.com/m/4tEDc0JF0vt")</f>
        <v>https://xhslink.com/m/4tEDc0JF0vt</v>
      </c>
      <c r="D911"/>
      <c r="E911">
        <v>654</v>
      </c>
      <c r="F911">
        <v>9.9</v>
      </c>
      <c r="G911"/>
      <c r="H911"/>
      <c r="I911">
        <v>300</v>
      </c>
      <c r="J911"/>
      <c r="K911" t="inlineStr">
        <is>
          <t>美术课件</t>
        </is>
      </c>
      <c r="L911"/>
      <c r="M911" t="inlineStr">
        <is>
          <t>西卡老师～的店</t>
        </is>
      </c>
      <c r="N911">
        <v>1160</v>
      </c>
      <c r="O911">
        <v>4.08</v>
      </c>
      <c r="P911">
        <v>2730</v>
      </c>
      <c r="Q911" t="inlineStr">
        <is>
          <t>693a4433d1d80b00013e26c2</t>
        </is>
      </c>
      <c r="R911"/>
      <c r="S911" t="inlineStr">
        <is>
          <t>PPT模板</t>
        </is>
      </c>
      <c r="T911" t="inlineStr">
        <is>
          <t>0.56</t>
        </is>
      </c>
      <c r="U911" s="3">
        <v>46112.78107638889</v>
      </c>
      <c r="V911" t="inlineStr">
        <is>
          <t>虚拟产品</t>
        </is>
      </c>
      <c r="W911" s="3">
        <v>46036</v>
      </c>
      <c r="X911" t="inlineStr">
        <is>
          <t>01</t>
        </is>
      </c>
      <c r="Y911" t="inlineStr">
        <is>
          <t>2026-Q1</t>
        </is>
      </c>
    </row>
    <row r="912" ht="38.25" customHeight="1">
      <c r="A912" t="inlineStr">
        <is>
          <t>序号9【面包小镇】创意美术课程PPT源文件</t>
        </is>
      </c>
      <c r="B912" t="inlineStr">
        <is>
          <t>recv8fKlTra7DM.jpg</t>
        </is>
      </c>
      <c r="C912" s="2" t="str">
        <f>=HYPERLINK("https://xhslink.com/m/7YcCtfha3Xo", "https://xhslink.com/m/7YcCtfha3Xo")</f>
        <v>https://xhslink.com/m/7YcCtfha3Xo</v>
      </c>
      <c r="D912"/>
      <c r="E912">
        <v>448</v>
      </c>
      <c r="F912">
        <v>4.5</v>
      </c>
      <c r="G912"/>
      <c r="H912"/>
      <c r="I912">
        <v>300</v>
      </c>
      <c r="J912"/>
      <c r="K912" t="inlineStr">
        <is>
          <t>美术课件</t>
        </is>
      </c>
      <c r="L912"/>
      <c r="M912" t="inlineStr">
        <is>
          <t>开画室的芮芮的店</t>
        </is>
      </c>
      <c r="N912">
        <v>2175</v>
      </c>
      <c r="O912">
        <v>4.22</v>
      </c>
      <c r="P912">
        <v>14000</v>
      </c>
      <c r="Q912" t="inlineStr">
        <is>
          <t>67d2c1a58599cb000158f4cd</t>
        </is>
      </c>
      <c r="R912"/>
      <c r="S912" t="inlineStr">
        <is>
          <t>PPT模板</t>
        </is>
      </c>
      <c r="T912" t="inlineStr">
        <is>
          <t>0.21</t>
        </is>
      </c>
      <c r="U912" s="3">
        <v>46112.78107638889</v>
      </c>
      <c r="V912" t="inlineStr">
        <is>
          <t>虚拟产品</t>
        </is>
      </c>
      <c r="W912" s="3">
        <v>46036</v>
      </c>
      <c r="X912" t="inlineStr">
        <is>
          <t>01</t>
        </is>
      </c>
      <c r="Y912" t="inlineStr">
        <is>
          <t>2026-Q1</t>
        </is>
      </c>
    </row>
    <row r="913" ht="38.25" customHeight="1">
      <c r="A913" t="inlineStr">
        <is>
          <t>幼儿园大中小五大领域公开课资料</t>
        </is>
      </c>
      <c r="B913" t="inlineStr">
        <is>
          <t>recv8fKlTrpnIa.jpg</t>
        </is>
      </c>
      <c r="C913" s="2" t="str">
        <f>=HYPERLINK("https://xhslink.com/m/Aab0Tzr3xIY", "https://xhslink.com/m/Aab0Tzr3xIY")</f>
        <v>https://xhslink.com/m/Aab0Tzr3xIY</v>
      </c>
      <c r="D913"/>
      <c r="E913">
        <v>12000</v>
      </c>
      <c r="F913">
        <v>20.88</v>
      </c>
      <c r="G913"/>
      <c r="H913"/>
      <c r="I913">
        <v>1000</v>
      </c>
      <c r="J913"/>
      <c r="K913" t="inlineStr">
        <is>
          <t>课件</t>
        </is>
      </c>
      <c r="L913"/>
      <c r="M913" t="inlineStr">
        <is>
          <t>琪琪幼教（私信不回）的店</t>
        </is>
      </c>
      <c r="N913">
        <v>9467</v>
      </c>
      <c r="O913">
        <v>4.5</v>
      </c>
      <c r="P913">
        <v>16000</v>
      </c>
      <c r="Q913" t="inlineStr">
        <is>
          <t>65ce355b43c0d000012e72b8</t>
        </is>
      </c>
      <c r="R913" t="inlineStr">
        <is>
          <t>🚫重复</t>
        </is>
      </c>
      <c r="S913" t="inlineStr">
        <is>
          <t>幼教资料</t>
        </is>
      </c>
      <c r="T913" t="inlineStr">
        <is>
          <t>1.27</t>
        </is>
      </c>
      <c r="U913" s="3">
        <v>46112.78107638889</v>
      </c>
      <c r="V913" t="inlineStr">
        <is>
          <t>虚拟产品</t>
        </is>
      </c>
      <c r="W913" s="3">
        <v>46036</v>
      </c>
      <c r="X913" t="inlineStr">
        <is>
          <t>01</t>
        </is>
      </c>
      <c r="Y913" t="inlineStr">
        <is>
          <t>2026-Q1</t>
        </is>
      </c>
    </row>
    <row r="914" ht="38.25" customHeight="1">
      <c r="A914" t="inlineStr">
        <is>
          <t>请勿直接拍下，请确定需要哪个课件哦！</t>
        </is>
      </c>
      <c r="B914" t="inlineStr">
        <is>
          <t>recv8fKlTrwtIA.jpg</t>
        </is>
      </c>
      <c r="C914" s="2" t="str">
        <f>=HYPERLINK("https://xhslink.com/m/A0wWfcvGBVY", "https://xhslink.com/m/A0wWfcvGBVY")</f>
        <v>https://xhslink.com/m/A0wWfcvGBVY</v>
      </c>
      <c r="D914"/>
      <c r="E914">
        <v>8853</v>
      </c>
      <c r="F914">
        <v>8</v>
      </c>
      <c r="G914"/>
      <c r="H914"/>
      <c r="I914">
        <v>400</v>
      </c>
      <c r="J914"/>
      <c r="K914" t="inlineStr">
        <is>
          <t>课件</t>
        </is>
      </c>
      <c r="L914"/>
      <c r="M914" t="inlineStr">
        <is>
          <t>Tang原创课件的店</t>
        </is>
      </c>
      <c r="N914">
        <v>72000</v>
      </c>
      <c r="O914">
        <v>4.38</v>
      </c>
      <c r="P914">
        <v>74000</v>
      </c>
      <c r="Q914" t="inlineStr">
        <is>
          <t>64fea36bde5288000133cb4f</t>
        </is>
      </c>
      <c r="R914" t="inlineStr">
        <is>
          <t>🚫重复</t>
        </is>
      </c>
      <c r="S914" t="inlineStr">
        <is>
          <t>中小学教辅/教材</t>
        </is>
      </c>
      <c r="T914" t="inlineStr">
        <is>
          <t>0.12</t>
        </is>
      </c>
      <c r="U914" s="3">
        <v>46112.78107638889</v>
      </c>
      <c r="V914" t="inlineStr">
        <is>
          <t>虚拟产品</t>
        </is>
      </c>
      <c r="W914" s="3">
        <v>46036</v>
      </c>
      <c r="X914" t="inlineStr">
        <is>
          <t>01</t>
        </is>
      </c>
      <c r="Y914" t="inlineStr">
        <is>
          <t>2026-Q1</t>
        </is>
      </c>
    </row>
    <row r="915" ht="38.25" customHeight="1">
      <c r="A915" t="inlineStr">
        <is>
          <t>七年级上册历史课件（单课）购买选此链接</t>
        </is>
      </c>
      <c r="B915" t="inlineStr">
        <is>
          <t>recv8fKlTrytiy.jpg</t>
        </is>
      </c>
      <c r="C915" s="2" t="str">
        <f>=HYPERLINK("https://xhslink.com/m/AlTD0Xlvwmo", "https://xhslink.com/m/AlTD0Xlvwmo")</f>
        <v>https://xhslink.com/m/AlTD0Xlvwmo</v>
      </c>
      <c r="D915"/>
      <c r="E915">
        <v>7353</v>
      </c>
      <c r="F915">
        <v>1</v>
      </c>
      <c r="G915"/>
      <c r="H915"/>
      <c r="I915">
        <v>400</v>
      </c>
      <c r="J915"/>
      <c r="K915" t="inlineStr">
        <is>
          <t>课件</t>
        </is>
      </c>
      <c r="L915"/>
      <c r="M915" t="inlineStr">
        <is>
          <t>历史圆子的店</t>
        </is>
      </c>
      <c r="N915">
        <v>14000</v>
      </c>
      <c r="O915">
        <v>4.42</v>
      </c>
      <c r="P915">
        <v>23000</v>
      </c>
      <c r="Q915" t="inlineStr">
        <is>
          <t>6760d59bbe2f6800015d9ae6</t>
        </is>
      </c>
      <c r="R915" t="inlineStr">
        <is>
          <t>🚫重复</t>
        </is>
      </c>
      <c r="S915" t="inlineStr">
        <is>
          <t>中小学教辅/教材</t>
        </is>
      </c>
      <c r="T915" t="inlineStr">
        <is>
          <t>0.53</t>
        </is>
      </c>
      <c r="U915" s="3">
        <v>46112.78107638889</v>
      </c>
      <c r="V915" t="inlineStr">
        <is>
          <t>虚拟产品</t>
        </is>
      </c>
      <c r="W915" s="3">
        <v>46036</v>
      </c>
      <c r="X915" t="inlineStr">
        <is>
          <t>01</t>
        </is>
      </c>
      <c r="Y915" t="inlineStr">
        <is>
          <t>2026-Q1</t>
        </is>
      </c>
    </row>
    <row r="916" ht="38.25" customHeight="1">
      <c r="A916" t="inlineStr">
        <is>
          <t>600+款课堂游戏惩罚游戏趣味游戏PPT课件【拍下自动发货】</t>
        </is>
      </c>
      <c r="B916" t="inlineStr">
        <is>
          <t>recv8fKlTrAzpC.jpg</t>
        </is>
      </c>
      <c r="C916" s="2" t="str">
        <f>=HYPERLINK("https://xhslink.com/m/1hg2PCx0cHN", "https://xhslink.com/m/1hg2PCx0cHN")</f>
        <v>https://xhslink.com/m/1hg2PCx0cHN</v>
      </c>
      <c r="D916"/>
      <c r="E916">
        <v>6472</v>
      </c>
      <c r="F916">
        <v>4.9</v>
      </c>
      <c r="G916"/>
      <c r="H916"/>
      <c r="I916">
        <v>6000</v>
      </c>
      <c r="J916"/>
      <c r="K916" t="inlineStr">
        <is>
          <t>课件</t>
        </is>
      </c>
      <c r="L916" t="inlineStr">
        <is>
          <t>🔥低粉爆款</t>
        </is>
      </c>
      <c r="M916" t="inlineStr">
        <is>
          <t>阿念老师的店</t>
        </is>
      </c>
      <c r="N916">
        <v>300</v>
      </c>
      <c r="O916">
        <v>4.39</v>
      </c>
      <c r="P916">
        <v>11000</v>
      </c>
      <c r="Q916" t="inlineStr">
        <is>
          <t>6912f28c1b0ce80001a15c34</t>
        </is>
      </c>
      <c r="R916" t="inlineStr">
        <is>
          <t>🚫重复</t>
        </is>
      </c>
      <c r="S916" t="inlineStr">
        <is>
          <t>中小学教辅/教材</t>
        </is>
      </c>
      <c r="T916" t="inlineStr">
        <is>
          <t>21.57</t>
        </is>
      </c>
      <c r="U916" s="3">
        <v>46112.78107638889</v>
      </c>
      <c r="V916" t="inlineStr">
        <is>
          <t>虚拟产品</t>
        </is>
      </c>
      <c r="W916" s="3">
        <v>46036</v>
      </c>
      <c r="X916" t="inlineStr">
        <is>
          <t>01</t>
        </is>
      </c>
      <c r="Y916" t="inlineStr">
        <is>
          <t>2026-Q1</t>
        </is>
      </c>
    </row>
    <row r="917" ht="38.25" customHeight="1">
      <c r="A917" t="inlineStr">
        <is>
          <t>102号：一上日常课件/教案</t>
        </is>
      </c>
      <c r="B917" t="inlineStr">
        <is>
          <t>recv8fKlTrcHRT.jpg</t>
        </is>
      </c>
      <c r="C917" s="2" t="str">
        <f>=HYPERLINK("https://xhslink.com/m/AMXcUIMqyRU", "https://xhslink.com/m/AMXcUIMqyRU")</f>
        <v>https://xhslink.com/m/AMXcUIMqyRU</v>
      </c>
      <c r="D917"/>
      <c r="E917">
        <v>6262</v>
      </c>
      <c r="F917">
        <v>2</v>
      </c>
      <c r="G917"/>
      <c r="H917"/>
      <c r="I917">
        <v>900</v>
      </c>
      <c r="J917"/>
      <c r="K917" t="inlineStr">
        <is>
          <t>课件</t>
        </is>
      </c>
      <c r="L917"/>
      <c r="M917" t="inlineStr">
        <is>
          <t>张主任的情报库的店</t>
        </is>
      </c>
      <c r="N917">
        <v>28000</v>
      </c>
      <c r="O917">
        <v>4.57</v>
      </c>
      <c r="P917">
        <v>220000</v>
      </c>
      <c r="Q917" t="inlineStr">
        <is>
          <t>68c10a01b80a9f000163b13c</t>
        </is>
      </c>
      <c r="R917" t="inlineStr">
        <is>
          <t>🚫重复</t>
        </is>
      </c>
      <c r="S917" t="inlineStr">
        <is>
          <t>中小学教辅/教材</t>
        </is>
      </c>
      <c r="T917" t="inlineStr">
        <is>
          <t>0.22</t>
        </is>
      </c>
      <c r="U917" s="3">
        <v>46112.78107638889</v>
      </c>
      <c r="V917" t="inlineStr">
        <is>
          <t>虚拟产品</t>
        </is>
      </c>
      <c r="W917" s="3">
        <v>46036</v>
      </c>
      <c r="X917" t="inlineStr">
        <is>
          <t>01</t>
        </is>
      </c>
      <c r="Y917" t="inlineStr">
        <is>
          <t>2026-Q1</t>
        </is>
      </c>
    </row>
    <row r="918" ht="38.25" customHeight="1">
      <c r="A918" t="inlineStr">
        <is>
          <t>【K40】25新版四上大单元任务群公开课课件+详细教案</t>
        </is>
      </c>
      <c r="B918" t="inlineStr">
        <is>
          <t>recv8fKlTrPwtA.jpg</t>
        </is>
      </c>
      <c r="C918" s="2" t="str">
        <f>=HYPERLINK("https://xhslink.com/m/5y7kYF9qBLl", "https://xhslink.com/m/5y7kYF9qBLl")</f>
        <v>https://xhslink.com/m/5y7kYF9qBLl</v>
      </c>
      <c r="D918"/>
      <c r="E918">
        <v>5520</v>
      </c>
      <c r="F918">
        <v>9.9</v>
      </c>
      <c r="G918"/>
      <c r="H918"/>
      <c r="I918">
        <v>3000</v>
      </c>
      <c r="J918"/>
      <c r="K918" t="inlineStr">
        <is>
          <t>课件</t>
        </is>
      </c>
      <c r="L918"/>
      <c r="M918" t="inlineStr">
        <is>
          <t>小雪老师的课堂的店</t>
        </is>
      </c>
      <c r="N918">
        <v>15000</v>
      </c>
      <c r="O918">
        <v>4.33</v>
      </c>
      <c r="P918">
        <v>80000</v>
      </c>
      <c r="Q918" t="inlineStr">
        <is>
          <t>690ad2145c4f1900019e5cef</t>
        </is>
      </c>
      <c r="R918" t="inlineStr">
        <is>
          <t>🚫重复</t>
        </is>
      </c>
      <c r="S918" t="inlineStr">
        <is>
          <t>中小学教辅/教材</t>
        </is>
      </c>
      <c r="T918" t="inlineStr">
        <is>
          <t>0.37</t>
        </is>
      </c>
      <c r="U918" s="3">
        <v>46112.78107638889</v>
      </c>
      <c r="V918" t="inlineStr">
        <is>
          <t>虚拟产品</t>
        </is>
      </c>
      <c r="W918" s="3">
        <v>46036</v>
      </c>
      <c r="X918" t="inlineStr">
        <is>
          <t>01</t>
        </is>
      </c>
      <c r="Y918" t="inlineStr">
        <is>
          <t>2026-Q1</t>
        </is>
      </c>
    </row>
    <row r="919" ht="38.25" customHeight="1">
      <c r="A919" t="inlineStr">
        <is>
          <t>教研培训专属，拍时注意规格中的课件名称，选自己需要的那一个</t>
        </is>
      </c>
      <c r="B919" t="inlineStr">
        <is>
          <t>recv8fKlTrC0cW.jpg</t>
        </is>
      </c>
      <c r="C919" s="2" t="str">
        <f>=HYPERLINK("https://xhslink.com/m/3dJnQipDqqX", "https://xhslink.com/m/3dJnQipDqqX")</f>
        <v>https://xhslink.com/m/3dJnQipDqqX</v>
      </c>
      <c r="D919"/>
      <c r="E919">
        <v>5207</v>
      </c>
      <c r="F919">
        <v>10.9</v>
      </c>
      <c r="G919"/>
      <c r="H919"/>
      <c r="I919">
        <v>700</v>
      </c>
      <c r="J919"/>
      <c r="K919" t="inlineStr">
        <is>
          <t>课件</t>
        </is>
      </c>
      <c r="L919"/>
      <c r="M919" t="inlineStr">
        <is>
          <t>幼教木木子的店</t>
        </is>
      </c>
      <c r="N919">
        <v>4597</v>
      </c>
      <c r="O919">
        <v>4.36</v>
      </c>
      <c r="P919">
        <v>10000</v>
      </c>
      <c r="Q919" t="inlineStr">
        <is>
          <t>67a81831f4fe1400017818d8</t>
        </is>
      </c>
      <c r="R919" t="inlineStr">
        <is>
          <t>🚫重复</t>
        </is>
      </c>
      <c r="S919" t="inlineStr">
        <is>
          <t>中小学教辅/教材</t>
        </is>
      </c>
      <c r="T919" t="inlineStr">
        <is>
          <t>1.13</t>
        </is>
      </c>
      <c r="U919" s="3">
        <v>46112.78107638889</v>
      </c>
      <c r="V919" t="inlineStr">
        <is>
          <t>虚拟产品</t>
        </is>
      </c>
      <c r="W919" s="3">
        <v>46036</v>
      </c>
      <c r="X919" t="inlineStr">
        <is>
          <t>01</t>
        </is>
      </c>
      <c r="Y919" t="inlineStr">
        <is>
          <t>2026-Q1</t>
        </is>
      </c>
    </row>
    <row r="920" ht="38.25" customHeight="1">
      <c r="A920" t="inlineStr">
        <is>
          <t>【限时8.8】2025年幼儿园大班秋季开学家长会、开学第一课ppt</t>
        </is>
      </c>
      <c r="B920" t="inlineStr">
        <is>
          <t>recv8fKlTroS4y.jpg</t>
        </is>
      </c>
      <c r="C920" s="2" t="str">
        <f>=HYPERLINK("https://xhslink.com/m/2R2mDG35uWz", "https://xhslink.com/m/2R2mDG35uWz")</f>
        <v>https://xhslink.com/m/2R2mDG35uWz</v>
      </c>
      <c r="D920"/>
      <c r="E920">
        <v>4743</v>
      </c>
      <c r="F920">
        <v>8.8</v>
      </c>
      <c r="G920"/>
      <c r="H920"/>
      <c r="I920">
        <v>500</v>
      </c>
      <c r="J920"/>
      <c r="K920" t="inlineStr">
        <is>
          <t>课件</t>
        </is>
      </c>
      <c r="L920"/>
      <c r="M920" t="inlineStr">
        <is>
          <t>一小只晨晨咨询的店</t>
        </is>
      </c>
      <c r="N920">
        <v>3305</v>
      </c>
      <c r="O920">
        <v>4.34</v>
      </c>
      <c r="P920">
        <v>34000</v>
      </c>
      <c r="Q920" t="inlineStr">
        <is>
          <t>68b68f0282bd7100015421bb</t>
        </is>
      </c>
      <c r="R920" t="inlineStr">
        <is>
          <t>🚫重复</t>
        </is>
      </c>
      <c r="S920" t="inlineStr">
        <is>
          <t>老师资料</t>
        </is>
      </c>
      <c r="T920" t="inlineStr">
        <is>
          <t>1.44</t>
        </is>
      </c>
      <c r="U920" s="3">
        <v>46112.78107638889</v>
      </c>
      <c r="V920" t="inlineStr">
        <is>
          <t>虚拟产品</t>
        </is>
      </c>
      <c r="W920" s="3">
        <v>46036</v>
      </c>
      <c r="X920" t="inlineStr">
        <is>
          <t>01</t>
        </is>
      </c>
      <c r="Y920" t="inlineStr">
        <is>
          <t>2026-Q1</t>
        </is>
      </c>
    </row>
    <row r="921" ht="38.25" customHeight="1">
      <c r="A921" t="inlineStr">
        <is>
          <t>【大班课程链接】幼儿园小中大班语言数学科学健康领域优质公开课</t>
        </is>
      </c>
      <c r="B921" t="inlineStr">
        <is>
          <t>recv8fKlTrCcjo.jpg</t>
        </is>
      </c>
      <c r="C921" s="2" t="str">
        <f>=HYPERLINK("https://xhslink.com/m/ASr2vhhvl0B", "https://xhslink.com/m/ASr2vhhvl0B")</f>
        <v>https://xhslink.com/m/ASr2vhhvl0B</v>
      </c>
      <c r="D921"/>
      <c r="E921">
        <v>4622</v>
      </c>
      <c r="F921">
        <v>6.8</v>
      </c>
      <c r="G921"/>
      <c r="H921"/>
      <c r="I921">
        <v>1000</v>
      </c>
      <c r="J921"/>
      <c r="K921" t="inlineStr">
        <is>
          <t>课件</t>
        </is>
      </c>
      <c r="L921"/>
      <c r="M921" t="inlineStr">
        <is>
          <t>小团子幼教的店</t>
        </is>
      </c>
      <c r="N921">
        <v>2098</v>
      </c>
      <c r="O921">
        <v>4.39</v>
      </c>
      <c r="P921">
        <v>8472</v>
      </c>
      <c r="Q921" t="inlineStr">
        <is>
          <t>67d28ea18599cb0001559d45</t>
        </is>
      </c>
      <c r="R921" t="inlineStr">
        <is>
          <t>🚫重复</t>
        </is>
      </c>
      <c r="S921" t="inlineStr">
        <is>
          <t>幼教资料</t>
        </is>
      </c>
      <c r="T921" t="inlineStr">
        <is>
          <t>2.20</t>
        </is>
      </c>
      <c r="U921" s="3">
        <v>46112.78107638889</v>
      </c>
      <c r="V921" t="inlineStr">
        <is>
          <t>虚拟产品</t>
        </is>
      </c>
      <c r="W921" s="3">
        <v>46036</v>
      </c>
      <c r="X921" t="inlineStr">
        <is>
          <t>01</t>
        </is>
      </c>
      <c r="Y921" t="inlineStr">
        <is>
          <t>2026-Q1</t>
        </is>
      </c>
    </row>
    <row r="922" ht="38.25" customHeight="1">
      <c r="A922" t="inlineStr">
        <is>
          <t>七年级道法上册新教材单个课时（PPT+教学设计）</t>
        </is>
      </c>
      <c r="B922" t="inlineStr">
        <is>
          <t>recv8fKlTrHefB.jpg</t>
        </is>
      </c>
      <c r="C922" s="2" t="str">
        <f>=HYPERLINK("https://xhslink.com/m/e4cWuVCByk", "https://xhslink.com/m/e4cWuVCByk")</f>
        <v>https://xhslink.com/m/e4cWuVCByk</v>
      </c>
      <c r="D922"/>
      <c r="E922">
        <v>4459</v>
      </c>
      <c r="F922">
        <v>9.9</v>
      </c>
      <c r="G922"/>
      <c r="H922"/>
      <c r="I922">
        <v>1000</v>
      </c>
      <c r="J922"/>
      <c r="K922" t="inlineStr">
        <is>
          <t>课件</t>
        </is>
      </c>
      <c r="L922"/>
      <c r="M922" t="inlineStr">
        <is>
          <t>Lucky兔老师的店</t>
        </is>
      </c>
      <c r="N922">
        <v>2031</v>
      </c>
      <c r="O922">
        <v>4.33</v>
      </c>
      <c r="P922">
        <v>13000</v>
      </c>
      <c r="Q922" t="inlineStr">
        <is>
          <t>68b866dd0d3d6200012b4480</t>
        </is>
      </c>
      <c r="R922" t="inlineStr">
        <is>
          <t>🚫重复</t>
        </is>
      </c>
      <c r="S922" t="inlineStr">
        <is>
          <t>中小学教辅/教材</t>
        </is>
      </c>
      <c r="T922" t="inlineStr">
        <is>
          <t>2.20</t>
        </is>
      </c>
      <c r="U922" s="3">
        <v>46112.78107638889</v>
      </c>
      <c r="V922" t="inlineStr">
        <is>
          <t>虚拟产品</t>
        </is>
      </c>
      <c r="W922" s="3">
        <v>46036</v>
      </c>
      <c r="X922" t="inlineStr">
        <is>
          <t>01</t>
        </is>
      </c>
      <c r="Y922" t="inlineStr">
        <is>
          <t>2026-Q1</t>
        </is>
      </c>
    </row>
    <row r="923" ht="38.25" customHeight="1">
      <c r="A923" t="inlineStr">
        <is>
          <t>班本课程单独一份（下单备注课件名称.百度网盘链接发送</t>
        </is>
      </c>
      <c r="B923" t="inlineStr">
        <is>
          <t>recv8fKlTrY8Lq.jpg</t>
        </is>
      </c>
      <c r="C923" s="2" t="str">
        <f>=HYPERLINK("https://xhslink.com/m/60bPM8Utlic", "https://xhslink.com/m/60bPM8Utlic")</f>
        <v>https://xhslink.com/m/60bPM8Utlic</v>
      </c>
      <c r="D923"/>
      <c r="E923">
        <v>4147</v>
      </c>
      <c r="F923">
        <v>13.9</v>
      </c>
      <c r="G923"/>
      <c r="H923"/>
      <c r="I923">
        <v>500</v>
      </c>
      <c r="J923"/>
      <c r="K923" t="inlineStr">
        <is>
          <t>课件</t>
        </is>
      </c>
      <c r="L923"/>
      <c r="M923" t="inlineStr">
        <is>
          <t>幼儿园班本课程瑶eri的店</t>
        </is>
      </c>
      <c r="N923">
        <v>4789</v>
      </c>
      <c r="O923">
        <v>4.35</v>
      </c>
      <c r="P923">
        <v>6869</v>
      </c>
      <c r="Q923" t="inlineStr">
        <is>
          <t>65044e68551fd80001f37e65</t>
        </is>
      </c>
      <c r="R923"/>
      <c r="S923" t="inlineStr">
        <is>
          <t>老师资料</t>
        </is>
      </c>
      <c r="T923" t="inlineStr">
        <is>
          <t>0.87</t>
        </is>
      </c>
      <c r="U923" s="3">
        <v>46112.78107638889</v>
      </c>
      <c r="V923" t="inlineStr">
        <is>
          <t>虚拟产品</t>
        </is>
      </c>
      <c r="W923" s="3">
        <v>46036</v>
      </c>
      <c r="X923" t="inlineStr">
        <is>
          <t>01</t>
        </is>
      </c>
      <c r="Y923" t="inlineStr">
        <is>
          <t>2026-Q1</t>
        </is>
      </c>
    </row>
    <row r="924" ht="38.25" customHeight="1">
      <c r="A924" t="inlineStr">
        <is>
          <t>译妙蛙面试官 线上视频面试会议AI实时翻译辅助软件助手工具</t>
        </is>
      </c>
      <c r="B924" t="inlineStr">
        <is>
          <t>recv8fKlTrg7KT.jpg</t>
        </is>
      </c>
      <c r="C924" s="2" t="str">
        <f>=HYPERLINK("https://xhslink.com/m/2PsXf8t6tav", "https://xhslink.com/m/2PsXf8t6tav")</f>
        <v>https://xhslink.com/m/2PsXf8t6tav</v>
      </c>
      <c r="D924"/>
      <c r="E924">
        <v>1708</v>
      </c>
      <c r="F924">
        <v>340</v>
      </c>
      <c r="G924"/>
      <c r="H924"/>
      <c r="I924">
        <v>600</v>
      </c>
      <c r="J924"/>
      <c r="K924" t="inlineStr">
        <is>
          <t>AI工具</t>
        </is>
      </c>
      <c r="L924"/>
      <c r="M924" t="inlineStr">
        <is>
          <t>妙蛙翻译官的店</t>
        </is>
      </c>
      <c r="N924">
        <v>6813</v>
      </c>
      <c r="O924">
        <v>4.61</v>
      </c>
      <c r="P924">
        <v>35000</v>
      </c>
      <c r="Q924" t="inlineStr">
        <is>
          <t>68358b293d00ef0001db1af4</t>
        </is>
      </c>
      <c r="R924"/>
      <c r="S924" t="inlineStr">
        <is>
          <t>AI</t>
        </is>
      </c>
      <c r="T924" t="inlineStr">
        <is>
          <t>0.25</t>
        </is>
      </c>
      <c r="U924" s="3">
        <v>46112.78107638889</v>
      </c>
      <c r="V924" t="inlineStr">
        <is>
          <t>虚拟产品</t>
        </is>
      </c>
      <c r="W924" s="3">
        <v>46036</v>
      </c>
      <c r="X924" t="inlineStr">
        <is>
          <t>01</t>
        </is>
      </c>
      <c r="Y924" t="inlineStr">
        <is>
          <t>2026-Q1</t>
        </is>
      </c>
    </row>
    <row r="925" ht="38.25" customHeight="1">
      <c r="A925" t="inlineStr">
        <is>
          <t>班级打卡养宠物/网页版/壁纸狗原创开发教辅AI工具</t>
        </is>
      </c>
      <c r="B925" t="inlineStr">
        <is>
          <t>recv8fKlTrUoox.jpg</t>
        </is>
      </c>
      <c r="C925" s="2" t="str">
        <f>=HYPERLINK("https://xhslink.com/m/9GOhPiaSBGU", "https://xhslink.com/m/9GOhPiaSBGU")</f>
        <v>https://xhslink.com/m/9GOhPiaSBGU</v>
      </c>
      <c r="D925"/>
      <c r="E925">
        <v>1224</v>
      </c>
      <c r="F925">
        <v>9.9</v>
      </c>
      <c r="G925"/>
      <c r="H925"/>
      <c r="I925">
        <v>1000</v>
      </c>
      <c r="J925"/>
      <c r="K925" t="inlineStr">
        <is>
          <t>AI工具</t>
        </is>
      </c>
      <c r="L925"/>
      <c r="M925" t="inlineStr">
        <is>
          <t>壁纸狗的店</t>
        </is>
      </c>
      <c r="N925">
        <v>890</v>
      </c>
      <c r="O925">
        <v>4.45</v>
      </c>
      <c r="P925">
        <v>7718</v>
      </c>
      <c r="Q925" t="inlineStr">
        <is>
          <t>694a3acff489e40001460d12</t>
        </is>
      </c>
      <c r="R925"/>
      <c r="S925" t="inlineStr">
        <is>
          <t>软件应用</t>
        </is>
      </c>
      <c r="T925" t="inlineStr">
        <is>
          <t>1.38</t>
        </is>
      </c>
      <c r="U925" s="3">
        <v>46112.78107638889</v>
      </c>
      <c r="V925" t="inlineStr">
        <is>
          <t>虚拟产品</t>
        </is>
      </c>
      <c r="W925" s="3">
        <v>46036</v>
      </c>
      <c r="X925" t="inlineStr">
        <is>
          <t>01</t>
        </is>
      </c>
      <c r="Y925" t="inlineStr">
        <is>
          <t>2026-Q1</t>
        </is>
      </c>
    </row>
    <row r="926" ht="38.25" customHeight="1">
      <c r="A926" t="inlineStr">
        <is>
          <t>白得拼Baidepin · 医智赢MDWIN写文书办公辅助书写助手ai工具人工智能手机热点蓝牙</t>
        </is>
      </c>
      <c r="B926" t="inlineStr">
        <is>
          <t>recv8fKlTr9zpk.jpg</t>
        </is>
      </c>
      <c r="C926" s="2" t="str">
        <f>=HYPERLINK("https://xhslink.com/m/397DjyiIWgp", "https://xhslink.com/m/397DjyiIWgp")</f>
        <v>https://xhslink.com/m/397DjyiIWgp</v>
      </c>
      <c r="D926"/>
      <c r="E926">
        <v>1107</v>
      </c>
      <c r="F926">
        <v>69</v>
      </c>
      <c r="G926"/>
      <c r="H926"/>
      <c r="I926">
        <v>400</v>
      </c>
      <c r="J926"/>
      <c r="K926" t="inlineStr">
        <is>
          <t>AI工具</t>
        </is>
      </c>
      <c r="L926"/>
      <c r="M926" t="inlineStr">
        <is>
          <t>医智赢MDWIN的店</t>
        </is>
      </c>
      <c r="N926">
        <v>454</v>
      </c>
      <c r="O926">
        <v>4.39</v>
      </c>
      <c r="P926">
        <v>1147</v>
      </c>
      <c r="Q926" t="inlineStr">
        <is>
          <t>681c1e08afdaa6000150607d</t>
        </is>
      </c>
      <c r="R926" t="inlineStr">
        <is>
          <t>🚫重复</t>
        </is>
      </c>
      <c r="S926" t="inlineStr">
        <is>
          <t>AI</t>
        </is>
      </c>
      <c r="T926" t="inlineStr">
        <is>
          <t>2.44</t>
        </is>
      </c>
      <c r="U926" s="3">
        <v>46112.78107638889</v>
      </c>
      <c r="V926" t="inlineStr">
        <is>
          <t>虚拟产品</t>
        </is>
      </c>
      <c r="W926" s="3">
        <v>46036</v>
      </c>
      <c r="X926" t="inlineStr">
        <is>
          <t>01</t>
        </is>
      </c>
      <c r="Y926" t="inlineStr">
        <is>
          <t>2026-Q1</t>
        </is>
      </c>
    </row>
    <row r="927" ht="38.25" customHeight="1">
      <c r="A927" t="inlineStr">
        <is>
          <t>职场新人快速成长指南知识库丨求职+入职+认知+方法+SOP+思维逻辑</t>
        </is>
      </c>
      <c r="B927" t="inlineStr">
        <is>
          <t>__upload_recv8lxtipDZ4T.jpg</t>
        </is>
      </c>
      <c r="C927" s="2" t="str">
        <f>=HYPERLINK("https://xhslink.com/m/1jNXcWoLpr2", "https://xhslink.com/m/1jNXcWoLpr2")</f>
        <v>https://xhslink.com/m/1jNXcWoLpr2</v>
      </c>
      <c r="D927"/>
      <c r="E927">
        <v>4255</v>
      </c>
      <c r="F927">
        <v>29.9</v>
      </c>
      <c r="G927"/>
      <c r="H927"/>
      <c r="I927">
        <v>2000</v>
      </c>
      <c r="J927">
        <v>100</v>
      </c>
      <c r="K927" t="inlineStr">
        <is>
          <t>知识库</t>
        </is>
      </c>
      <c r="L927"/>
      <c r="M927" t="inlineStr">
        <is>
          <t>木南说职的店</t>
        </is>
      </c>
      <c r="N927">
        <v>6489</v>
      </c>
      <c r="O927">
        <v>4.45</v>
      </c>
      <c r="P927">
        <v>4474</v>
      </c>
      <c r="Q927" t="inlineStr">
        <is>
          <t>68c76ac755f59b000100fdb0</t>
        </is>
      </c>
      <c r="R927" t="inlineStr">
        <is>
          <t>🚫重复</t>
        </is>
      </c>
      <c r="S927" t="inlineStr">
        <is>
          <t>求职面试/职场</t>
        </is>
      </c>
      <c r="T927" t="inlineStr">
        <is>
          <t>0.66</t>
        </is>
      </c>
      <c r="U927" s="3">
        <v>46112.78107638889</v>
      </c>
      <c r="V927" t="inlineStr">
        <is>
          <t>虚拟产品</t>
        </is>
      </c>
      <c r="W927" s="3">
        <v>46037</v>
      </c>
      <c r="X927" t="inlineStr">
        <is>
          <t>01</t>
        </is>
      </c>
      <c r="Y927" t="inlineStr">
        <is>
          <t>2026-Q1</t>
        </is>
      </c>
    </row>
    <row r="928" ht="38.25" customHeight="1">
      <c r="A928" t="inlineStr">
        <is>
          <t>天星教育 · 【高考解题快招】试题调研26版高中课本基础知识高考押题冲刺</t>
        </is>
      </c>
      <c r="B928" t="inlineStr">
        <is>
          <t>recv8lxtipg3Ji.jpg</t>
        </is>
      </c>
      <c r="C928" s="2" t="str">
        <f>=HYPERLINK("https://xhslink.com/m/8A1btOElDDo", "https://xhslink.com/m/8A1btOElDDo")</f>
        <v>https://xhslink.com/m/8A1btOElDDo</v>
      </c>
      <c r="D928"/>
      <c r="E928">
        <v>24000</v>
      </c>
      <c r="F928">
        <v>13.2</v>
      </c>
      <c r="G928"/>
      <c r="H928"/>
      <c r="I928">
        <v>2000</v>
      </c>
      <c r="J928"/>
      <c r="K928" t="inlineStr">
        <is>
          <t>高考英语</t>
        </is>
      </c>
      <c r="L928"/>
      <c r="M928" t="inlineStr">
        <is>
          <t>天星教育旗舰店</t>
        </is>
      </c>
      <c r="N928">
        <v>228000</v>
      </c>
      <c r="O928">
        <v>4.77</v>
      </c>
      <c r="P928">
        <v>135000</v>
      </c>
      <c r="Q928" t="inlineStr">
        <is>
          <t>64e587ae0fd7260001a405fc</t>
        </is>
      </c>
      <c r="R928" t="inlineStr">
        <is>
          <t>🚫重复</t>
        </is>
      </c>
      <c r="S928" t="inlineStr">
        <is>
          <t>高中/高考资料</t>
        </is>
      </c>
      <c r="T928" t="inlineStr">
        <is>
          <t>0.11</t>
        </is>
      </c>
      <c r="U928" s="3">
        <v>46112.78107638889</v>
      </c>
      <c r="V928" t="inlineStr">
        <is>
          <t>虚拟产品</t>
        </is>
      </c>
      <c r="W928" s="3">
        <v>46037</v>
      </c>
      <c r="X928" t="inlineStr">
        <is>
          <t>01</t>
        </is>
      </c>
      <c r="Y928" t="inlineStr">
        <is>
          <t>2026-Q1</t>
        </is>
      </c>
    </row>
    <row r="929" ht="38.25" customHeight="1">
      <c r="A929" t="inlineStr">
        <is>
          <t>来川 · 【音标版】伊索 童话 小王子 安格斯英文原著双语阅读注释配音频</t>
        </is>
      </c>
      <c r="B929" t="inlineStr">
        <is>
          <t>recv8lxtipqCfi.jpg</t>
        </is>
      </c>
      <c r="C929" s="2" t="str">
        <f>=HYPERLINK("https://xhslink.com/m/6VaF3SUmw0", "https://xhslink.com/m/6VaF3SUmw0")</f>
        <v>https://xhslink.com/m/6VaF3SUmw0</v>
      </c>
      <c r="D929"/>
      <c r="E929">
        <v>10000</v>
      </c>
      <c r="F929">
        <v>48</v>
      </c>
      <c r="G929"/>
      <c r="H929"/>
      <c r="I929">
        <v>6000</v>
      </c>
      <c r="J929"/>
      <c r="K929" t="inlineStr">
        <is>
          <t>高考英语</t>
        </is>
      </c>
      <c r="L929"/>
      <c r="M929" t="inlineStr">
        <is>
          <t>来川学习方法的店</t>
        </is>
      </c>
      <c r="N929">
        <v>91000</v>
      </c>
      <c r="O929">
        <v>4.8</v>
      </c>
      <c r="P929">
        <v>48000</v>
      </c>
      <c r="Q929" t="inlineStr">
        <is>
          <t>685253c49d4a550001358ac3</t>
        </is>
      </c>
      <c r="R929" t="inlineStr">
        <is>
          <t>🚫重复</t>
        </is>
      </c>
      <c r="S929" t="inlineStr">
        <is>
          <t>英语资料</t>
        </is>
      </c>
      <c r="T929" t="inlineStr">
        <is>
          <t>0.11</t>
        </is>
      </c>
      <c r="U929" s="3">
        <v>46112.78107638889</v>
      </c>
      <c r="V929" t="inlineStr">
        <is>
          <t>虚拟产品</t>
        </is>
      </c>
      <c r="W929" s="3">
        <v>46037</v>
      </c>
      <c r="X929" t="inlineStr">
        <is>
          <t>01</t>
        </is>
      </c>
      <c r="Y929" t="inlineStr">
        <is>
          <t>2026-Q1</t>
        </is>
      </c>
    </row>
    <row r="930" ht="38.25" customHeight="1">
      <c r="A930" t="inlineStr">
        <is>
          <t>【只发电子版】高考读后续写资料</t>
        </is>
      </c>
      <c r="B930" t="inlineStr">
        <is>
          <t>recv8lxtip7TXJ.jpg</t>
        </is>
      </c>
      <c r="C930" s="2" t="str">
        <f>=HYPERLINK("https://xhslink.com/m/27ed77EYsB7", "https://xhslink.com/m/27ed77EYsB7")</f>
        <v>https://xhslink.com/m/27ed77EYsB7</v>
      </c>
      <c r="D930"/>
      <c r="E930">
        <v>6613</v>
      </c>
      <c r="F930">
        <v>18</v>
      </c>
      <c r="G930"/>
      <c r="H930"/>
      <c r="I930">
        <v>600</v>
      </c>
      <c r="J930"/>
      <c r="K930" t="inlineStr">
        <is>
          <t>高考英语</t>
        </is>
      </c>
      <c r="L930"/>
      <c r="M930" t="inlineStr">
        <is>
          <t>空阶听雨声的店</t>
        </is>
      </c>
      <c r="N930">
        <v>43000</v>
      </c>
      <c r="O930">
        <v>4.39</v>
      </c>
      <c r="P930">
        <v>16000</v>
      </c>
      <c r="Q930" t="inlineStr">
        <is>
          <t>669f74e1d50cd40001ffb452</t>
        </is>
      </c>
      <c r="R930" t="inlineStr">
        <is>
          <t>🚫重复</t>
        </is>
      </c>
      <c r="S930" t="inlineStr">
        <is>
          <t>高中/高考资料</t>
        </is>
      </c>
      <c r="T930" t="inlineStr">
        <is>
          <t>0.15</t>
        </is>
      </c>
      <c r="U930" s="3">
        <v>46112.78107638889</v>
      </c>
      <c r="V930" t="inlineStr">
        <is>
          <t>虚拟产品</t>
        </is>
      </c>
      <c r="W930" s="3">
        <v>46037</v>
      </c>
      <c r="X930" t="inlineStr">
        <is>
          <t>01</t>
        </is>
      </c>
      <c r="Y930" t="inlineStr">
        <is>
          <t>2026-Q1</t>
        </is>
      </c>
    </row>
    <row r="931" ht="38.25" customHeight="1">
      <c r="A931" t="inlineStr">
        <is>
          <t>2008～2025全国历年高考真题语文数学英语物理化学生物历史地理政</t>
        </is>
      </c>
      <c r="B931" t="inlineStr">
        <is>
          <t>recv8lxtip7Mkn.jpg</t>
        </is>
      </c>
      <c r="C931" s="2" t="str">
        <f>=HYPERLINK("https://xhslink.com/m/26fb00v9zfm", "https://xhslink.com/m/26fb00v9zfm")</f>
        <v>https://xhslink.com/m/26fb00v9zfm</v>
      </c>
      <c r="D931"/>
      <c r="E931">
        <v>5460</v>
      </c>
      <c r="F931">
        <v>3.88</v>
      </c>
      <c r="G931"/>
      <c r="H931"/>
      <c r="I931">
        <v>600</v>
      </c>
      <c r="J931"/>
      <c r="K931" t="inlineStr">
        <is>
          <t>高考英语</t>
        </is>
      </c>
      <c r="L931" t="inlineStr">
        <is>
          <t>🔥低粉爆款</t>
        </is>
      </c>
      <c r="M931" t="inlineStr">
        <is>
          <t>李老师宝藏资料的店</t>
        </is>
      </c>
      <c r="N931">
        <v>1635</v>
      </c>
      <c r="O931">
        <v>3.63</v>
      </c>
      <c r="P931">
        <v>10000</v>
      </c>
      <c r="Q931" t="inlineStr">
        <is>
          <t>67f0d5ba5d35ce000195bfea</t>
        </is>
      </c>
      <c r="R931" t="inlineStr">
        <is>
          <t>🚫重复</t>
        </is>
      </c>
      <c r="S931" t="inlineStr">
        <is>
          <t>高中/高考资料</t>
        </is>
      </c>
      <c r="T931" t="inlineStr">
        <is>
          <t>3.34</t>
        </is>
      </c>
      <c r="U931" s="3">
        <v>46112.78107638889</v>
      </c>
      <c r="V931" t="inlineStr">
        <is>
          <t>虚拟产品</t>
        </is>
      </c>
      <c r="W931" s="3">
        <v>46037</v>
      </c>
      <c r="X931" t="inlineStr">
        <is>
          <t>01</t>
        </is>
      </c>
      <c r="Y931" t="inlineStr">
        <is>
          <t>2026-Q1</t>
        </is>
      </c>
    </row>
    <row r="932" ht="38.25" customHeight="1">
      <c r="A932" t="inlineStr">
        <is>
          <t>OTHER · 【峰阅教研组】全国通用版提分笔记高考必备名师倾力编著高中考点</t>
        </is>
      </c>
      <c r="B932" t="inlineStr">
        <is>
          <t>recv8lxtipnwd9.jpg</t>
        </is>
      </c>
      <c r="C932" s="2" t="str">
        <f>=HYPERLINK("https://xhslink.com/m/9sXtRprmHN1", "https://xhslink.com/m/9sXtRprmHN1")</f>
        <v>https://xhslink.com/m/9sXtRprmHN1</v>
      </c>
      <c r="D932"/>
      <c r="E932">
        <v>4033</v>
      </c>
      <c r="F932">
        <v>39.8</v>
      </c>
      <c r="G932"/>
      <c r="H932"/>
      <c r="I932">
        <v>400</v>
      </c>
      <c r="J932"/>
      <c r="K932" t="inlineStr">
        <is>
          <t>高考英语</t>
        </is>
      </c>
      <c r="L932" t="inlineStr">
        <is>
          <t>🔥低粉爆款</t>
        </is>
      </c>
      <c r="M932" t="inlineStr">
        <is>
          <t>墨香丨百物铺的店</t>
        </is>
      </c>
      <c r="N932">
        <v>111</v>
      </c>
      <c r="O932">
        <v>4.58</v>
      </c>
      <c r="P932">
        <v>9252</v>
      </c>
      <c r="Q932" t="inlineStr">
        <is>
          <t>66e59a9c8cb7d70001cf0a7f</t>
        </is>
      </c>
      <c r="R932" t="inlineStr">
        <is>
          <t>🚫重复</t>
        </is>
      </c>
      <c r="S932" t="inlineStr">
        <is>
          <t>高中/高考资料</t>
        </is>
      </c>
      <c r="T932" t="inlineStr">
        <is>
          <t>36.33</t>
        </is>
      </c>
      <c r="U932" s="3">
        <v>46112.78107638889</v>
      </c>
      <c r="V932" t="inlineStr">
        <is>
          <t>虚拟产品</t>
        </is>
      </c>
      <c r="W932" s="3">
        <v>46037</v>
      </c>
      <c r="X932" t="inlineStr">
        <is>
          <t>01</t>
        </is>
      </c>
      <c r="Y932" t="inlineStr">
        <is>
          <t>2026-Q1</t>
        </is>
      </c>
    </row>
    <row r="933" ht="38.25" customHeight="1">
      <c r="A933" t="inlineStr">
        <is>
          <t>天星教育 · 【高一高二刷题】解题觉醒26版高中同步要点专题应用解题方法</t>
        </is>
      </c>
      <c r="B933" t="inlineStr">
        <is>
          <t>recv8lxtip7MmT.jpg</t>
        </is>
      </c>
      <c r="C933" s="2" t="str">
        <f>=HYPERLINK("https://xhslink.com/m/4wUTsoPAk7r", "https://xhslink.com/m/4wUTsoPAk7r")</f>
        <v>https://xhslink.com/m/4wUTsoPAk7r</v>
      </c>
      <c r="D933"/>
      <c r="E933">
        <v>3676</v>
      </c>
      <c r="F933">
        <v>27.2</v>
      </c>
      <c r="G933"/>
      <c r="H933"/>
      <c r="I933">
        <v>600</v>
      </c>
      <c r="J933"/>
      <c r="K933" t="inlineStr">
        <is>
          <t>高考英语</t>
        </is>
      </c>
      <c r="L933"/>
      <c r="M933" t="inlineStr">
        <is>
          <t>天星教育旗舰店</t>
        </is>
      </c>
      <c r="N933">
        <v>228000</v>
      </c>
      <c r="O933">
        <v>4.77</v>
      </c>
      <c r="P933">
        <v>135000</v>
      </c>
      <c r="Q933" t="inlineStr">
        <is>
          <t>67247df637474a00019e5a92</t>
        </is>
      </c>
      <c r="R933" t="inlineStr">
        <is>
          <t>🚫重复</t>
        </is>
      </c>
      <c r="S933" t="inlineStr">
        <is>
          <t>高中/高考资料</t>
        </is>
      </c>
      <c r="T933" t="inlineStr">
        <is>
          <t>0.02</t>
        </is>
      </c>
      <c r="U933" s="3">
        <v>46112.78107638889</v>
      </c>
      <c r="V933" t="inlineStr">
        <is>
          <t>虚拟产品</t>
        </is>
      </c>
      <c r="W933" s="3">
        <v>46037</v>
      </c>
      <c r="X933" t="inlineStr">
        <is>
          <t>01</t>
        </is>
      </c>
      <c r="Y933" t="inlineStr">
        <is>
          <t>2026-Q1</t>
        </is>
      </c>
    </row>
    <row r="934" ht="38.25" customHeight="1">
      <c r="A934" t="inlineStr">
        <is>
          <t>天星教育 · 2026金考卷高考45套全国各省市高考冲刺优秀模拟卷测试卷高三刷题</t>
        </is>
      </c>
      <c r="B934" t="inlineStr">
        <is>
          <t>recv8lxtipE1ed.jpg</t>
        </is>
      </c>
      <c r="C934" s="2" t="str">
        <f>=HYPERLINK("https://xhslink.com/m/1ew2mUxvxiH", "https://xhslink.com/m/1ew2mUxvxiH")</f>
        <v>https://xhslink.com/m/1ew2mUxvxiH</v>
      </c>
      <c r="D934"/>
      <c r="E934">
        <v>3158</v>
      </c>
      <c r="F934">
        <v>41.8</v>
      </c>
      <c r="G934"/>
      <c r="H934"/>
      <c r="I934">
        <v>800</v>
      </c>
      <c r="J934"/>
      <c r="K934" t="inlineStr">
        <is>
          <t>高考英语</t>
        </is>
      </c>
      <c r="L934"/>
      <c r="M934" t="inlineStr">
        <is>
          <t>天星教育旗舰店</t>
        </is>
      </c>
      <c r="N934">
        <v>228000</v>
      </c>
      <c r="O934">
        <v>4.77</v>
      </c>
      <c r="P934">
        <v>135000</v>
      </c>
      <c r="Q934" t="inlineStr">
        <is>
          <t>664ede409db19d0001aeebec</t>
        </is>
      </c>
      <c r="R934" t="inlineStr">
        <is>
          <t>🚫重复</t>
        </is>
      </c>
      <c r="S934" t="inlineStr">
        <is>
          <t>高中/高考资料</t>
        </is>
      </c>
      <c r="T934" t="inlineStr">
        <is>
          <t>0.01</t>
        </is>
      </c>
      <c r="U934" s="3">
        <v>46112.78107638889</v>
      </c>
      <c r="V934" t="inlineStr">
        <is>
          <t>虚拟产品</t>
        </is>
      </c>
      <c r="W934" s="3">
        <v>46037</v>
      </c>
      <c r="X934" t="inlineStr">
        <is>
          <t>01</t>
        </is>
      </c>
      <c r="Y934" t="inlineStr">
        <is>
          <t>2026-Q1</t>
        </is>
      </c>
    </row>
    <row r="935" ht="38.25" customHeight="1">
      <c r="A935" t="inlineStr">
        <is>
          <t>天星教育 · 2026试题调研题型专练高考知识点高三基础知识专项练习高考选择题</t>
        </is>
      </c>
      <c r="B935" t="inlineStr">
        <is>
          <t>recv8lxtip0Ofr.jpg</t>
        </is>
      </c>
      <c r="C935" s="2" t="str">
        <f>=HYPERLINK("https://xhslink.com/m/PZYlY263u2", "https://xhslink.com/m/PZYlY263u2")</f>
        <v>https://xhslink.com/m/PZYlY263u2</v>
      </c>
      <c r="D935"/>
      <c r="E935">
        <v>2390</v>
      </c>
      <c r="F935">
        <v>25.1</v>
      </c>
      <c r="G935"/>
      <c r="H935"/>
      <c r="I935">
        <v>400</v>
      </c>
      <c r="J935"/>
      <c r="K935" t="inlineStr">
        <is>
          <t>高考英语</t>
        </is>
      </c>
      <c r="L935"/>
      <c r="M935" t="inlineStr">
        <is>
          <t>天星教育旗舰店</t>
        </is>
      </c>
      <c r="N935">
        <v>228000</v>
      </c>
      <c r="O935">
        <v>4.77</v>
      </c>
      <c r="P935">
        <v>135000</v>
      </c>
      <c r="Q935" t="inlineStr">
        <is>
          <t>689a9830d023a300013cb38c</t>
        </is>
      </c>
      <c r="R935" t="inlineStr">
        <is>
          <t>🚫重复</t>
        </is>
      </c>
      <c r="S935" t="inlineStr">
        <is>
          <t>高中/高考资料</t>
        </is>
      </c>
      <c r="T935" t="inlineStr">
        <is>
          <t>0.01</t>
        </is>
      </c>
      <c r="U935" s="3">
        <v>46112.78107638889</v>
      </c>
      <c r="V935" t="inlineStr">
        <is>
          <t>虚拟产品</t>
        </is>
      </c>
      <c r="W935" s="3">
        <v>46037</v>
      </c>
      <c r="X935" t="inlineStr">
        <is>
          <t>01</t>
        </is>
      </c>
      <c r="Y935" t="inlineStr">
        <is>
          <t>2026-Q1</t>
        </is>
      </c>
    </row>
    <row r="936" ht="38.25" customHeight="1">
      <c r="A936" t="inlineStr">
        <is>
          <t>2026年新版高考英语读后续写应用文写万能模板满分作文讲义电子版</t>
        </is>
      </c>
      <c r="B936" t="inlineStr">
        <is>
          <t>recv8lxtipZBVW.jpg</t>
        </is>
      </c>
      <c r="C936" s="2" t="str">
        <f>=HYPERLINK("https://xhslink.com/m/9bzXUJVObZa", "https://xhslink.com/m/9bzXUJVObZa")</f>
        <v>https://xhslink.com/m/9bzXUJVObZa</v>
      </c>
      <c r="D936"/>
      <c r="E936">
        <v>2350</v>
      </c>
      <c r="F936">
        <v>12.8</v>
      </c>
      <c r="G936"/>
      <c r="H936"/>
      <c r="I936">
        <v>400</v>
      </c>
      <c r="J936"/>
      <c r="K936" t="inlineStr">
        <is>
          <t>高考英语</t>
        </is>
      </c>
      <c r="L936"/>
      <c r="M936" t="inlineStr">
        <is>
          <t>小张老师（宝藏资料）的店</t>
        </is>
      </c>
      <c r="N936">
        <v>3156</v>
      </c>
      <c r="O936">
        <v>4.02</v>
      </c>
      <c r="P936">
        <v>5995</v>
      </c>
      <c r="Q936" t="inlineStr">
        <is>
          <t>677003420f83bc00012cffd4</t>
        </is>
      </c>
      <c r="R936"/>
      <c r="S936" t="inlineStr">
        <is>
          <t>高中/高考资料</t>
        </is>
      </c>
      <c r="T936" t="inlineStr">
        <is>
          <t>0.74</t>
        </is>
      </c>
      <c r="U936" s="3">
        <v>46112.78107638889</v>
      </c>
      <c r="V936" t="inlineStr">
        <is>
          <t>虚拟产品</t>
        </is>
      </c>
      <c r="W936" s="3">
        <v>46037</v>
      </c>
      <c r="X936" t="inlineStr">
        <is>
          <t>01</t>
        </is>
      </c>
      <c r="Y936" t="inlineStr">
        <is>
          <t>2026-Q1</t>
        </is>
      </c>
    </row>
    <row r="937" ht="38.25" customHeight="1">
      <c r="A937" t="inlineStr">
        <is>
          <t>阅读理解/完形填空/语法填空技巧完整(技巧中高考通用不区分版本</t>
        </is>
      </c>
      <c r="B937" t="inlineStr">
        <is>
          <t>recv8lxtipd9c1.jpg</t>
        </is>
      </c>
      <c r="C937" s="2" t="str">
        <f>=HYPERLINK("https://xhslink.com/m/9ilcVRdBGM4", "https://xhslink.com/m/9ilcVRdBGM4")</f>
        <v>https://xhslink.com/m/9ilcVRdBGM4</v>
      </c>
      <c r="D937"/>
      <c r="E937">
        <v>2246</v>
      </c>
      <c r="F937">
        <v>9.9</v>
      </c>
      <c r="G937"/>
      <c r="H937"/>
      <c r="I937">
        <v>400</v>
      </c>
      <c r="J937"/>
      <c r="K937" t="inlineStr">
        <is>
          <t>高考英语</t>
        </is>
      </c>
      <c r="L937"/>
      <c r="M937" t="inlineStr">
        <is>
          <t>Cici英语老师的店</t>
        </is>
      </c>
      <c r="N937">
        <v>2748</v>
      </c>
      <c r="O937">
        <v>3.74</v>
      </c>
      <c r="P937">
        <v>3389</v>
      </c>
      <c r="Q937" t="inlineStr">
        <is>
          <t>67414f4b8a6cc5000140c8a7</t>
        </is>
      </c>
      <c r="R937"/>
      <c r="S937" t="inlineStr">
        <is>
          <t>高中/高考资料</t>
        </is>
      </c>
      <c r="T937" t="inlineStr">
        <is>
          <t>0.82</t>
        </is>
      </c>
      <c r="U937" s="3">
        <v>46112.78107638889</v>
      </c>
      <c r="V937" t="inlineStr">
        <is>
          <t>虚拟产品</t>
        </is>
      </c>
      <c r="W937" s="3">
        <v>46037</v>
      </c>
      <c r="X937" t="inlineStr">
        <is>
          <t>01</t>
        </is>
      </c>
      <c r="Y937" t="inlineStr">
        <is>
          <t>2026-Q1</t>
        </is>
      </c>
    </row>
    <row r="938" ht="38.25" customHeight="1">
      <c r="A938" t="inlineStr">
        <is>
          <t>高中英语语法专项训练知识梳理、重点语法电子版资料</t>
        </is>
      </c>
      <c r="B938" t="inlineStr">
        <is>
          <t>recv8lxtipXELx.jpg</t>
        </is>
      </c>
      <c r="C938" s="2" t="str">
        <f>=HYPERLINK("https://xhslink.com/m/A5PXTCpCQat", "https://xhslink.com/m/A5PXTCpCQat")</f>
        <v>https://xhslink.com/m/A5PXTCpCQat</v>
      </c>
      <c r="D938"/>
      <c r="E938">
        <v>2125</v>
      </c>
      <c r="F938">
        <v>4.9</v>
      </c>
      <c r="G938"/>
      <c r="H938"/>
      <c r="I938">
        <v>1000</v>
      </c>
      <c r="J938"/>
      <c r="K938" t="inlineStr">
        <is>
          <t>高考英语</t>
        </is>
      </c>
      <c r="L938"/>
      <c r="M938" t="inlineStr">
        <is>
          <t>清华齐老师（宝藏资料）的店</t>
        </is>
      </c>
      <c r="N938">
        <v>1592</v>
      </c>
      <c r="O938">
        <v>4.35</v>
      </c>
      <c r="P938">
        <v>11000</v>
      </c>
      <c r="Q938" t="inlineStr">
        <is>
          <t>68d0f902edd31a0001bb165d</t>
        </is>
      </c>
      <c r="R938" t="inlineStr">
        <is>
          <t>🚫重复</t>
        </is>
      </c>
      <c r="S938" t="inlineStr">
        <is>
          <t>高中/高考资料</t>
        </is>
      </c>
      <c r="T938" t="inlineStr">
        <is>
          <t>1.33</t>
        </is>
      </c>
      <c r="U938" s="3">
        <v>46112.78107638889</v>
      </c>
      <c r="V938" t="inlineStr">
        <is>
          <t>虚拟产品</t>
        </is>
      </c>
      <c r="W938" s="3">
        <v>46037</v>
      </c>
      <c r="X938" t="inlineStr">
        <is>
          <t>01</t>
        </is>
      </c>
      <c r="Y938" t="inlineStr">
        <is>
          <t>2026-Q1</t>
        </is>
      </c>
    </row>
    <row r="939" ht="38.25" customHeight="1">
      <c r="A939" t="inlineStr">
        <is>
          <t>人教版高中英语课本同步语境记单词资料包高一高二高三一轮复习</t>
        </is>
      </c>
      <c r="B939" t="inlineStr">
        <is>
          <t>recv8lxtiptVoR.jpg</t>
        </is>
      </c>
      <c r="C939" s="2" t="str">
        <f>=HYPERLINK("https://xhslink.com/m/4gaXPAaALal", "https://xhslink.com/m/4gaXPAaALal")</f>
        <v>https://xhslink.com/m/4gaXPAaALal</v>
      </c>
      <c r="D939"/>
      <c r="E939">
        <v>1836</v>
      </c>
      <c r="F939">
        <v>5</v>
      </c>
      <c r="G939"/>
      <c r="H939"/>
      <c r="I939">
        <v>600</v>
      </c>
      <c r="J939"/>
      <c r="K939" t="inlineStr">
        <is>
          <t>高考英语</t>
        </is>
      </c>
      <c r="L939"/>
      <c r="M939" t="inlineStr">
        <is>
          <t>花儿老师Ivy的店</t>
        </is>
      </c>
      <c r="N939">
        <v>4954</v>
      </c>
      <c r="O939">
        <v>4.36</v>
      </c>
      <c r="P939">
        <v>7793</v>
      </c>
      <c r="Q939" t="inlineStr">
        <is>
          <t>687e344879bc47000120ee83</t>
        </is>
      </c>
      <c r="R939" t="inlineStr">
        <is>
          <t>🚫重复</t>
        </is>
      </c>
      <c r="S939" t="inlineStr">
        <is>
          <t>高中/高考资料</t>
        </is>
      </c>
      <c r="T939" t="inlineStr">
        <is>
          <t>0.37</t>
        </is>
      </c>
      <c r="U939" s="3">
        <v>46112.78107638889</v>
      </c>
      <c r="V939" t="inlineStr">
        <is>
          <t>虚拟产品</t>
        </is>
      </c>
      <c r="W939" s="3">
        <v>46037</v>
      </c>
      <c r="X939" t="inlineStr">
        <is>
          <t>01</t>
        </is>
      </c>
      <c r="Y939" t="inlineStr">
        <is>
          <t>2026-Q1</t>
        </is>
      </c>
    </row>
    <row r="940" ht="38.25" customHeight="1">
      <c r="A940" t="inlineStr">
        <is>
          <t>OC人设盲盒｜AI随机欧气满满盲盒 拍三发四</t>
        </is>
      </c>
      <c r="B940" t="inlineStr">
        <is>
          <t>recv8lxtipTRYY.jpg</t>
        </is>
      </c>
      <c r="C940" s="2" t="str">
        <f>=HYPERLINK("https://xhslink.com/m/9HL08UHqVq7", "https://xhslink.com/m/9HL08UHqVq7")</f>
        <v>https://xhslink.com/m/9HL08UHqVq7</v>
      </c>
      <c r="D940"/>
      <c r="E940">
        <v>41000</v>
      </c>
      <c r="F940">
        <v>11.7</v>
      </c>
      <c r="G940"/>
      <c r="H940"/>
      <c r="I940">
        <v>1000</v>
      </c>
      <c r="J940"/>
      <c r="K940" t="inlineStr">
        <is>
          <t>AI</t>
        </is>
      </c>
      <c r="L940"/>
      <c r="M940" t="inlineStr">
        <is>
          <t>魔法万事屋的店</t>
        </is>
      </c>
      <c r="N940">
        <v>30000</v>
      </c>
      <c r="O940">
        <v>4.5</v>
      </c>
      <c r="P940">
        <v>63000</v>
      </c>
      <c r="Q940" t="inlineStr">
        <is>
          <t>6726b8f6175dab00016b2d30</t>
        </is>
      </c>
      <c r="R940"/>
      <c r="S940" t="inlineStr">
        <is>
          <t>AI</t>
        </is>
      </c>
      <c r="T940" t="inlineStr">
        <is>
          <t>1.37</t>
        </is>
      </c>
      <c r="U940" s="3">
        <v>46112.78107638889</v>
      </c>
      <c r="V940" t="inlineStr">
        <is>
          <t>虚拟产品</t>
        </is>
      </c>
      <c r="W940" s="3">
        <v>46037</v>
      </c>
      <c r="X940" t="inlineStr">
        <is>
          <t>01</t>
        </is>
      </c>
      <c r="Y940" t="inlineStr">
        <is>
          <t>2026-Q1</t>
        </is>
      </c>
    </row>
    <row r="941" ht="38.25" customHeight="1">
      <c r="A941" t="inlineStr">
        <is>
          <t>AI自媒体AI智能体AI绘图AI视频AI课程 [3天AI智能体商业实战营]</t>
        </is>
      </c>
      <c r="B941" t="inlineStr">
        <is>
          <t>recv8lxtipg8cr.jpg</t>
        </is>
      </c>
      <c r="C941" s="2" t="str">
        <f>=HYPERLINK("https://xhslink.com/m/1hkRxgrAC77", "https://xhslink.com/m/1hkRxgrAC77")</f>
        <v>https://xhslink.com/m/1hkRxgrAC77</v>
      </c>
      <c r="D941"/>
      <c r="E941">
        <v>8731</v>
      </c>
      <c r="F941">
        <v>9.9</v>
      </c>
      <c r="G941"/>
      <c r="H941"/>
      <c r="I941">
        <v>800</v>
      </c>
      <c r="J941"/>
      <c r="K941" t="inlineStr">
        <is>
          <t>AI</t>
        </is>
      </c>
      <c r="L941"/>
      <c r="M941" t="inlineStr">
        <is>
          <t>星辰维度AI科技的店</t>
        </is>
      </c>
      <c r="N941">
        <v>11000</v>
      </c>
      <c r="O941">
        <v>4.39</v>
      </c>
      <c r="P941">
        <v>8748</v>
      </c>
      <c r="Q941" t="inlineStr">
        <is>
          <t>673dd353684ff20001712ffa</t>
        </is>
      </c>
      <c r="R941"/>
      <c r="S941" t="inlineStr">
        <is>
          <t>AI</t>
        </is>
      </c>
      <c r="T941" t="inlineStr">
        <is>
          <t>0.79</t>
        </is>
      </c>
      <c r="U941" s="3">
        <v>46112.78107638889</v>
      </c>
      <c r="V941" t="inlineStr">
        <is>
          <t>虚拟产品</t>
        </is>
      </c>
      <c r="W941" s="3">
        <v>46037</v>
      </c>
      <c r="X941" t="inlineStr">
        <is>
          <t>01</t>
        </is>
      </c>
      <c r="Y941" t="inlineStr">
        <is>
          <t>2026-Q1</t>
        </is>
      </c>
    </row>
    <row r="942" ht="38.25" customHeight="1">
      <c r="A942" t="inlineStr">
        <is>
          <t>WPS超级会员ai大会员一天vip1天pdf转word文档个人简历PPT模版</t>
        </is>
      </c>
      <c r="B942" t="inlineStr">
        <is>
          <t>recv8lxtipSQFG.jpg</t>
        </is>
      </c>
      <c r="C942" s="2" t="str">
        <f>=HYPERLINK("https://xhslink.com/m/9l3MB2DL3y4", "https://xhslink.com/m/9l3MB2DL3y4")</f>
        <v>https://xhslink.com/m/9l3MB2DL3y4</v>
      </c>
      <c r="D942"/>
      <c r="E942">
        <v>7931</v>
      </c>
      <c r="F942">
        <v>1.59</v>
      </c>
      <c r="G942"/>
      <c r="H942"/>
      <c r="I942">
        <v>4000</v>
      </c>
      <c r="J942"/>
      <c r="K942" t="inlineStr">
        <is>
          <t>AI</t>
        </is>
      </c>
      <c r="L942" t="inlineStr">
        <is>
          <t>🔥低粉爆款</t>
        </is>
      </c>
      <c r="M942" t="inlineStr">
        <is>
          <t>超级会员WPS的店</t>
        </is>
      </c>
      <c r="N942">
        <v>768</v>
      </c>
      <c r="O942">
        <v>4.42</v>
      </c>
      <c r="P942">
        <v>85000</v>
      </c>
      <c r="Q942" t="inlineStr">
        <is>
          <t>6856261348753b0001a5e986</t>
        </is>
      </c>
      <c r="R942" t="inlineStr">
        <is>
          <t>🚫重复</t>
        </is>
      </c>
      <c r="S942" t="inlineStr">
        <is>
          <t>PPT模板</t>
        </is>
      </c>
      <c r="T942" t="inlineStr">
        <is>
          <t>10.33</t>
        </is>
      </c>
      <c r="U942" s="3">
        <v>46112.78107638889</v>
      </c>
      <c r="V942" t="inlineStr">
        <is>
          <t>虚拟产品</t>
        </is>
      </c>
      <c r="W942" s="3">
        <v>46037</v>
      </c>
      <c r="X942" t="inlineStr">
        <is>
          <t>01</t>
        </is>
      </c>
      <c r="Y942" t="inlineStr">
        <is>
          <t>2026-Q1</t>
        </is>
      </c>
    </row>
    <row r="943" ht="38.25" customHeight="1">
      <c r="A943" t="inlineStr">
        <is>
          <t>50款混排字体安装包文字混排可编辑源文件模板Ai/psd格式(可选)</t>
        </is>
      </c>
      <c r="B943" t="inlineStr">
        <is>
          <t>recv8lxtipXRNt.jpg</t>
        </is>
      </c>
      <c r="C943" s="2" t="str">
        <f>=HYPERLINK("https://xhslink.com/m/9JAZy7vJgH7", "https://xhslink.com/m/9JAZy7vJgH7")</f>
        <v>https://xhslink.com/m/9JAZy7vJgH7</v>
      </c>
      <c r="D943"/>
      <c r="E943">
        <v>7172</v>
      </c>
      <c r="F943">
        <v>4.9</v>
      </c>
      <c r="G943"/>
      <c r="H943"/>
      <c r="I943">
        <v>500</v>
      </c>
      <c r="J943"/>
      <c r="K943" t="inlineStr">
        <is>
          <t>AI</t>
        </is>
      </c>
      <c r="L943"/>
      <c r="M943" t="inlineStr">
        <is>
          <t>大汤姆叔叔的店</t>
        </is>
      </c>
      <c r="N943">
        <v>16000</v>
      </c>
      <c r="O943">
        <v>4.45</v>
      </c>
      <c r="P943">
        <v>25000</v>
      </c>
      <c r="Q943" t="inlineStr">
        <is>
          <t>677e6b2401965c00019d6c62</t>
        </is>
      </c>
      <c r="R943" t="inlineStr">
        <is>
          <t>🚫重复</t>
        </is>
      </c>
      <c r="S943" t="inlineStr">
        <is>
          <t>设计素材</t>
        </is>
      </c>
      <c r="T943" t="inlineStr">
        <is>
          <t>0.45</t>
        </is>
      </c>
      <c r="U943" s="3">
        <v>46112.78107638889</v>
      </c>
      <c r="V943" t="inlineStr">
        <is>
          <t>虚拟产品</t>
        </is>
      </c>
      <c r="W943" s="3">
        <v>46037</v>
      </c>
      <c r="X943" t="inlineStr">
        <is>
          <t>01</t>
        </is>
      </c>
      <c r="Y943" t="inlineStr">
        <is>
          <t>2026-Q1</t>
        </is>
      </c>
    </row>
    <row r="944" ht="38.25" customHeight="1">
      <c r="A944" t="inlineStr">
        <is>
          <t>初高中主题班会课件|持续更新</t>
        </is>
      </c>
      <c r="B944" t="inlineStr">
        <is>
          <t>recv8lxtipz4Ji.jpg</t>
        </is>
      </c>
      <c r="C944" s="2" t="str">
        <f>=HYPERLINK("https://xhslink.com/m/72KD93d1ndk", "https://xhslink.com/m/72KD93d1ndk")</f>
        <v>https://xhslink.com/m/72KD93d1ndk</v>
      </c>
      <c r="D944"/>
      <c r="E944">
        <v>5935</v>
      </c>
      <c r="F944">
        <v>8.8</v>
      </c>
      <c r="G944"/>
      <c r="H944"/>
      <c r="I944">
        <v>2000</v>
      </c>
      <c r="J944"/>
      <c r="K944" t="inlineStr">
        <is>
          <t>AI</t>
        </is>
      </c>
      <c r="L944" t="inlineStr">
        <is>
          <t>🔥低粉爆款</t>
        </is>
      </c>
      <c r="M944" t="inlineStr">
        <is>
          <t>Amy老师的资料库的店</t>
        </is>
      </c>
      <c r="N944">
        <v>1499</v>
      </c>
      <c r="O944">
        <v>4.34</v>
      </c>
      <c r="P944">
        <v>12000</v>
      </c>
      <c r="Q944" t="inlineStr">
        <is>
          <t>693271f069110000015981d2</t>
        </is>
      </c>
      <c r="R944" t="inlineStr">
        <is>
          <t>🚫重复</t>
        </is>
      </c>
      <c r="S944" t="inlineStr">
        <is>
          <t>中小学教辅/教材</t>
        </is>
      </c>
      <c r="T944" t="inlineStr">
        <is>
          <t>3.96</t>
        </is>
      </c>
      <c r="U944" s="3">
        <v>46112.78107638889</v>
      </c>
      <c r="V944" t="inlineStr">
        <is>
          <t>虚拟产品</t>
        </is>
      </c>
      <c r="W944" s="3">
        <v>46037</v>
      </c>
      <c r="X944" t="inlineStr">
        <is>
          <t>01</t>
        </is>
      </c>
      <c r="Y944" t="inlineStr">
        <is>
          <t>2026-Q1</t>
        </is>
      </c>
    </row>
    <row r="945" ht="38.25" customHeight="1">
      <c r="A945" t="inlineStr">
        <is>
          <t>沉浸式翻译Pro会员 AI翻译PDF翻译网页翻译插件 论文文献文档翻译</t>
        </is>
      </c>
      <c r="B945" t="inlineStr">
        <is>
          <t>recv8lxtipARfZ.jpg</t>
        </is>
      </c>
      <c r="C945" s="2" t="str">
        <f>=HYPERLINK("https://xhslink.com/m/43jKXnEyA5K", "https://xhslink.com/m/43jKXnEyA5K")</f>
        <v>https://xhslink.com/m/43jKXnEyA5K</v>
      </c>
      <c r="D945"/>
      <c r="E945">
        <v>5932</v>
      </c>
      <c r="F945">
        <v>0.1</v>
      </c>
      <c r="G945"/>
      <c r="H945"/>
      <c r="I945">
        <v>1000</v>
      </c>
      <c r="J945"/>
      <c r="K945" t="inlineStr">
        <is>
          <t>AI</t>
        </is>
      </c>
      <c r="L945"/>
      <c r="M945" t="inlineStr">
        <is>
          <t>沉浸式翻译的店</t>
        </is>
      </c>
      <c r="N945">
        <v>35000</v>
      </c>
      <c r="O945">
        <v>4.26</v>
      </c>
      <c r="P945">
        <v>6666</v>
      </c>
      <c r="Q945" t="inlineStr">
        <is>
          <t>67933d6529b9f70001f3b1ba</t>
        </is>
      </c>
      <c r="R945" t="inlineStr">
        <is>
          <t>🚫重复</t>
        </is>
      </c>
      <c r="S945" t="inlineStr">
        <is>
          <t>软件应用</t>
        </is>
      </c>
      <c r="T945" t="inlineStr">
        <is>
          <t>0.17</t>
        </is>
      </c>
      <c r="U945" s="3">
        <v>46112.78107638889</v>
      </c>
      <c r="V945" t="inlineStr">
        <is>
          <t>虚拟产品</t>
        </is>
      </c>
      <c r="W945" s="3">
        <v>46037</v>
      </c>
      <c r="X945" t="inlineStr">
        <is>
          <t>01</t>
        </is>
      </c>
      <c r="Y945" t="inlineStr">
        <is>
          <t>2026-Q1</t>
        </is>
      </c>
    </row>
    <row r="946" ht="38.25" customHeight="1">
      <c r="A946" t="inlineStr">
        <is>
          <t>AI安装包 2025新版 支持 Win/Mac系统</t>
        </is>
      </c>
      <c r="B946" t="inlineStr">
        <is>
          <t>recv8lxtipE6Bv.jpg</t>
        </is>
      </c>
      <c r="C946" s="2" t="str">
        <f>=HYPERLINK("https://xhslink.com/m/1KehojUOZmY", "https://xhslink.com/m/1KehojUOZmY")</f>
        <v>https://xhslink.com/m/1KehojUOZmY</v>
      </c>
      <c r="D946"/>
      <c r="E946">
        <v>3373</v>
      </c>
      <c r="F946">
        <v>2.9</v>
      </c>
      <c r="G946"/>
      <c r="H946"/>
      <c r="I946">
        <v>900</v>
      </c>
      <c r="J946"/>
      <c r="K946" t="inlineStr">
        <is>
          <t>AI</t>
        </is>
      </c>
      <c r="L946"/>
      <c r="M946" t="inlineStr">
        <is>
          <t>创意设计软件库的店</t>
        </is>
      </c>
      <c r="N946">
        <v>1367</v>
      </c>
      <c r="O946">
        <v>4.33</v>
      </c>
      <c r="P946">
        <v>17000</v>
      </c>
      <c r="Q946" t="inlineStr">
        <is>
          <t>67cc4fbcbffe4d0001d04670</t>
        </is>
      </c>
      <c r="R946"/>
      <c r="S946" t="inlineStr">
        <is>
          <t>AI</t>
        </is>
      </c>
      <c r="T946" t="inlineStr">
        <is>
          <t>2.47</t>
        </is>
      </c>
      <c r="U946" s="3">
        <v>46112.78107638889</v>
      </c>
      <c r="V946" t="inlineStr">
        <is>
          <t>虚拟产品</t>
        </is>
      </c>
      <c r="W946" s="3">
        <v>46037</v>
      </c>
      <c r="X946" t="inlineStr">
        <is>
          <t>01</t>
        </is>
      </c>
      <c r="Y946" t="inlineStr">
        <is>
          <t>2026-Q1</t>
        </is>
      </c>
    </row>
    <row r="947" ht="38.25" customHeight="1">
      <c r="A947" t="inlineStr">
        <is>
          <t>手写英文字体procreate/ps/pr艺术花体连笔签名字体包下载素材ai</t>
        </is>
      </c>
      <c r="B947" t="inlineStr">
        <is>
          <t>recv8lxtipnxi9.jpg</t>
        </is>
      </c>
      <c r="C947" s="2" t="str">
        <f>=HYPERLINK("https://xhslink.com/m/9pugOJb2PPM", "https://xhslink.com/m/9pugOJb2PPM")</f>
        <v>https://xhslink.com/m/9pugOJb2PPM</v>
      </c>
      <c r="D947"/>
      <c r="E947">
        <v>3710</v>
      </c>
      <c r="F947">
        <v>4</v>
      </c>
      <c r="G947"/>
      <c r="H947"/>
      <c r="I947">
        <v>700</v>
      </c>
      <c r="J947"/>
      <c r="K947" t="inlineStr">
        <is>
          <t>AI</t>
        </is>
      </c>
      <c r="L947"/>
      <c r="M947" t="inlineStr">
        <is>
          <t>黑鲸素材资源的店</t>
        </is>
      </c>
      <c r="N947">
        <v>20000</v>
      </c>
      <c r="O947">
        <v>4.41</v>
      </c>
      <c r="P947">
        <v>143000</v>
      </c>
      <c r="Q947" t="inlineStr">
        <is>
          <t>6763cfd3c6c20a00019a575e</t>
        </is>
      </c>
      <c r="R947" t="inlineStr">
        <is>
          <t>🚫重复</t>
        </is>
      </c>
      <c r="S947" t="inlineStr">
        <is>
          <t>设计素材</t>
        </is>
      </c>
      <c r="T947" t="inlineStr">
        <is>
          <t>0.19</t>
        </is>
      </c>
      <c r="U947" s="3">
        <v>46112.78107638889</v>
      </c>
      <c r="V947" t="inlineStr">
        <is>
          <t>虚拟产品</t>
        </is>
      </c>
      <c r="W947" s="3">
        <v>46037</v>
      </c>
      <c r="X947" t="inlineStr">
        <is>
          <t>01</t>
        </is>
      </c>
      <c r="Y947" t="inlineStr">
        <is>
          <t>2026-Q1</t>
        </is>
      </c>
    </row>
    <row r="948" ht="38.25" customHeight="1">
      <c r="A948" t="inlineStr">
        <is>
          <t>Upscayl模糊图像变高清AI智能图片画质增强高清放大工具Mac/WIN</t>
        </is>
      </c>
      <c r="B948" t="inlineStr">
        <is>
          <t>recv8lxtips2qk.jpg</t>
        </is>
      </c>
      <c r="C948" s="2" t="str">
        <f>=HYPERLINK("https://xhslink.com/m/IV9XUQr3ES", "https://xhslink.com/m/IV9XUQr3ES")</f>
        <v>https://xhslink.com/m/IV9XUQr3ES</v>
      </c>
      <c r="D948"/>
      <c r="E948">
        <v>3369</v>
      </c>
      <c r="F948">
        <v>6.6</v>
      </c>
      <c r="G948"/>
      <c r="H948"/>
      <c r="I948">
        <v>400</v>
      </c>
      <c r="J948"/>
      <c r="K948" t="inlineStr">
        <is>
          <t>AI</t>
        </is>
      </c>
      <c r="L948"/>
      <c r="M948" t="inlineStr">
        <is>
          <t>设计师Mr.王的店</t>
        </is>
      </c>
      <c r="N948">
        <v>11000</v>
      </c>
      <c r="O948">
        <v>3.77</v>
      </c>
      <c r="P948">
        <v>13000</v>
      </c>
      <c r="Q948" t="inlineStr">
        <is>
          <t>6744153217e95f0001070c58</t>
        </is>
      </c>
      <c r="R948" t="inlineStr">
        <is>
          <t>🚫重复</t>
        </is>
      </c>
      <c r="S948" t="inlineStr">
        <is>
          <t>AI</t>
        </is>
      </c>
      <c r="T948" t="inlineStr">
        <is>
          <t>0.31</t>
        </is>
      </c>
      <c r="U948" s="3">
        <v>46112.78107638889</v>
      </c>
      <c r="V948" t="inlineStr">
        <is>
          <t>虚拟产品</t>
        </is>
      </c>
      <c r="W948" s="3">
        <v>46037</v>
      </c>
      <c r="X948" t="inlineStr">
        <is>
          <t>01</t>
        </is>
      </c>
      <c r="Y948" t="inlineStr">
        <is>
          <t>2026-Q1</t>
        </is>
      </c>
    </row>
    <row r="949" ht="38.25" customHeight="1">
      <c r="A949" t="inlineStr">
        <is>
          <t>声吾控AI变声可语音可通话可游戏实时变声软件</t>
        </is>
      </c>
      <c r="B949" t="inlineStr">
        <is>
          <t>recv8lxtipxUtD.jpg</t>
        </is>
      </c>
      <c r="C949" s="2" t="str">
        <f>=HYPERLINK("https://xhslink.com/m/49Xcm0I0Xte", "https://xhslink.com/m/49Xcm0I0Xte")</f>
        <v>https://xhslink.com/m/49Xcm0I0Xte</v>
      </c>
      <c r="D949"/>
      <c r="E949">
        <v>2952</v>
      </c>
      <c r="F949">
        <v>0.36</v>
      </c>
      <c r="G949"/>
      <c r="H949"/>
      <c r="I949">
        <v>1000</v>
      </c>
      <c r="J949"/>
      <c r="K949" t="inlineStr">
        <is>
          <t>AI</t>
        </is>
      </c>
      <c r="L949"/>
      <c r="M949" t="inlineStr">
        <is>
          <t>声吾控网络科技工作室的店</t>
        </is>
      </c>
      <c r="N949">
        <v>1195</v>
      </c>
      <c r="O949">
        <v>3.97</v>
      </c>
      <c r="P949">
        <v>6911</v>
      </c>
      <c r="Q949" t="inlineStr">
        <is>
          <t>6921f73ef785a800019dc36e</t>
        </is>
      </c>
      <c r="R949"/>
      <c r="S949" t="inlineStr">
        <is>
          <t>软件应用</t>
        </is>
      </c>
      <c r="T949" t="inlineStr">
        <is>
          <t>2.47</t>
        </is>
      </c>
      <c r="U949" s="3">
        <v>46112.78107638889</v>
      </c>
      <c r="V949" t="inlineStr">
        <is>
          <t>虚拟产品</t>
        </is>
      </c>
      <c r="W949" s="3">
        <v>46037</v>
      </c>
      <c r="X949" t="inlineStr">
        <is>
          <t>01</t>
        </is>
      </c>
      <c r="Y949" t="inlineStr">
        <is>
          <t>2026-Q1</t>
        </is>
      </c>
    </row>
    <row r="950" ht="38.25" customHeight="1">
      <c r="A950" t="inlineStr">
        <is>
          <t>小学一到六年级期中家长会ppt合集钜惠（送发言稿）</t>
        </is>
      </c>
      <c r="B950" t="inlineStr">
        <is>
          <t>recv8lxtipTeeK.jpg</t>
        </is>
      </c>
      <c r="C950" s="2" t="str">
        <f>=HYPERLINK("https://xhslink.com/m/BJy0Jb9a5W", "https://xhslink.com/m/BJy0Jb9a5W")</f>
        <v>https://xhslink.com/m/BJy0Jb9a5W</v>
      </c>
      <c r="D950"/>
      <c r="E950">
        <v>2904</v>
      </c>
      <c r="F950">
        <v>199.99</v>
      </c>
      <c r="G950"/>
      <c r="H950"/>
      <c r="I950">
        <v>2000</v>
      </c>
      <c r="J950"/>
      <c r="K950" t="inlineStr">
        <is>
          <t>AI</t>
        </is>
      </c>
      <c r="L950"/>
      <c r="M950" t="inlineStr">
        <is>
          <t>爱做PPT的小熊猫🐼的店</t>
        </is>
      </c>
      <c r="N950">
        <v>1745</v>
      </c>
      <c r="O950">
        <v>4.25</v>
      </c>
      <c r="P950">
        <v>13000</v>
      </c>
      <c r="Q950" t="inlineStr">
        <is>
          <t>694960828ff5d40001e745cf</t>
        </is>
      </c>
      <c r="R950"/>
      <c r="S950" t="inlineStr">
        <is>
          <t>PPT模板</t>
        </is>
      </c>
      <c r="T950" t="inlineStr">
        <is>
          <t>1.66</t>
        </is>
      </c>
      <c r="U950" s="3">
        <v>46112.78107638889</v>
      </c>
      <c r="V950" t="inlineStr">
        <is>
          <t>虚拟产品</t>
        </is>
      </c>
      <c r="W950" s="3">
        <v>46037</v>
      </c>
      <c r="X950" t="inlineStr">
        <is>
          <t>01</t>
        </is>
      </c>
      <c r="Y950" t="inlineStr">
        <is>
          <t>2026-Q1</t>
        </is>
      </c>
    </row>
    <row r="951" ht="38.25" customHeight="1">
      <c r="A951" t="inlineStr">
        <is>
          <t>2025秋季新版一年级上册语文丨原创公开课课件ppt+教案（部编版）</t>
        </is>
      </c>
      <c r="B951" t="inlineStr">
        <is>
          <t>recv8lxtipFBWW.jpg</t>
        </is>
      </c>
      <c r="C951" s="2" t="str">
        <f>=HYPERLINK("https://xhslink.com/m/6XBcvyyFEdo", "https://xhslink.com/m/6XBcvyyFEdo")</f>
        <v>https://xhslink.com/m/6XBcvyyFEdo</v>
      </c>
      <c r="D951"/>
      <c r="E951">
        <v>2706</v>
      </c>
      <c r="F951">
        <v>15.9</v>
      </c>
      <c r="G951"/>
      <c r="H951"/>
      <c r="I951">
        <v>1000</v>
      </c>
      <c r="J951"/>
      <c r="K951" t="inlineStr">
        <is>
          <t>AI</t>
        </is>
      </c>
      <c r="L951" t="inlineStr">
        <is>
          <t>🔥低粉爆款</t>
        </is>
      </c>
      <c r="M951" t="inlineStr">
        <is>
          <t>书灯启航课件的店</t>
        </is>
      </c>
      <c r="N951">
        <v>735</v>
      </c>
      <c r="O951">
        <v>4.22</v>
      </c>
      <c r="P951">
        <v>8107</v>
      </c>
      <c r="Q951" t="inlineStr">
        <is>
          <t>68b563b2ed4dcf0015f559b8</t>
        </is>
      </c>
      <c r="R951" t="inlineStr">
        <is>
          <t>🚫重复</t>
        </is>
      </c>
      <c r="S951" t="inlineStr">
        <is>
          <t>中小学教辅/教材</t>
        </is>
      </c>
      <c r="T951" t="inlineStr">
        <is>
          <t>3.68</t>
        </is>
      </c>
      <c r="U951" s="3">
        <v>46112.78107638889</v>
      </c>
      <c r="V951" t="inlineStr">
        <is>
          <t>虚拟产品</t>
        </is>
      </c>
      <c r="W951" s="3">
        <v>46037</v>
      </c>
      <c r="X951" t="inlineStr">
        <is>
          <t>01</t>
        </is>
      </c>
      <c r="Y951" t="inlineStr">
        <is>
          <t>2026-Q1</t>
        </is>
      </c>
    </row>
    <row r="952" ht="38.25" customHeight="1">
      <c r="A952" t="inlineStr">
        <is>
          <t>悦读京华 · 【易慧】少年学AI看这本就够了 不容错过深入浅出</t>
        </is>
      </c>
      <c r="B952" t="inlineStr">
        <is>
          <t>recv8lxtipWuMZ.jpg</t>
        </is>
      </c>
      <c r="C952" s="2" t="str">
        <f>=HYPERLINK("https://xhslink.com/m/5Q8SDRZBp3t", "https://xhslink.com/m/5Q8SDRZBp3t")</f>
        <v>https://xhslink.com/m/5Q8SDRZBp3t</v>
      </c>
      <c r="D952"/>
      <c r="E952">
        <v>2776</v>
      </c>
      <c r="F952">
        <v>388</v>
      </c>
      <c r="G952"/>
      <c r="H952"/>
      <c r="I952">
        <v>1000</v>
      </c>
      <c r="J952"/>
      <c r="K952" t="inlineStr">
        <is>
          <t>AI</t>
        </is>
      </c>
      <c r="L952" t="inlineStr">
        <is>
          <t>🔥低粉爆款</t>
        </is>
      </c>
      <c r="M952" t="inlineStr">
        <is>
          <t>悦读京华图书旗舰店</t>
        </is>
      </c>
      <c r="N952">
        <v>139</v>
      </c>
      <c r="O952">
        <v>4.48</v>
      </c>
      <c r="P952">
        <v>10000</v>
      </c>
      <c r="Q952" t="inlineStr">
        <is>
          <t>683f9cf4317c900001be7520</t>
        </is>
      </c>
      <c r="R952" t="inlineStr">
        <is>
          <t>🚫重复</t>
        </is>
      </c>
      <c r="S952" t="inlineStr">
        <is>
          <t>AI</t>
        </is>
      </c>
      <c r="T952" t="inlineStr">
        <is>
          <t>19.97</t>
        </is>
      </c>
      <c r="U952" s="3">
        <v>46112.78107638889</v>
      </c>
      <c r="V952" t="inlineStr">
        <is>
          <t>虚拟产品</t>
        </is>
      </c>
      <c r="W952" s="3">
        <v>46037</v>
      </c>
      <c r="X952" t="inlineStr">
        <is>
          <t>01</t>
        </is>
      </c>
      <c r="Y952" t="inlineStr">
        <is>
          <t>2026-Q1</t>
        </is>
      </c>
    </row>
    <row r="953" ht="38.25" customHeight="1">
      <c r="A953" t="inlineStr">
        <is>
          <t>procreate字体中文英文古风书法毛笔艺术ps/ai电脑字体包素材下载</t>
        </is>
      </c>
      <c r="B953" t="inlineStr">
        <is>
          <t>recv8lxtiprJsI.jpg</t>
        </is>
      </c>
      <c r="C953" s="2" t="str">
        <f>=HYPERLINK("https://xhslink.com/m/Avf132VbpR6", "https://xhslink.com/m/Avf132VbpR6")</f>
        <v>https://xhslink.com/m/Avf132VbpR6</v>
      </c>
      <c r="D953"/>
      <c r="E953">
        <v>2685</v>
      </c>
      <c r="F953">
        <v>4</v>
      </c>
      <c r="G953"/>
      <c r="H953"/>
      <c r="I953">
        <v>600</v>
      </c>
      <c r="J953"/>
      <c r="K953" t="inlineStr">
        <is>
          <t>AI</t>
        </is>
      </c>
      <c r="L953"/>
      <c r="M953" t="inlineStr">
        <is>
          <t>黑鲸素材资源的店</t>
        </is>
      </c>
      <c r="N953">
        <v>20000</v>
      </c>
      <c r="O953">
        <v>4.41</v>
      </c>
      <c r="P953">
        <v>143000</v>
      </c>
      <c r="Q953" t="inlineStr">
        <is>
          <t>676a305bc6c20a0001c3df26</t>
        </is>
      </c>
      <c r="R953" t="inlineStr">
        <is>
          <t>🚫重复</t>
        </is>
      </c>
      <c r="S953" t="inlineStr">
        <is>
          <t>设计素材</t>
        </is>
      </c>
      <c r="T953" t="inlineStr">
        <is>
          <t>0.13</t>
        </is>
      </c>
      <c r="U953" s="3">
        <v>46112.78107638889</v>
      </c>
      <c r="V953" t="inlineStr">
        <is>
          <t>虚拟产品</t>
        </is>
      </c>
      <c r="W953" s="3">
        <v>46037</v>
      </c>
      <c r="X953" t="inlineStr">
        <is>
          <t>01</t>
        </is>
      </c>
      <c r="Y953" t="inlineStr">
        <is>
          <t>2026-Q1</t>
        </is>
      </c>
    </row>
    <row r="954" ht="38.25" customHeight="1">
      <c r="A954" t="inlineStr">
        <is>
          <t>狸叶 · 黑体 个人企业 永久正版商用字体 PS Ai 字体 下载授权</t>
        </is>
      </c>
      <c r="B954" t="inlineStr">
        <is>
          <t>recv8lxtiph7qa.jpg</t>
        </is>
      </c>
      <c r="C954" s="2" t="str">
        <f>=HYPERLINK("https://xhslink.com/m/APNVK1ZQ22B", "https://xhslink.com/m/APNVK1ZQ22B")</f>
        <v>https://xhslink.com/m/APNVK1ZQ22B</v>
      </c>
      <c r="D954"/>
      <c r="E954">
        <v>2484</v>
      </c>
      <c r="F954">
        <v>9.9</v>
      </c>
      <c r="G954"/>
      <c r="H954"/>
      <c r="I954">
        <v>400</v>
      </c>
      <c r="J954"/>
      <c r="K954" t="inlineStr">
        <is>
          <t>AI</t>
        </is>
      </c>
      <c r="L954"/>
      <c r="M954" t="inlineStr">
        <is>
          <t>狸叶旗舰店</t>
        </is>
      </c>
      <c r="N954">
        <v>1057</v>
      </c>
      <c r="O954">
        <v>4.66</v>
      </c>
      <c r="P954">
        <v>4657</v>
      </c>
      <c r="Q954" t="inlineStr">
        <is>
          <t>673d970ffbf30800018d5e80</t>
        </is>
      </c>
      <c r="R954"/>
      <c r="S954" t="inlineStr">
        <is>
          <t>设计素材</t>
        </is>
      </c>
      <c r="T954" t="inlineStr">
        <is>
          <t>2.35</t>
        </is>
      </c>
      <c r="U954" s="3">
        <v>46112.78107638889</v>
      </c>
      <c r="V954" t="inlineStr">
        <is>
          <t>虚拟产品</t>
        </is>
      </c>
      <c r="W954" s="3">
        <v>46037</v>
      </c>
      <c r="X954" t="inlineStr">
        <is>
          <t>01</t>
        </is>
      </c>
      <c r="Y954" t="inlineStr">
        <is>
          <t>2026-Q1</t>
        </is>
      </c>
    </row>
    <row r="955" ht="38.25" customHeight="1">
      <c r="A955" t="inlineStr">
        <is>
          <t>iAIGC · Photoshop AI插件StartAI 0.1元视频课</t>
        </is>
      </c>
      <c r="B955" t="inlineStr">
        <is>
          <t>recv8lxtipmCOy.jpg</t>
        </is>
      </c>
      <c r="C955" s="2" t="str">
        <f>=HYPERLINK("https://xhslink.com/m/66upTPHCnCS", "https://xhslink.com/m/66upTPHCnCS")</f>
        <v>https://xhslink.com/m/66upTPHCnCS</v>
      </c>
      <c r="D955"/>
      <c r="E955">
        <v>2161</v>
      </c>
      <c r="F955">
        <v>0.1</v>
      </c>
      <c r="G955"/>
      <c r="H955"/>
      <c r="I955">
        <v>400</v>
      </c>
      <c r="J955"/>
      <c r="K955" t="inlineStr">
        <is>
          <t>AI</t>
        </is>
      </c>
      <c r="L955"/>
      <c r="M955" t="inlineStr">
        <is>
          <t>StartAI软件的店</t>
        </is>
      </c>
      <c r="N955">
        <v>76000</v>
      </c>
      <c r="O955">
        <v>3.98</v>
      </c>
      <c r="P955">
        <v>2342</v>
      </c>
      <c r="Q955" t="inlineStr">
        <is>
          <t>68528f89b048050001a12e9c</t>
        </is>
      </c>
      <c r="R955"/>
      <c r="S955" t="inlineStr">
        <is>
          <t>AI</t>
        </is>
      </c>
      <c r="T955" t="inlineStr">
        <is>
          <t>0.03</t>
        </is>
      </c>
      <c r="U955" s="3">
        <v>46112.78107638889</v>
      </c>
      <c r="V955" t="inlineStr">
        <is>
          <t>虚拟产品</t>
        </is>
      </c>
      <c r="W955" s="3">
        <v>46037</v>
      </c>
      <c r="X955" t="inlineStr">
        <is>
          <t>01</t>
        </is>
      </c>
      <c r="Y955" t="inlineStr">
        <is>
          <t>2026-Q1</t>
        </is>
      </c>
    </row>
    <row r="956" ht="38.25" customHeight="1">
      <c r="A956" t="inlineStr">
        <is>
          <t>大学生PPT代做，诚信第一，不逃单</t>
        </is>
      </c>
      <c r="B956" t="inlineStr">
        <is>
          <t>recv8r6odp5QxB.jpg</t>
        </is>
      </c>
      <c r="C956" s="2" t="str">
        <f>=HYPERLINK("https://xhslink.com/m/2FtKtII9La4", "https://xhslink.com/m/2FtKtII9La4")</f>
        <v>https://xhslink.com/m/2FtKtII9La4</v>
      </c>
      <c r="D956"/>
      <c r="E956">
        <v>2812</v>
      </c>
      <c r="F956">
        <v>5</v>
      </c>
      <c r="G956"/>
      <c r="H956"/>
      <c r="I956">
        <v>1000</v>
      </c>
      <c r="J956"/>
      <c r="K956" t="inlineStr">
        <is>
          <t>PPT</t>
        </is>
      </c>
      <c r="L956"/>
      <c r="M956" t="inlineStr">
        <is>
          <t>大学生制作ppt（商品资讯）的店</t>
        </is>
      </c>
      <c r="N956">
        <v>6776</v>
      </c>
      <c r="O956">
        <v>4.02</v>
      </c>
      <c r="P956">
        <v>4356</v>
      </c>
      <c r="Q956" t="inlineStr">
        <is>
          <t>66441e4528f9d0000144cc2f</t>
        </is>
      </c>
      <c r="R956"/>
      <c r="S956" t="inlineStr">
        <is>
          <t>PPT模板</t>
        </is>
      </c>
      <c r="T956" t="inlineStr">
        <is>
          <t>0.41</t>
        </is>
      </c>
      <c r="U956" s="3">
        <v>46112.78107638889</v>
      </c>
      <c r="V956" t="inlineStr">
        <is>
          <t>虚拟产品</t>
        </is>
      </c>
      <c r="W956" s="3">
        <v>46038</v>
      </c>
      <c r="X956" t="inlineStr">
        <is>
          <t>01</t>
        </is>
      </c>
      <c r="Y956" t="inlineStr">
        <is>
          <t>2026-Q1</t>
        </is>
      </c>
    </row>
    <row r="957" ht="38.25" customHeight="1">
      <c r="A957" t="inlineStr">
        <is>
          <t>04大学生研究生国家奖学金省三好学生省优秀干部十佳汇报PPT模板</t>
        </is>
      </c>
      <c r="B957" t="inlineStr">
        <is>
          <t>recv8r6run1qxl.jpg</t>
        </is>
      </c>
      <c r="C957" s="2" t="str">
        <f>=HYPERLINK("https://xhslink.com/m/46LzFs42yWf", "https://xhslink.com/m/46LzFs42yWf")</f>
        <v>https://xhslink.com/m/46LzFs42yWf</v>
      </c>
      <c r="D957"/>
      <c r="E957">
        <v>2330</v>
      </c>
      <c r="F957">
        <v>1.88</v>
      </c>
      <c r="G957"/>
      <c r="H957"/>
      <c r="I957">
        <v>400</v>
      </c>
      <c r="J957"/>
      <c r="K957" t="inlineStr">
        <is>
          <t>PPT</t>
        </is>
      </c>
      <c r="L957"/>
      <c r="M957" t="inlineStr">
        <is>
          <t>赵小小的店</t>
        </is>
      </c>
      <c r="N957">
        <v>4361</v>
      </c>
      <c r="O957">
        <v>4.35</v>
      </c>
      <c r="P957">
        <v>50000</v>
      </c>
      <c r="Q957" t="inlineStr">
        <is>
          <t>67faec1dec1374000142b667</t>
        </is>
      </c>
      <c r="R957" t="inlineStr">
        <is>
          <t>🚫重复</t>
        </is>
      </c>
      <c r="S957" t="inlineStr">
        <is>
          <t>PPT模板</t>
        </is>
      </c>
      <c r="T957" t="inlineStr">
        <is>
          <t>0.53</t>
        </is>
      </c>
      <c r="U957" s="3">
        <v>46112.78107638889</v>
      </c>
      <c r="V957" t="inlineStr">
        <is>
          <t>虚拟产品</t>
        </is>
      </c>
      <c r="W957" s="3">
        <v>46038</v>
      </c>
      <c r="X957" t="inlineStr">
        <is>
          <t>01</t>
        </is>
      </c>
      <c r="Y957" t="inlineStr">
        <is>
          <t>2026-Q1</t>
        </is>
      </c>
    </row>
    <row r="958" ht="38.25" customHeight="1">
      <c r="A958" t="inlineStr">
        <is>
          <t>100张自制PPT背景图片-拍下发网盘链接（虚拟商品拍下不退不换</t>
        </is>
      </c>
      <c r="B958" t="inlineStr">
        <is>
          <t>recv8r6runyahh.jpg</t>
        </is>
      </c>
      <c r="C958" s="2" t="str">
        <f>=HYPERLINK("https://xhslink.com/m/3Te85GIMBHv", "https://xhslink.com/m/3Te85GIMBHv")</f>
        <v>https://xhslink.com/m/3Te85GIMBHv</v>
      </c>
      <c r="D958"/>
      <c r="E958">
        <v>2326</v>
      </c>
      <c r="F958">
        <v>3.98</v>
      </c>
      <c r="G958"/>
      <c r="H958"/>
      <c r="I958">
        <v>500</v>
      </c>
      <c r="J958"/>
      <c r="K958" t="inlineStr">
        <is>
          <t>PPT</t>
        </is>
      </c>
      <c r="L958"/>
      <c r="M958" t="inlineStr">
        <is>
          <t>乌饭子PPT的店</t>
        </is>
      </c>
      <c r="N958">
        <v>2642</v>
      </c>
      <c r="O958">
        <v>4.26</v>
      </c>
      <c r="P958">
        <v>5432</v>
      </c>
      <c r="Q958" t="inlineStr">
        <is>
          <t>672b7e21b43c00000106454b</t>
        </is>
      </c>
      <c r="R958"/>
      <c r="S958" t="inlineStr">
        <is>
          <t>PPT模板</t>
        </is>
      </c>
      <c r="T958" t="inlineStr">
        <is>
          <t>0.88</t>
        </is>
      </c>
      <c r="U958" s="3">
        <v>46112.78107638889</v>
      </c>
      <c r="V958" t="inlineStr">
        <is>
          <t>虚拟产品</t>
        </is>
      </c>
      <c r="W958" s="3">
        <v>46038</v>
      </c>
      <c r="X958" t="inlineStr">
        <is>
          <t>01</t>
        </is>
      </c>
      <c r="Y958" t="inlineStr">
        <is>
          <t>2026-Q1</t>
        </is>
      </c>
    </row>
    <row r="959" ht="38.25" customHeight="1">
      <c r="A959" t="inlineStr">
        <is>
          <t>A01-项目课题结题答辩PPT模版（四种颜色都发）</t>
        </is>
      </c>
      <c r="B959" t="inlineStr">
        <is>
          <t>recv8r6runSCQv.jpg</t>
        </is>
      </c>
      <c r="C959" s="2" t="str">
        <f>=HYPERLINK("https://xhslink.com/m/6TkhYyW4Ci8", "https://xhslink.com/m/6TkhYyW4Ci8")</f>
        <v>https://xhslink.com/m/6TkhYyW4Ci8</v>
      </c>
      <c r="D959"/>
      <c r="E959">
        <v>2296</v>
      </c>
      <c r="F959">
        <v>6.6</v>
      </c>
      <c r="G959"/>
      <c r="H959"/>
      <c r="I959">
        <v>400</v>
      </c>
      <c r="J959"/>
      <c r="K959" t="inlineStr">
        <is>
          <t>PPT</t>
        </is>
      </c>
      <c r="L959"/>
      <c r="M959" t="inlineStr">
        <is>
          <t>读博de小吴学姐的店</t>
        </is>
      </c>
      <c r="N959">
        <v>4133</v>
      </c>
      <c r="O959">
        <v>3.95</v>
      </c>
      <c r="P959">
        <v>4403</v>
      </c>
      <c r="Q959" t="inlineStr">
        <is>
          <t>67a19964068b2400018db9d0</t>
        </is>
      </c>
      <c r="R959"/>
      <c r="S959" t="inlineStr">
        <is>
          <t>PPT模板</t>
        </is>
      </c>
      <c r="T959" t="inlineStr">
        <is>
          <t>0.56</t>
        </is>
      </c>
      <c r="U959" s="3">
        <v>46112.78107638889</v>
      </c>
      <c r="V959" t="inlineStr">
        <is>
          <t>虚拟产品</t>
        </is>
      </c>
      <c r="W959" s="3">
        <v>46038</v>
      </c>
      <c r="X959" t="inlineStr">
        <is>
          <t>01</t>
        </is>
      </c>
      <c r="Y959" t="inlineStr">
        <is>
          <t>2026-Q1</t>
        </is>
      </c>
    </row>
    <row r="960" ht="38.25" customHeight="1">
      <c r="A960" t="inlineStr">
        <is>
          <t>PPT丨拍前请看购买须知</t>
        </is>
      </c>
      <c r="B960" t="inlineStr">
        <is>
          <t>recv8r6runUMMU.jpg</t>
        </is>
      </c>
      <c r="C960" s="2" t="str">
        <f>=HYPERLINK("https://xhslink.com/m/4zLCHYvw8i7", "https://xhslink.com/m/4zLCHYvw8i7")</f>
        <v>https://xhslink.com/m/4zLCHYvw8i7</v>
      </c>
      <c r="D960"/>
      <c r="E960">
        <v>2271</v>
      </c>
      <c r="F960">
        <v>5</v>
      </c>
      <c r="G960"/>
      <c r="H960"/>
      <c r="I960">
        <v>300</v>
      </c>
      <c r="J960"/>
      <c r="K960" t="inlineStr">
        <is>
          <t>PPT</t>
        </is>
      </c>
      <c r="L960"/>
      <c r="M960" t="inlineStr">
        <is>
          <t>学十方【🛒看主页】的店</t>
        </is>
      </c>
      <c r="N960">
        <v>3057</v>
      </c>
      <c r="O960">
        <v>4.43</v>
      </c>
      <c r="P960">
        <v>4773</v>
      </c>
      <c r="Q960" t="inlineStr">
        <is>
          <t>65e7e19403e51a0001da9325</t>
        </is>
      </c>
      <c r="R960"/>
      <c r="S960" t="inlineStr">
        <is>
          <t>PPT模板</t>
        </is>
      </c>
      <c r="T960" t="inlineStr">
        <is>
          <t>0.74</t>
        </is>
      </c>
      <c r="U960" s="3">
        <v>46112.78107638889</v>
      </c>
      <c r="V960" t="inlineStr">
        <is>
          <t>虚拟产品</t>
        </is>
      </c>
      <c r="W960" s="3">
        <v>46038</v>
      </c>
      <c r="X960" t="inlineStr">
        <is>
          <t>01</t>
        </is>
      </c>
      <c r="Y960" t="inlineStr">
        <is>
          <t>2026-Q1</t>
        </is>
      </c>
    </row>
    <row r="961" ht="38.25" customHeight="1">
      <c r="A961" t="inlineStr">
        <is>
          <t>高级感中国风国潮敦煌复古山水墨新中式商务工作总结述职ppt模板</t>
        </is>
      </c>
      <c r="B961" t="inlineStr">
        <is>
          <t>recv8r6runVuSV.jpg</t>
        </is>
      </c>
      <c r="C961" s="2" t="str">
        <f>=HYPERLINK("https://xhslink.com/m/9OGVlPUXbUH", "https://xhslink.com/m/9OGVlPUXbUH")</f>
        <v>https://xhslink.com/m/9OGVlPUXbUH</v>
      </c>
      <c r="D961"/>
      <c r="E961">
        <v>2278</v>
      </c>
      <c r="F961">
        <v>2.9</v>
      </c>
      <c r="G961"/>
      <c r="H961"/>
      <c r="I961">
        <v>500</v>
      </c>
      <c r="J961"/>
      <c r="K961" t="inlineStr">
        <is>
          <t>PPT</t>
        </is>
      </c>
      <c r="L961" t="inlineStr">
        <is>
          <t>🔥低粉爆款</t>
        </is>
      </c>
      <c r="M961" t="inlineStr">
        <is>
          <t>招财素材店的店</t>
        </is>
      </c>
      <c r="N961">
        <v>491</v>
      </c>
      <c r="O961">
        <v>4.36</v>
      </c>
      <c r="P961">
        <v>7052</v>
      </c>
      <c r="Q961" t="inlineStr">
        <is>
          <t>671cad09a1c96f0001a3b427</t>
        </is>
      </c>
      <c r="R961"/>
      <c r="S961" t="inlineStr">
        <is>
          <t>PPT模板</t>
        </is>
      </c>
      <c r="T961" t="inlineStr">
        <is>
          <t>4.64</t>
        </is>
      </c>
      <c r="U961" s="3">
        <v>46112.78107638889</v>
      </c>
      <c r="V961" t="inlineStr">
        <is>
          <t>虚拟产品</t>
        </is>
      </c>
      <c r="W961" s="3">
        <v>46038</v>
      </c>
      <c r="X961" t="inlineStr">
        <is>
          <t>01</t>
        </is>
      </c>
      <c r="Y961" t="inlineStr">
        <is>
          <t>2026-Q1</t>
        </is>
      </c>
    </row>
    <row r="962" ht="38.25" customHeight="1">
      <c r="A962" t="inlineStr">
        <is>
          <t>2026春季新人教版初中英语七八九年级上下册PPT课件教案音频练习</t>
        </is>
      </c>
      <c r="B962" t="inlineStr">
        <is>
          <t>recv8r6run6Vmy.jpg</t>
        </is>
      </c>
      <c r="C962" s="2" t="str">
        <f>=HYPERLINK("https://xhslink.com/m/Ulpm5cuOnU", "https://xhslink.com/m/Ulpm5cuOnU")</f>
        <v>https://xhslink.com/m/Ulpm5cuOnU</v>
      </c>
      <c r="D962"/>
      <c r="E962">
        <v>2271</v>
      </c>
      <c r="F962">
        <v>6.8</v>
      </c>
      <c r="G962"/>
      <c r="H962"/>
      <c r="I962">
        <v>400</v>
      </c>
      <c r="J962"/>
      <c r="K962" t="inlineStr">
        <is>
          <t>PPT</t>
        </is>
      </c>
      <c r="L962"/>
      <c r="M962" t="inlineStr">
        <is>
          <t>爱学习的小红帽的店</t>
        </is>
      </c>
      <c r="N962">
        <v>3723</v>
      </c>
      <c r="O962">
        <v>4.32</v>
      </c>
      <c r="P962">
        <v>18000</v>
      </c>
      <c r="Q962" t="inlineStr">
        <is>
          <t>67bbf2b97198db000123d96b</t>
        </is>
      </c>
      <c r="R962" t="inlineStr">
        <is>
          <t>🚫重复</t>
        </is>
      </c>
      <c r="S962" t="inlineStr">
        <is>
          <t>PPT模板</t>
        </is>
      </c>
      <c r="T962" t="inlineStr">
        <is>
          <t>0.61</t>
        </is>
      </c>
      <c r="U962" s="3">
        <v>46112.78107638889</v>
      </c>
      <c r="V962" t="inlineStr">
        <is>
          <t>虚拟产品</t>
        </is>
      </c>
      <c r="W962" s="3">
        <v>46038</v>
      </c>
      <c r="X962" t="inlineStr">
        <is>
          <t>01</t>
        </is>
      </c>
      <c r="Y962" t="inlineStr">
        <is>
          <t>2026-Q1</t>
        </is>
      </c>
    </row>
    <row r="963" ht="38.25" customHeight="1">
      <c r="A963" t="inlineStr">
        <is>
          <t>5套多图轮播展示PPT动态模版</t>
        </is>
      </c>
      <c r="B963" t="inlineStr">
        <is>
          <t>recv8r6rundsYA.jpg</t>
        </is>
      </c>
      <c r="C963" s="2" t="str">
        <f>=HYPERLINK("https://xhslink.com/m/5IoWWomYANi", "https://xhslink.com/m/5IoWWomYANi")</f>
        <v>https://xhslink.com/m/5IoWWomYANi</v>
      </c>
      <c r="D963"/>
      <c r="E963">
        <v>2246</v>
      </c>
      <c r="F963">
        <v>6.8</v>
      </c>
      <c r="G963"/>
      <c r="H963"/>
      <c r="I963">
        <v>800</v>
      </c>
      <c r="J963"/>
      <c r="K963" t="inlineStr">
        <is>
          <t>PPT</t>
        </is>
      </c>
      <c r="L963"/>
      <c r="M963" t="inlineStr">
        <is>
          <t>艺林PPT的店</t>
        </is>
      </c>
      <c r="N963">
        <v>1157</v>
      </c>
      <c r="O963">
        <v>4.4</v>
      </c>
      <c r="P963">
        <v>7382</v>
      </c>
      <c r="Q963" t="inlineStr">
        <is>
          <t>67bf21233298ba0001353957</t>
        </is>
      </c>
      <c r="R963" t="inlineStr">
        <is>
          <t>🚫重复</t>
        </is>
      </c>
      <c r="S963" t="inlineStr">
        <is>
          <t>PPT模板</t>
        </is>
      </c>
      <c r="T963" t="inlineStr">
        <is>
          <t>1.94</t>
        </is>
      </c>
      <c r="U963" s="3">
        <v>46112.78107638889</v>
      </c>
      <c r="V963" t="inlineStr">
        <is>
          <t>虚拟产品</t>
        </is>
      </c>
      <c r="W963" s="3">
        <v>46038</v>
      </c>
      <c r="X963" t="inlineStr">
        <is>
          <t>01</t>
        </is>
      </c>
      <c r="Y963" t="inlineStr">
        <is>
          <t>2026-Q1</t>
        </is>
      </c>
    </row>
    <row r="964" ht="38.25" customHeight="1">
      <c r="A964" t="inlineStr">
        <is>
          <t>359*不限专业通用含内容大学生职业规划PPT模板〔原创插画ppt〕</t>
        </is>
      </c>
      <c r="B964" t="inlineStr">
        <is>
          <t>recv8r6runAfqX.jpg</t>
        </is>
      </c>
      <c r="C964" s="2" t="str">
        <f>=HYPERLINK("https://xhslink.com/m/3HtWv89oz4O", "https://xhslink.com/m/3HtWv89oz4O")</f>
        <v>https://xhslink.com/m/3HtWv89oz4O</v>
      </c>
      <c r="D964"/>
      <c r="E964">
        <v>2223</v>
      </c>
      <c r="F964">
        <v>8.88</v>
      </c>
      <c r="G964"/>
      <c r="H964"/>
      <c r="I964">
        <v>1000</v>
      </c>
      <c r="J964"/>
      <c r="K964" t="inlineStr">
        <is>
          <t>PPT</t>
        </is>
      </c>
      <c r="L964"/>
      <c r="M964" t="inlineStr">
        <is>
          <t>小渔Eudora的店</t>
        </is>
      </c>
      <c r="N964">
        <v>24000</v>
      </c>
      <c r="O964">
        <v>4.37</v>
      </c>
      <c r="P964">
        <v>42000</v>
      </c>
      <c r="Q964" t="inlineStr">
        <is>
          <t>68d4cf11e0f3b20001ac1899</t>
        </is>
      </c>
      <c r="R964" t="inlineStr">
        <is>
          <t>🚫重复</t>
        </is>
      </c>
      <c r="S964" t="inlineStr">
        <is>
          <t>PPT模板</t>
        </is>
      </c>
      <c r="T964" t="inlineStr">
        <is>
          <t>0.09</t>
        </is>
      </c>
      <c r="U964" s="3">
        <v>46112.78107638889</v>
      </c>
      <c r="V964" t="inlineStr">
        <is>
          <t>虚拟产品</t>
        </is>
      </c>
      <c r="W964" s="3">
        <v>46038</v>
      </c>
      <c r="X964" t="inlineStr">
        <is>
          <t>01</t>
        </is>
      </c>
      <c r="Y964" t="inlineStr">
        <is>
          <t>2026-Q1</t>
        </is>
      </c>
    </row>
    <row r="965" ht="38.25" customHeight="1">
      <c r="A965" t="inlineStr">
        <is>
          <t>自动秒发货！四上数学课件PPT+教学设计（人教版）</t>
        </is>
      </c>
      <c r="B965" t="inlineStr">
        <is>
          <t>recv8r6rundtTd.jpg</t>
        </is>
      </c>
      <c r="C965" s="2" t="str">
        <f>=HYPERLINK("https://xhslink.com/m/AJq4kUj2dKS", "https://xhslink.com/m/AJq4kUj2dKS")</f>
        <v>https://xhslink.com/m/AJq4kUj2dKS</v>
      </c>
      <c r="D965"/>
      <c r="E965">
        <v>2240</v>
      </c>
      <c r="F965">
        <v>6.9</v>
      </c>
      <c r="G965"/>
      <c r="H965"/>
      <c r="I965">
        <v>1000</v>
      </c>
      <c r="J965"/>
      <c r="K965" t="inlineStr">
        <is>
          <t>PPT</t>
        </is>
      </c>
      <c r="L965"/>
      <c r="M965" t="inlineStr">
        <is>
          <t>小纸盒PPT的店</t>
        </is>
      </c>
      <c r="N965">
        <v>11000</v>
      </c>
      <c r="O965">
        <v>4.22</v>
      </c>
      <c r="P965">
        <v>47000</v>
      </c>
      <c r="Q965" t="inlineStr">
        <is>
          <t>68b07a809a16410001561a5b</t>
        </is>
      </c>
      <c r="R965" t="inlineStr">
        <is>
          <t>🚫重复</t>
        </is>
      </c>
      <c r="S965" t="inlineStr">
        <is>
          <t>中小学教辅/教材</t>
        </is>
      </c>
      <c r="T965" t="inlineStr">
        <is>
          <t>0.20</t>
        </is>
      </c>
      <c r="U965" s="3">
        <v>46112.78107638889</v>
      </c>
      <c r="V965" t="inlineStr">
        <is>
          <t>虚拟产品</t>
        </is>
      </c>
      <c r="W965" s="3">
        <v>46038</v>
      </c>
      <c r="X965" t="inlineStr">
        <is>
          <t>01</t>
        </is>
      </c>
      <c r="Y965" t="inlineStr">
        <is>
          <t>2026-Q1</t>
        </is>
      </c>
    </row>
    <row r="966" ht="38.25" customHeight="1">
      <c r="A966" t="inlineStr">
        <is>
          <t>ppt · 高端动态｜大学生职业规划</t>
        </is>
      </c>
      <c r="B966" t="inlineStr">
        <is>
          <t>recv8r6runQLTV.jpg</t>
        </is>
      </c>
      <c r="C966" s="2" t="str">
        <f>=HYPERLINK("https://xhslink.com/m/3qP0kelmis", "https://xhslink.com/m/3qP0kelmis")</f>
        <v>https://xhslink.com/m/3qP0kelmis</v>
      </c>
      <c r="D966"/>
      <c r="E966">
        <v>2210</v>
      </c>
      <c r="F966">
        <v>13.99</v>
      </c>
      <c r="G966"/>
      <c r="H966"/>
      <c r="I966">
        <v>800</v>
      </c>
      <c r="J966"/>
      <c r="K966" t="inlineStr">
        <is>
          <t>PPT</t>
        </is>
      </c>
      <c r="L966"/>
      <c r="M966" t="inlineStr">
        <is>
          <t>我做个p的店</t>
        </is>
      </c>
      <c r="N966">
        <v>4051</v>
      </c>
      <c r="O966">
        <v>3.81</v>
      </c>
      <c r="P966">
        <v>19000</v>
      </c>
      <c r="Q966" t="inlineStr">
        <is>
          <t>673846306189c20001c8cddd</t>
        </is>
      </c>
      <c r="R966"/>
      <c r="S966" t="inlineStr">
        <is>
          <t>PPT模板</t>
        </is>
      </c>
      <c r="T966" t="inlineStr">
        <is>
          <t>0.55</t>
        </is>
      </c>
      <c r="U966" s="3">
        <v>46112.78107638889</v>
      </c>
      <c r="V966" t="inlineStr">
        <is>
          <t>虚拟产品</t>
        </is>
      </c>
      <c r="W966" s="3">
        <v>46038</v>
      </c>
      <c r="X966" t="inlineStr">
        <is>
          <t>01</t>
        </is>
      </c>
      <c r="Y966" t="inlineStr">
        <is>
          <t>2026-Q1</t>
        </is>
      </c>
    </row>
    <row r="967" ht="38.25" customHeight="1">
      <c r="A967" t="inlineStr">
        <is>
          <t>国赛金奖ppt模板大学生创新创业比赛参考ppt案例 可编辑 挑战杯</t>
        </is>
      </c>
      <c r="B967" t="inlineStr">
        <is>
          <t>recv8r6runvDDL.jpg</t>
        </is>
      </c>
      <c r="C967" s="2" t="str">
        <f>=HYPERLINK("https://xhslink.com/m/8EUypgVVYxT", "https://xhslink.com/m/8EUypgVVYxT")</f>
        <v>https://xhslink.com/m/8EUypgVVYxT</v>
      </c>
      <c r="D967"/>
      <c r="E967">
        <v>2186</v>
      </c>
      <c r="F967">
        <v>4.99</v>
      </c>
      <c r="G967"/>
      <c r="H967"/>
      <c r="I967">
        <v>900</v>
      </c>
      <c r="J967"/>
      <c r="K967" t="inlineStr">
        <is>
          <t>PPT</t>
        </is>
      </c>
      <c r="L967" t="inlineStr">
        <is>
          <t>🔥低粉爆款</t>
        </is>
      </c>
      <c r="M967" t="inlineStr">
        <is>
          <t>腿毛大帝的店</t>
        </is>
      </c>
      <c r="N967">
        <v>408</v>
      </c>
      <c r="O967">
        <v>4.17</v>
      </c>
      <c r="P967">
        <v>5322</v>
      </c>
      <c r="Q967" t="inlineStr">
        <is>
          <t>6845b5e7fab3990001ad5c49</t>
        </is>
      </c>
      <c r="R967" t="inlineStr">
        <is>
          <t>🚫重复</t>
        </is>
      </c>
      <c r="S967" t="inlineStr">
        <is>
          <t>PPT模板</t>
        </is>
      </c>
      <c r="T967" t="inlineStr">
        <is>
          <t>5.36</t>
        </is>
      </c>
      <c r="U967" s="3">
        <v>46112.78107638889</v>
      </c>
      <c r="V967" t="inlineStr">
        <is>
          <t>虚拟产品</t>
        </is>
      </c>
      <c r="W967" s="3">
        <v>46038</v>
      </c>
      <c r="X967" t="inlineStr">
        <is>
          <t>01</t>
        </is>
      </c>
      <c r="Y967" t="inlineStr">
        <is>
          <t>2026-Q1</t>
        </is>
      </c>
    </row>
    <row r="968" ht="38.25" customHeight="1">
      <c r="A968" t="inlineStr">
        <is>
          <t>OTHER · ppt模板下载高级感素材高端动态工作计划高质量简约商务</t>
        </is>
      </c>
      <c r="B968" t="inlineStr">
        <is>
          <t>recv8r6runGdpp.jpg</t>
        </is>
      </c>
      <c r="C968" s="2" t="str">
        <f>=HYPERLINK("https://xhslink.com/m/6Jffv8yx4hP", "https://xhslink.com/m/6Jffv8yx4hP")</f>
        <v>https://xhslink.com/m/6Jffv8yx4hP</v>
      </c>
      <c r="D968"/>
      <c r="E968">
        <v>2195</v>
      </c>
      <c r="F968">
        <v>5.99</v>
      </c>
      <c r="G968"/>
      <c r="H968"/>
      <c r="I968">
        <v>500</v>
      </c>
      <c r="J968"/>
      <c r="K968" t="inlineStr">
        <is>
          <t>PPT</t>
        </is>
      </c>
      <c r="L968"/>
      <c r="M968" t="inlineStr">
        <is>
          <t>小鸭子PPT的店</t>
        </is>
      </c>
      <c r="N968">
        <v>1344</v>
      </c>
      <c r="O968">
        <v>4.3</v>
      </c>
      <c r="P968">
        <v>3154</v>
      </c>
      <c r="Q968" t="inlineStr">
        <is>
          <t>647b77d8ff877400016d29be</t>
        </is>
      </c>
      <c r="R968"/>
      <c r="S968" t="inlineStr">
        <is>
          <t>PPT模板</t>
        </is>
      </c>
      <c r="T968" t="inlineStr">
        <is>
          <t>1.63</t>
        </is>
      </c>
      <c r="U968" s="3">
        <v>46112.78107638889</v>
      </c>
      <c r="V968" t="inlineStr">
        <is>
          <t>虚拟产品</t>
        </is>
      </c>
      <c r="W968" s="3">
        <v>46038</v>
      </c>
      <c r="X968" t="inlineStr">
        <is>
          <t>01</t>
        </is>
      </c>
      <c r="Y968" t="inlineStr">
        <is>
          <t>2026-Q1</t>
        </is>
      </c>
    </row>
    <row r="969" ht="38.25" customHeight="1">
      <c r="A969" t="inlineStr">
        <is>
          <t>【PPT随机点名神器】课堂互动一键抽选学生/同事姓名可插入PPT中</t>
        </is>
      </c>
      <c r="B969" t="inlineStr">
        <is>
          <t>recv8r6runXasW.jpg</t>
        </is>
      </c>
      <c r="C969" s="2" t="str">
        <f>=HYPERLINK("https://xhslink.com/m/13VNimQpppj", "https://xhslink.com/m/13VNimQpppj")</f>
        <v>https://xhslink.com/m/13VNimQpppj</v>
      </c>
      <c r="D969"/>
      <c r="E969">
        <v>2157</v>
      </c>
      <c r="F969">
        <v>4.8</v>
      </c>
      <c r="G969"/>
      <c r="H969"/>
      <c r="I969">
        <v>400</v>
      </c>
      <c r="J969"/>
      <c r="K969" t="inlineStr">
        <is>
          <t>PPT</t>
        </is>
      </c>
      <c r="L969"/>
      <c r="M969" t="inlineStr">
        <is>
          <t>艺林PPT的店</t>
        </is>
      </c>
      <c r="N969">
        <v>1157</v>
      </c>
      <c r="O969">
        <v>4.4</v>
      </c>
      <c r="P969">
        <v>7382</v>
      </c>
      <c r="Q969" t="inlineStr">
        <is>
          <t>67dd385ee317a300016a295b</t>
        </is>
      </c>
      <c r="R969" t="inlineStr">
        <is>
          <t>🚫重复</t>
        </is>
      </c>
      <c r="S969" t="inlineStr">
        <is>
          <t>PPT模板</t>
        </is>
      </c>
      <c r="T969" t="inlineStr">
        <is>
          <t>1.86</t>
        </is>
      </c>
      <c r="U969" s="3">
        <v>46112.78107638889</v>
      </c>
      <c r="V969" t="inlineStr">
        <is>
          <t>虚拟产品</t>
        </is>
      </c>
      <c r="W969" s="3">
        <v>46038</v>
      </c>
      <c r="X969" t="inlineStr">
        <is>
          <t>01</t>
        </is>
      </c>
      <c r="Y969" t="inlineStr">
        <is>
          <t>2026-Q1</t>
        </is>
      </c>
    </row>
    <row r="970" ht="38.25" customHeight="1">
      <c r="A970" t="inlineStr">
        <is>
          <t>A11|成长赛道大学生职业生涯规划PPT+PDF hellokitty26页旅游管理</t>
        </is>
      </c>
      <c r="B970" t="inlineStr">
        <is>
          <t>recv8r6runn6At.jpg</t>
        </is>
      </c>
      <c r="C970" s="2" t="str">
        <f>=HYPERLINK("https://xhslink.com/m/6FnKr5Y3Awg", "https://xhslink.com/m/6FnKr5Y3Awg")</f>
        <v>https://xhslink.com/m/6FnKr5Y3Awg</v>
      </c>
      <c r="D970"/>
      <c r="E970">
        <v>2150</v>
      </c>
      <c r="F970">
        <v>4.99</v>
      </c>
      <c r="G970"/>
      <c r="H970"/>
      <c r="I970">
        <v>900</v>
      </c>
      <c r="J970"/>
      <c r="K970" t="inlineStr">
        <is>
          <t>PPT</t>
        </is>
      </c>
      <c r="L970"/>
      <c r="M970" t="inlineStr">
        <is>
          <t>麦子小姐ppt的店</t>
        </is>
      </c>
      <c r="N970">
        <v>23000</v>
      </c>
      <c r="O970">
        <v>4.35</v>
      </c>
      <c r="P970">
        <v>81000</v>
      </c>
      <c r="Q970" t="inlineStr">
        <is>
          <t>6747dd7d342aea00017fc52d</t>
        </is>
      </c>
      <c r="R970" t="inlineStr">
        <is>
          <t>🚫重复</t>
        </is>
      </c>
      <c r="S970" t="inlineStr">
        <is>
          <t>PPT模板</t>
        </is>
      </c>
      <c r="T970" t="inlineStr">
        <is>
          <t>0.09</t>
        </is>
      </c>
      <c r="U970" s="3">
        <v>46112.78107638889</v>
      </c>
      <c r="V970" t="inlineStr">
        <is>
          <t>虚拟产品</t>
        </is>
      </c>
      <c r="W970" s="3">
        <v>46038</v>
      </c>
      <c r="X970" t="inlineStr">
        <is>
          <t>01</t>
        </is>
      </c>
      <c r="Y970" t="inlineStr">
        <is>
          <t>2026-Q1</t>
        </is>
      </c>
    </row>
    <row r="971" ht="38.25" customHeight="1">
      <c r="A971" t="inlineStr">
        <is>
          <t>【1125】实习总结工作汇报通用20页可编辑PPT模板</t>
        </is>
      </c>
      <c r="B971" t="inlineStr">
        <is>
          <t>recv8r6runURjv.jpg</t>
        </is>
      </c>
      <c r="C971" s="2" t="str">
        <f>=HYPERLINK("https://xhslink.com/m/Ai0DzxT9zZU", "https://xhslink.com/m/Ai0DzxT9zZU")</f>
        <v>https://xhslink.com/m/Ai0DzxT9zZU</v>
      </c>
      <c r="D971"/>
      <c r="E971">
        <v>487</v>
      </c>
      <c r="F971">
        <v>3.9</v>
      </c>
      <c r="G971"/>
      <c r="H971"/>
      <c r="I971">
        <v>300</v>
      </c>
      <c r="J971"/>
      <c r="K971" t="inlineStr">
        <is>
          <t>PPT</t>
        </is>
      </c>
      <c r="L971"/>
      <c r="M971" t="inlineStr">
        <is>
          <t>慕渔PPT的店</t>
        </is>
      </c>
      <c r="N971">
        <v>2474</v>
      </c>
      <c r="O971">
        <v>4.36</v>
      </c>
      <c r="P971">
        <v>25000</v>
      </c>
      <c r="Q971" t="inlineStr">
        <is>
          <t>68a58ff94dbac2000198631d</t>
        </is>
      </c>
      <c r="R971" t="inlineStr">
        <is>
          <t>🚫重复</t>
        </is>
      </c>
      <c r="S971" t="inlineStr">
        <is>
          <t>PPT模板</t>
        </is>
      </c>
      <c r="T971" t="inlineStr">
        <is>
          <t>0.20</t>
        </is>
      </c>
      <c r="U971" s="3">
        <v>46112.78107638889</v>
      </c>
      <c r="V971" t="inlineStr">
        <is>
          <t>虚拟产品</t>
        </is>
      </c>
      <c r="W971" s="3">
        <v>46038</v>
      </c>
      <c r="X971" t="inlineStr">
        <is>
          <t>01</t>
        </is>
      </c>
      <c r="Y971" t="inlineStr">
        <is>
          <t>2026-Q1</t>
        </is>
      </c>
    </row>
    <row r="972" ht="38.25" customHeight="1">
      <c r="A972" t="inlineStr">
        <is>
          <t>401号：四上习作单/课件</t>
        </is>
      </c>
      <c r="B972" t="inlineStr">
        <is>
          <t>recv8r6runHPhW.jpg</t>
        </is>
      </c>
      <c r="C972" s="2" t="str">
        <f>=HYPERLINK("https://xhslink.com/m/6fM0lOj6BWL", "https://xhslink.com/m/6fM0lOj6BWL")</f>
        <v>https://xhslink.com/m/6fM0lOj6BWL</v>
      </c>
      <c r="D972"/>
      <c r="E972">
        <v>33000</v>
      </c>
      <c r="F972">
        <v>4</v>
      </c>
      <c r="G972"/>
      <c r="H972"/>
      <c r="I972">
        <v>5000</v>
      </c>
      <c r="J972"/>
      <c r="K972" t="inlineStr">
        <is>
          <t>PPT</t>
        </is>
      </c>
      <c r="L972"/>
      <c r="M972" t="inlineStr">
        <is>
          <t>张主任的情报库的店</t>
        </is>
      </c>
      <c r="N972">
        <v>28000</v>
      </c>
      <c r="O972">
        <v>4.58</v>
      </c>
      <c r="P972">
        <v>220000</v>
      </c>
      <c r="Q972" t="inlineStr">
        <is>
          <t>692707f0b8c508000183a284</t>
        </is>
      </c>
      <c r="R972" t="inlineStr">
        <is>
          <t>🚫重复</t>
        </is>
      </c>
      <c r="S972" t="inlineStr">
        <is>
          <t>中小学教辅/教材</t>
        </is>
      </c>
      <c r="T972" t="inlineStr">
        <is>
          <t>1.18</t>
        </is>
      </c>
      <c r="U972" s="3">
        <v>46112.78107638889</v>
      </c>
      <c r="V972" t="inlineStr">
        <is>
          <t>虚拟产品</t>
        </is>
      </c>
      <c r="W972" s="3">
        <v>46038</v>
      </c>
      <c r="X972" t="inlineStr">
        <is>
          <t>01</t>
        </is>
      </c>
      <c r="Y972" t="inlineStr">
        <is>
          <t>2026-Q1</t>
        </is>
      </c>
    </row>
    <row r="973" ht="38.25" customHeight="1">
      <c r="A973" t="inlineStr">
        <is>
          <t>三无大学生全套模版丨个人简历模板（整理费）丨网盘链接发货</t>
        </is>
      </c>
      <c r="B973" t="inlineStr">
        <is>
          <t>recv8r6runtEop.jpg</t>
        </is>
      </c>
      <c r="C973" s="2" t="str">
        <f>=HYPERLINK("https://xhslink.com/m/8E585vtFixL", "https://xhslink.com/m/8E585vtFixL")</f>
        <v>https://xhslink.com/m/8E585vtFixL</v>
      </c>
      <c r="D973"/>
      <c r="E973">
        <v>16000</v>
      </c>
      <c r="F973">
        <v>0.99</v>
      </c>
      <c r="G973"/>
      <c r="H973"/>
      <c r="I973">
        <v>6000</v>
      </c>
      <c r="J973"/>
      <c r="K973" t="inlineStr">
        <is>
          <t>PPT</t>
        </is>
      </c>
      <c r="L973" t="inlineStr">
        <is>
          <t>🔥低粉爆款</t>
        </is>
      </c>
      <c r="M973" t="inlineStr">
        <is>
          <t>小禾素材的店</t>
        </is>
      </c>
      <c r="N973">
        <v>661</v>
      </c>
      <c r="O973">
        <v>4.16</v>
      </c>
      <c r="P973">
        <v>19000</v>
      </c>
      <c r="Q973" t="inlineStr">
        <is>
          <t>67f5e1f08c17470001de32d0</t>
        </is>
      </c>
      <c r="R973" t="inlineStr">
        <is>
          <t>🚫重复</t>
        </is>
      </c>
      <c r="S973" t="inlineStr">
        <is>
          <t>求职面试/职场</t>
        </is>
      </c>
      <c r="T973" t="inlineStr">
        <is>
          <t>24.21</t>
        </is>
      </c>
      <c r="U973" s="3">
        <v>46112.78107638889</v>
      </c>
      <c r="V973" t="inlineStr">
        <is>
          <t>虚拟产品</t>
        </is>
      </c>
      <c r="W973" s="3">
        <v>46038</v>
      </c>
      <c r="X973" t="inlineStr">
        <is>
          <t>01</t>
        </is>
      </c>
      <c r="Y973" t="inlineStr">
        <is>
          <t>2026-Q1</t>
        </is>
      </c>
    </row>
    <row r="974" ht="38.25" customHeight="1">
      <c r="A974" t="inlineStr">
        <is>
          <t>笔记内全店任选一套</t>
        </is>
      </c>
      <c r="B974" t="inlineStr">
        <is>
          <t>recv8r6runR7Cw.jpg</t>
        </is>
      </c>
      <c r="C974" s="2" t="str">
        <f>=HYPERLINK("https://xhslink.com/m/9Lku3o9FtgB", "https://xhslink.com/m/9Lku3o9FtgB")</f>
        <v>https://xhslink.com/m/9Lku3o9FtgB</v>
      </c>
      <c r="D974"/>
      <c r="E974">
        <v>7099</v>
      </c>
      <c r="F974">
        <v>19.9</v>
      </c>
      <c r="G974"/>
      <c r="H974"/>
      <c r="I974">
        <v>600</v>
      </c>
      <c r="J974"/>
      <c r="K974" t="inlineStr">
        <is>
          <t>PPT</t>
        </is>
      </c>
      <c r="L974" t="inlineStr">
        <is>
          <t>🔥低粉爆款</t>
        </is>
      </c>
      <c r="M974" t="inlineStr">
        <is>
          <t>夕夕兮的店</t>
        </is>
      </c>
      <c r="N974">
        <v>1654</v>
      </c>
      <c r="O974">
        <v>4.38</v>
      </c>
      <c r="P974">
        <v>7587</v>
      </c>
      <c r="Q974" t="inlineStr">
        <is>
          <t>667ad483465bc30001b085cd</t>
        </is>
      </c>
      <c r="R974"/>
      <c r="S974" t="inlineStr">
        <is>
          <t>无匹配类别</t>
        </is>
      </c>
      <c r="T974" t="inlineStr">
        <is>
          <t>4.29</t>
        </is>
      </c>
      <c r="U974" s="3">
        <v>46112.78107638889</v>
      </c>
      <c r="V974" t="inlineStr">
        <is>
          <t>虚拟产品</t>
        </is>
      </c>
      <c r="W974" s="3">
        <v>46038</v>
      </c>
      <c r="X974" t="inlineStr">
        <is>
          <t>01</t>
        </is>
      </c>
      <c r="Y974" t="inlineStr">
        <is>
          <t>2026-Q1</t>
        </is>
      </c>
    </row>
    <row r="975" ht="38.25" customHeight="1">
      <c r="A975" t="inlineStr">
        <is>
          <t>ps ai字体包库cdr毛笔书法艺术卡通中文ppt字体下载pr设计素材mac</t>
        </is>
      </c>
      <c r="B975" t="inlineStr">
        <is>
          <t>recv8r6runSuQB.jpg</t>
        </is>
      </c>
      <c r="C975" s="2" t="str">
        <f>=HYPERLINK("https://xhslink.com/m/7D7gIycQp8J", "https://xhslink.com/m/7D7gIycQp8J")</f>
        <v>https://xhslink.com/m/7D7gIycQp8J</v>
      </c>
      <c r="D975"/>
      <c r="E975">
        <v>10000</v>
      </c>
      <c r="F975">
        <v>4.5</v>
      </c>
      <c r="G975"/>
      <c r="H975"/>
      <c r="I975">
        <v>1000</v>
      </c>
      <c r="J975"/>
      <c r="K975" t="inlineStr">
        <is>
          <t>PPT</t>
        </is>
      </c>
      <c r="L975" t="inlineStr">
        <is>
          <t>🔥低粉爆款</t>
        </is>
      </c>
      <c r="M975" t="inlineStr">
        <is>
          <t>印象派素材的店</t>
        </is>
      </c>
      <c r="N975">
        <v>2440</v>
      </c>
      <c r="O975">
        <v>4.51</v>
      </c>
      <c r="P975">
        <v>36000</v>
      </c>
      <c r="Q975" t="inlineStr">
        <is>
          <t>66a8b3ebbe6e8b0001127347</t>
        </is>
      </c>
      <c r="R975" t="inlineStr">
        <is>
          <t>🚫重复</t>
        </is>
      </c>
      <c r="S975" t="inlineStr">
        <is>
          <t>设计素材</t>
        </is>
      </c>
      <c r="T975" t="inlineStr">
        <is>
          <t>4.10</t>
        </is>
      </c>
      <c r="U975" s="3">
        <v>46112.78107638889</v>
      </c>
      <c r="V975" t="inlineStr">
        <is>
          <t>虚拟产品</t>
        </is>
      </c>
      <c r="W975" s="3">
        <v>46038</v>
      </c>
      <c r="X975" t="inlineStr">
        <is>
          <t>01</t>
        </is>
      </c>
      <c r="Y975" t="inlineStr">
        <is>
          <t>2026-Q1</t>
        </is>
      </c>
    </row>
    <row r="976" ht="38.25" customHeight="1">
      <c r="A976" t="inlineStr">
        <is>
          <t>201号：二上写话课件/写话单</t>
        </is>
      </c>
      <c r="B976" t="inlineStr">
        <is>
          <t>recv8r6run6TpS.jpg</t>
        </is>
      </c>
      <c r="C976" s="2" t="str">
        <f>=HYPERLINK("https://xhslink.com/m/5Hzajxv6rHr", "https://xhslink.com/m/5Hzajxv6rHr")</f>
        <v>https://xhslink.com/m/5Hzajxv6rHr</v>
      </c>
      <c r="D976"/>
      <c r="E976">
        <v>8890</v>
      </c>
      <c r="F976">
        <v>4</v>
      </c>
      <c r="G976"/>
      <c r="H976"/>
      <c r="I976">
        <v>2000</v>
      </c>
      <c r="J976"/>
      <c r="K976" t="inlineStr">
        <is>
          <t>PPT</t>
        </is>
      </c>
      <c r="L976"/>
      <c r="M976" t="inlineStr">
        <is>
          <t>张主任的情报库的店</t>
        </is>
      </c>
      <c r="N976">
        <v>28000</v>
      </c>
      <c r="O976">
        <v>4.58</v>
      </c>
      <c r="P976">
        <v>220000</v>
      </c>
      <c r="Q976" t="inlineStr">
        <is>
          <t>6931b012137a3b0001228f89</t>
        </is>
      </c>
      <c r="R976" t="inlineStr">
        <is>
          <t>🚫重复</t>
        </is>
      </c>
      <c r="S976" t="inlineStr">
        <is>
          <t>中小学教辅/教材</t>
        </is>
      </c>
      <c r="T976" t="inlineStr">
        <is>
          <t>0.32</t>
        </is>
      </c>
      <c r="U976" s="3">
        <v>46112.78107638889</v>
      </c>
      <c r="V976" t="inlineStr">
        <is>
          <t>虚拟产品</t>
        </is>
      </c>
      <c r="W976" s="3">
        <v>46038</v>
      </c>
      <c r="X976" t="inlineStr">
        <is>
          <t>01</t>
        </is>
      </c>
      <c r="Y976" t="inlineStr">
        <is>
          <t>2026-Q1</t>
        </is>
      </c>
    </row>
    <row r="977" ht="38.25" customHeight="1">
      <c r="A977" t="inlineStr">
        <is>
          <t>WPS超级会员ai大会员一天vip1天pdf转word文档个人简历PPT模版</t>
        </is>
      </c>
      <c r="B977" t="inlineStr">
        <is>
          <t>recv8r6run5KCM.jpg</t>
        </is>
      </c>
      <c r="C977" s="2" t="str">
        <f>=HYPERLINK("https://xhslink.com/m/9zPE3HAIpvY", "https://xhslink.com/m/9zPE3HAIpvY")</f>
        <v>https://xhslink.com/m/9zPE3HAIpvY</v>
      </c>
      <c r="D977"/>
      <c r="E977">
        <v>7984</v>
      </c>
      <c r="F977">
        <v>4.49</v>
      </c>
      <c r="G977"/>
      <c r="H977"/>
      <c r="I977">
        <v>4000</v>
      </c>
      <c r="J977"/>
      <c r="K977" t="inlineStr">
        <is>
          <t>PPT</t>
        </is>
      </c>
      <c r="L977" t="inlineStr">
        <is>
          <t>🔥低粉爆款</t>
        </is>
      </c>
      <c r="M977" t="inlineStr">
        <is>
          <t>超级会员WPS的店</t>
        </is>
      </c>
      <c r="N977">
        <v>771</v>
      </c>
      <c r="O977">
        <v>4.42</v>
      </c>
      <c r="P977">
        <v>85000</v>
      </c>
      <c r="Q977" t="inlineStr">
        <is>
          <t>6937ddc97ca56300011c0a37</t>
        </is>
      </c>
      <c r="R977" t="inlineStr">
        <is>
          <t>🚫重复</t>
        </is>
      </c>
      <c r="S977" t="inlineStr">
        <is>
          <t>PPT模板</t>
        </is>
      </c>
      <c r="T977" t="inlineStr">
        <is>
          <t>10.36</t>
        </is>
      </c>
      <c r="U977" s="3">
        <v>46112.78107638889</v>
      </c>
      <c r="V977" t="inlineStr">
        <is>
          <t>虚拟产品</t>
        </is>
      </c>
      <c r="W977" s="3">
        <v>46038</v>
      </c>
      <c r="X977" t="inlineStr">
        <is>
          <t>01</t>
        </is>
      </c>
      <c r="Y977" t="inlineStr">
        <is>
          <t>2026-Q1</t>
        </is>
      </c>
    </row>
    <row r="978" ht="38.25" customHeight="1">
      <c r="A978" t="inlineStr">
        <is>
          <t>2025新人教英语课件｜七上/七下/八上/八下｜单课时拍下请备注</t>
        </is>
      </c>
      <c r="B978" t="inlineStr">
        <is>
          <t>recv8r6runhYE7.jpg</t>
        </is>
      </c>
      <c r="C978" s="2" t="str">
        <f>=HYPERLINK("https://xhslink.com/m/AAfoTuYBCO4", "https://xhslink.com/m/AAfoTuYBCO4")</f>
        <v>https://xhslink.com/m/AAfoTuYBCO4</v>
      </c>
      <c r="D978"/>
      <c r="E978">
        <v>6860</v>
      </c>
      <c r="F978">
        <v>25</v>
      </c>
      <c r="G978"/>
      <c r="H978"/>
      <c r="I978">
        <v>2000</v>
      </c>
      <c r="J978"/>
      <c r="K978" t="inlineStr">
        <is>
          <t>PPT</t>
        </is>
      </c>
      <c r="L978"/>
      <c r="M978" t="inlineStr">
        <is>
          <t>Christina在努力的店</t>
        </is>
      </c>
      <c r="N978">
        <v>13000</v>
      </c>
      <c r="O978">
        <v>4.51</v>
      </c>
      <c r="P978">
        <v>25000</v>
      </c>
      <c r="Q978" t="inlineStr">
        <is>
          <t>691324cc58a96d0001ddf64d</t>
        </is>
      </c>
      <c r="R978" t="inlineStr">
        <is>
          <t>🚫重复</t>
        </is>
      </c>
      <c r="S978" t="inlineStr">
        <is>
          <t>中小学教辅/教材</t>
        </is>
      </c>
      <c r="T978" t="inlineStr">
        <is>
          <t>0.53</t>
        </is>
      </c>
      <c r="U978" s="3">
        <v>46112.78107638889</v>
      </c>
      <c r="V978" t="inlineStr">
        <is>
          <t>虚拟产品</t>
        </is>
      </c>
      <c r="W978" s="3">
        <v>46038</v>
      </c>
      <c r="X978" t="inlineStr">
        <is>
          <t>01</t>
        </is>
      </c>
      <c r="Y978" t="inlineStr">
        <is>
          <t>2026-Q1</t>
        </is>
      </c>
    </row>
    <row r="979" ht="38.25" customHeight="1">
      <c r="A979" t="inlineStr">
        <is>
          <t>办公软件 自动发货 永久使用Word excle ppt</t>
        </is>
      </c>
      <c r="B979" t="inlineStr">
        <is>
          <t>recv8r6runPJIF.jpg</t>
        </is>
      </c>
      <c r="C979" s="2" t="str">
        <f>=HYPERLINK("https://xhslink.com/m/1F9CDPDpUki", "https://xhslink.com/m/1F9CDPDpUki")</f>
        <v>https://xhslink.com/m/1F9CDPDpUki</v>
      </c>
      <c r="D979"/>
      <c r="E979">
        <v>6512</v>
      </c>
      <c r="F979">
        <v>3.99</v>
      </c>
      <c r="G979"/>
      <c r="H979"/>
      <c r="I979">
        <v>1000</v>
      </c>
      <c r="J979"/>
      <c r="K979" t="inlineStr">
        <is>
          <t>PPT</t>
        </is>
      </c>
      <c r="L979"/>
      <c r="M979" t="inlineStr">
        <is>
          <t>瑶瑶的软件安装的店</t>
        </is>
      </c>
      <c r="N979">
        <v>3059</v>
      </c>
      <c r="O979">
        <v>4.35</v>
      </c>
      <c r="P979">
        <v>50000</v>
      </c>
      <c r="Q979" t="inlineStr">
        <is>
          <t>6853574f6d19100001d9c37c</t>
        </is>
      </c>
      <c r="R979" t="inlineStr">
        <is>
          <t>🚫重复</t>
        </is>
      </c>
      <c r="S979" t="inlineStr">
        <is>
          <t>PPT模板</t>
        </is>
      </c>
      <c r="T979" t="inlineStr">
        <is>
          <t>2.13</t>
        </is>
      </c>
      <c r="U979" s="3">
        <v>46112.78107638889</v>
      </c>
      <c r="V979" t="inlineStr">
        <is>
          <t>虚拟产品</t>
        </is>
      </c>
      <c r="W979" s="3">
        <v>46038</v>
      </c>
      <c r="X979" t="inlineStr">
        <is>
          <t>01</t>
        </is>
      </c>
      <c r="Y979" t="inlineStr">
        <is>
          <t>2026-Q1</t>
        </is>
      </c>
    </row>
    <row r="980" ht="38.25" customHeight="1">
      <c r="A980" t="inlineStr">
        <is>
          <t>ppt · WPS超级会员PPT模板PDF格式转换</t>
        </is>
      </c>
      <c r="B980" t="inlineStr">
        <is>
          <t>recv8r6runao15.jpg</t>
        </is>
      </c>
      <c r="C980" s="2" t="str">
        <f>=HYPERLINK("https://xhslink.com/m/2ELil1DzlDx", "https://xhslink.com/m/2ELil1DzlDx")</f>
        <v>https://xhslink.com/m/2ELil1DzlDx</v>
      </c>
      <c r="D980"/>
      <c r="E980">
        <v>6063</v>
      </c>
      <c r="F980">
        <v>0.79</v>
      </c>
      <c r="G980"/>
      <c r="H980"/>
      <c r="I980">
        <v>2000</v>
      </c>
      <c r="J980"/>
      <c r="K980" t="inlineStr">
        <is>
          <t>PPT</t>
        </is>
      </c>
      <c r="L980" t="inlineStr">
        <is>
          <t>🔥低粉爆款</t>
        </is>
      </c>
      <c r="M980" t="inlineStr">
        <is>
          <t>三金vip的店</t>
        </is>
      </c>
      <c r="N980">
        <v>136</v>
      </c>
      <c r="O980">
        <v>4.4</v>
      </c>
      <c r="P980">
        <v>6293</v>
      </c>
      <c r="Q980" t="inlineStr">
        <is>
          <t>69008141cdf9d6000168fcd1</t>
        </is>
      </c>
      <c r="R980" t="inlineStr">
        <is>
          <t>🚫重复</t>
        </is>
      </c>
      <c r="S980" t="inlineStr">
        <is>
          <t>PPT模板</t>
        </is>
      </c>
      <c r="T980" t="inlineStr">
        <is>
          <t>44.58</t>
        </is>
      </c>
      <c r="U980" s="3">
        <v>46112.78107638889</v>
      </c>
      <c r="V980" t="inlineStr">
        <is>
          <t>虚拟产品</t>
        </is>
      </c>
      <c r="W980" s="3">
        <v>46038</v>
      </c>
      <c r="X980" t="inlineStr">
        <is>
          <t>01</t>
        </is>
      </c>
      <c r="Y980" t="inlineStr">
        <is>
          <t>2026-Q1</t>
        </is>
      </c>
    </row>
    <row r="981" ht="38.25" customHeight="1">
      <c r="A981" t="inlineStr">
        <is>
          <t>人美版-小学美术课件-一课一拍链接</t>
        </is>
      </c>
      <c r="B981" t="inlineStr">
        <is>
          <t>recv8r6runJgcW.jpg</t>
        </is>
      </c>
      <c r="C981" s="2" t="str">
        <f>=HYPERLINK("https://xhslink.com/m/2YcTaaf3nf4", "https://xhslink.com/m/2YcTaaf3nf4")</f>
        <v>https://xhslink.com/m/2YcTaaf3nf4</v>
      </c>
      <c r="D981"/>
      <c r="E981">
        <v>5874</v>
      </c>
      <c r="F981">
        <v>5.5</v>
      </c>
      <c r="G981"/>
      <c r="H981"/>
      <c r="I981">
        <v>800</v>
      </c>
      <c r="J981"/>
      <c r="K981" t="inlineStr">
        <is>
          <t>PPT</t>
        </is>
      </c>
      <c r="L981"/>
      <c r="M981" t="inlineStr">
        <is>
          <t>元气明明的店</t>
        </is>
      </c>
      <c r="N981">
        <v>2748</v>
      </c>
      <c r="O981">
        <v>4.5</v>
      </c>
      <c r="P981">
        <v>11000</v>
      </c>
      <c r="Q981" t="inlineStr">
        <is>
          <t>66d95005e6fff40001b3cccf</t>
        </is>
      </c>
      <c r="R981"/>
      <c r="S981" t="inlineStr">
        <is>
          <t>中小学教辅/教材</t>
        </is>
      </c>
      <c r="T981" t="inlineStr">
        <is>
          <t>2.14</t>
        </is>
      </c>
      <c r="U981" s="3">
        <v>46112.78107638889</v>
      </c>
      <c r="V981" t="inlineStr">
        <is>
          <t>虚拟产品</t>
        </is>
      </c>
      <c r="W981" s="3">
        <v>46038</v>
      </c>
      <c r="X981" t="inlineStr">
        <is>
          <t>01</t>
        </is>
      </c>
      <c r="Y981" t="inlineStr">
        <is>
          <t>2026-Q1</t>
        </is>
      </c>
    </row>
    <row r="982" ht="38.25" customHeight="1">
      <c r="A982" t="inlineStr">
        <is>
          <t>2025新版三年级语文上册任务群课件ppt+教案</t>
        </is>
      </c>
      <c r="B982" t="inlineStr">
        <is>
          <t>recv8r6run4Vi7.jpg</t>
        </is>
      </c>
      <c r="C982" s="2" t="str">
        <f>=HYPERLINK("https://xhslink.com/m/3QSHv9nGl1M", "https://xhslink.com/m/3QSHv9nGl1M")</f>
        <v>https://xhslink.com/m/3QSHv9nGl1M</v>
      </c>
      <c r="D982"/>
      <c r="E982">
        <v>5001</v>
      </c>
      <c r="F982">
        <v>9.9</v>
      </c>
      <c r="G982"/>
      <c r="H982"/>
      <c r="I982">
        <v>3000</v>
      </c>
      <c r="J982"/>
      <c r="K982" t="inlineStr">
        <is>
          <t>PPT</t>
        </is>
      </c>
      <c r="L982"/>
      <c r="M982" t="inlineStr">
        <is>
          <t>卢月如的店</t>
        </is>
      </c>
      <c r="N982">
        <v>2287</v>
      </c>
      <c r="O982">
        <v>4.37</v>
      </c>
      <c r="P982">
        <v>15000</v>
      </c>
      <c r="Q982" t="inlineStr">
        <is>
          <t>68e32bba7d3b3f0001e8b40e</t>
        </is>
      </c>
      <c r="R982" t="inlineStr">
        <is>
          <t>🚫重复</t>
        </is>
      </c>
      <c r="S982" t="inlineStr">
        <is>
          <t>PPT模板</t>
        </is>
      </c>
      <c r="T982" t="inlineStr">
        <is>
          <t>2.19</t>
        </is>
      </c>
      <c r="U982" s="3">
        <v>46112.78107638889</v>
      </c>
      <c r="V982" t="inlineStr">
        <is>
          <t>虚拟产品</t>
        </is>
      </c>
      <c r="W982" s="3">
        <v>46038</v>
      </c>
      <c r="X982" t="inlineStr">
        <is>
          <t>01</t>
        </is>
      </c>
      <c r="Y982" t="inlineStr">
        <is>
          <t>2026-Q1</t>
        </is>
      </c>
    </row>
    <row r="983" ht="38.25" customHeight="1">
      <c r="A983" t="inlineStr">
        <is>
          <t>大学生职业生涯规划书成品范文PDF+WORD+PPT职业生涯展示</t>
        </is>
      </c>
      <c r="B983" t="inlineStr">
        <is>
          <t>recv8r6run4noT.jpg</t>
        </is>
      </c>
      <c r="C983" s="2" t="str">
        <f>=HYPERLINK("https://xhslink.com/m/4zZGm6j523o", "https://xhslink.com/m/4zZGm6j523o")</f>
        <v>https://xhslink.com/m/4zZGm6j523o</v>
      </c>
      <c r="D983"/>
      <c r="E983">
        <v>4979</v>
      </c>
      <c r="F983">
        <v>2.38</v>
      </c>
      <c r="G983"/>
      <c r="H983"/>
      <c r="I983">
        <v>2000</v>
      </c>
      <c r="J983"/>
      <c r="K983" t="inlineStr">
        <is>
          <t>PPT</t>
        </is>
      </c>
      <c r="L983"/>
      <c r="M983" t="inlineStr">
        <is>
          <t>赵小小的店</t>
        </is>
      </c>
      <c r="N983">
        <v>4361</v>
      </c>
      <c r="O983">
        <v>4.35</v>
      </c>
      <c r="P983">
        <v>50000</v>
      </c>
      <c r="Q983" t="inlineStr">
        <is>
          <t>67ea9cfa5020170001acfaf0</t>
        </is>
      </c>
      <c r="R983" t="inlineStr">
        <is>
          <t>🚫重复</t>
        </is>
      </c>
      <c r="S983" t="inlineStr">
        <is>
          <t>求职面试/职场</t>
        </is>
      </c>
      <c r="T983" t="inlineStr">
        <is>
          <t>1.14</t>
        </is>
      </c>
      <c r="U983" s="3">
        <v>46112.78107638889</v>
      </c>
      <c r="V983" t="inlineStr">
        <is>
          <t>虚拟产品</t>
        </is>
      </c>
      <c r="W983" s="3">
        <v>46038</v>
      </c>
      <c r="X983" t="inlineStr">
        <is>
          <t>01</t>
        </is>
      </c>
      <c r="Y983" t="inlineStr">
        <is>
          <t>2026-Q1</t>
        </is>
      </c>
    </row>
    <row r="984" ht="38.25" customHeight="1">
      <c r="A984" t="inlineStr">
        <is>
          <t>2025最新高中政治必修一课件中国特色社会主义课件逐字稿教学设计</t>
        </is>
      </c>
      <c r="B984" t="inlineStr">
        <is>
          <t>recv8r6runbfho.jpg</t>
        </is>
      </c>
      <c r="C984" s="2" t="str">
        <f>=HYPERLINK("https://xhslink.com/m/A0AjOFhzItn", "https://xhslink.com/m/A0AjOFhzItn")</f>
        <v>https://xhslink.com/m/A0AjOFhzItn</v>
      </c>
      <c r="D984"/>
      <c r="E984">
        <v>4352</v>
      </c>
      <c r="F984">
        <v>4.99</v>
      </c>
      <c r="G984"/>
      <c r="H984"/>
      <c r="I984">
        <v>900</v>
      </c>
      <c r="J984"/>
      <c r="K984" t="inlineStr">
        <is>
          <t>PPT</t>
        </is>
      </c>
      <c r="L984"/>
      <c r="M984" t="inlineStr">
        <is>
          <t>一起学政治的店</t>
        </is>
      </c>
      <c r="N984">
        <v>9315</v>
      </c>
      <c r="O984">
        <v>4.23</v>
      </c>
      <c r="P984">
        <v>18000</v>
      </c>
      <c r="Q984" t="inlineStr">
        <is>
          <t>68a1640260a5740001bf642a</t>
        </is>
      </c>
      <c r="R984" t="inlineStr">
        <is>
          <t>🚫重复</t>
        </is>
      </c>
      <c r="S984" t="inlineStr">
        <is>
          <t>中小学教辅/教材</t>
        </is>
      </c>
      <c r="T984" t="inlineStr">
        <is>
          <t>0.47</t>
        </is>
      </c>
      <c r="U984" s="3">
        <v>46112.78107638889</v>
      </c>
      <c r="V984" t="inlineStr">
        <is>
          <t>虚拟产品</t>
        </is>
      </c>
      <c r="W984" s="3">
        <v>46038</v>
      </c>
      <c r="X984" t="inlineStr">
        <is>
          <t>01</t>
        </is>
      </c>
      <c r="Y984" t="inlineStr">
        <is>
          <t>2026-Q1</t>
        </is>
      </c>
    </row>
    <row r="985" ht="38.25" customHeight="1">
      <c r="A985" t="inlineStr">
        <is>
          <t>中文古风字体安装包下载艺术海报mac书法毛笔PS/AI字体库素材PPT</t>
        </is>
      </c>
      <c r="B985" t="inlineStr">
        <is>
          <t>recv8r6runpBJI.jpg</t>
        </is>
      </c>
      <c r="C985" s="2" t="str">
        <f>=HYPERLINK("https://xhslink.com/m/5PdOl21T1uv", "https://xhslink.com/m/5PdOl21T1uv")</f>
        <v>https://xhslink.com/m/5PdOl21T1uv</v>
      </c>
      <c r="D985"/>
      <c r="E985">
        <v>4384</v>
      </c>
      <c r="F985">
        <v>3.5</v>
      </c>
      <c r="G985"/>
      <c r="H985"/>
      <c r="I985">
        <v>2000</v>
      </c>
      <c r="J985"/>
      <c r="K985" t="inlineStr">
        <is>
          <t>PPT</t>
        </is>
      </c>
      <c r="L985"/>
      <c r="M985" t="inlineStr">
        <is>
          <t>印象派素材的店</t>
        </is>
      </c>
      <c r="N985">
        <v>2440</v>
      </c>
      <c r="O985">
        <v>4.51</v>
      </c>
      <c r="P985">
        <v>36000</v>
      </c>
      <c r="Q985" t="inlineStr">
        <is>
          <t>66e3be9e6caced0001418077</t>
        </is>
      </c>
      <c r="R985" t="inlineStr">
        <is>
          <t>🚫重复</t>
        </is>
      </c>
      <c r="S985" t="inlineStr">
        <is>
          <t>设计素材</t>
        </is>
      </c>
      <c r="T985" t="inlineStr">
        <is>
          <t>1.80</t>
        </is>
      </c>
      <c r="U985" s="3">
        <v>46112.78107638889</v>
      </c>
      <c r="V985" t="inlineStr">
        <is>
          <t>虚拟产品</t>
        </is>
      </c>
      <c r="W985" s="3">
        <v>46038</v>
      </c>
      <c r="X985" t="inlineStr">
        <is>
          <t>01</t>
        </is>
      </c>
      <c r="Y985" t="inlineStr">
        <is>
          <t>2026-Q1</t>
        </is>
      </c>
    </row>
    <row r="986" ht="38.25" customHeight="1">
      <c r="A986" t="inlineStr">
        <is>
          <t>小学期中家长会（自选主题）</t>
        </is>
      </c>
      <c r="B986" t="inlineStr">
        <is>
          <t>recv8r6run9WtA.jpg</t>
        </is>
      </c>
      <c r="C986" s="2" t="str">
        <f>=HYPERLINK("https://xhslink.com/m/4TjkxiMeqO6", "https://xhslink.com/m/4TjkxiMeqO6")</f>
        <v>https://xhslink.com/m/4TjkxiMeqO6</v>
      </c>
      <c r="D986"/>
      <c r="E986">
        <v>4210</v>
      </c>
      <c r="F986">
        <v>9.9</v>
      </c>
      <c r="G986"/>
      <c r="H986"/>
      <c r="I986">
        <v>4000</v>
      </c>
      <c r="J986"/>
      <c r="K986" t="inlineStr">
        <is>
          <t>PPT</t>
        </is>
      </c>
      <c r="L986" t="inlineStr">
        <is>
          <t>🔥低粉爆款</t>
        </is>
      </c>
      <c r="M986" t="inlineStr">
        <is>
          <t>木南老师mk的店</t>
        </is>
      </c>
      <c r="N986">
        <v>446</v>
      </c>
      <c r="O986">
        <v>4.2</v>
      </c>
      <c r="P986">
        <v>5974</v>
      </c>
      <c r="Q986" t="inlineStr">
        <is>
          <t>692da50eb70fce000119d35d</t>
        </is>
      </c>
      <c r="R986" t="inlineStr">
        <is>
          <t>🚫重复</t>
        </is>
      </c>
      <c r="S986" t="inlineStr">
        <is>
          <t>老师资料</t>
        </is>
      </c>
      <c r="T986" t="inlineStr">
        <is>
          <t>9.44</t>
        </is>
      </c>
      <c r="U986" s="3">
        <v>46112.78107638889</v>
      </c>
      <c r="V986" t="inlineStr">
        <is>
          <t>虚拟产品</t>
        </is>
      </c>
      <c r="W986" s="3">
        <v>46038</v>
      </c>
      <c r="X986" t="inlineStr">
        <is>
          <t>01</t>
        </is>
      </c>
      <c r="Y986" t="inlineStr">
        <is>
          <t>2026-Q1</t>
        </is>
      </c>
    </row>
    <row r="987" ht="38.25" customHeight="1">
      <c r="A987" t="inlineStr">
        <is>
          <t>父母课堂家长学校资料（教案课件配套）主题任选其一</t>
        </is>
      </c>
      <c r="B987" t="inlineStr">
        <is>
          <t>recv8r6runmMbw.jpg</t>
        </is>
      </c>
      <c r="C987" s="2" t="str">
        <f>=HYPERLINK("https://xhslink.com/m/59Dq8Xq8L3I", "https://xhslink.com/m/59Dq8Xq8L3I")</f>
        <v>https://xhslink.com/m/59Dq8Xq8L3I</v>
      </c>
      <c r="D987"/>
      <c r="E987">
        <v>4108</v>
      </c>
      <c r="F987">
        <v>11.7</v>
      </c>
      <c r="G987"/>
      <c r="H987"/>
      <c r="I987">
        <v>1000</v>
      </c>
      <c r="J987"/>
      <c r="K987" t="inlineStr">
        <is>
          <t>PPT</t>
        </is>
      </c>
      <c r="L987"/>
      <c r="M987" t="inlineStr">
        <is>
          <t>EL（分享版）的店</t>
        </is>
      </c>
      <c r="N987">
        <v>1617</v>
      </c>
      <c r="O987">
        <v>4.48</v>
      </c>
      <c r="P987">
        <v>5115</v>
      </c>
      <c r="Q987" t="inlineStr">
        <is>
          <t>6707f5665bcbab0001524494</t>
        </is>
      </c>
      <c r="R987"/>
      <c r="S987" t="inlineStr">
        <is>
          <t>老师资料</t>
        </is>
      </c>
      <c r="T987" t="inlineStr">
        <is>
          <t>2.54</t>
        </is>
      </c>
      <c r="U987" s="3">
        <v>46112.78107638889</v>
      </c>
      <c r="V987" t="inlineStr">
        <is>
          <t>虚拟产品</t>
        </is>
      </c>
      <c r="W987" s="3">
        <v>46038</v>
      </c>
      <c r="X987" t="inlineStr">
        <is>
          <t>01</t>
        </is>
      </c>
      <c r="Y987" t="inlineStr">
        <is>
          <t>2026-Q1</t>
        </is>
      </c>
    </row>
    <row r="988" ht="38.25" customHeight="1">
      <c r="A988" t="inlineStr">
        <is>
          <t>2025秋四年级上册语文（单课）课件+教案（请勿外传，违者必究）</t>
        </is>
      </c>
      <c r="B988" t="inlineStr">
        <is>
          <t>recv8r6runlk4U.jpg</t>
        </is>
      </c>
      <c r="C988" s="2" t="str">
        <f>=HYPERLINK("https://xhslink.com/m/7phQ7XoWDXk", "https://xhslink.com/m/7phQ7XoWDXk")</f>
        <v>https://xhslink.com/m/7phQ7XoWDXk</v>
      </c>
      <c r="D988"/>
      <c r="E988">
        <v>4150</v>
      </c>
      <c r="F988">
        <v>3</v>
      </c>
      <c r="G988"/>
      <c r="H988"/>
      <c r="I988">
        <v>2000</v>
      </c>
      <c r="J988"/>
      <c r="K988" t="inlineStr">
        <is>
          <t>PPT</t>
        </is>
      </c>
      <c r="L988"/>
      <c r="M988" t="inlineStr">
        <is>
          <t>想躺平的李老师的店</t>
        </is>
      </c>
      <c r="N988">
        <v>65000</v>
      </c>
      <c r="O988">
        <v>4.39</v>
      </c>
      <c r="P988">
        <v>78000</v>
      </c>
      <c r="Q988" t="inlineStr">
        <is>
          <t>69072450b96b1600018fd4ff</t>
        </is>
      </c>
      <c r="R988" t="inlineStr">
        <is>
          <t>🚫重复</t>
        </is>
      </c>
      <c r="S988" t="inlineStr">
        <is>
          <t>中小学教辅/教材</t>
        </is>
      </c>
      <c r="T988" t="inlineStr">
        <is>
          <t>0.06</t>
        </is>
      </c>
      <c r="U988" s="3">
        <v>46112.78107638889</v>
      </c>
      <c r="V988" t="inlineStr">
        <is>
          <t>虚拟产品</t>
        </is>
      </c>
      <c r="W988" s="3">
        <v>46038</v>
      </c>
      <c r="X988" t="inlineStr">
        <is>
          <t>01</t>
        </is>
      </c>
      <c r="Y988" t="inlineStr">
        <is>
          <t>2026-Q1</t>
        </is>
      </c>
    </row>
    <row r="989" ht="38.25" customHeight="1">
      <c r="A989" t="inlineStr">
        <is>
          <t>2025年最新高中政治必修二《经济与社会》课件｜教学设计｜逐字稿</t>
        </is>
      </c>
      <c r="B989" t="inlineStr">
        <is>
          <t>recv8r6runG5G1.jpg</t>
        </is>
      </c>
      <c r="C989" s="2" t="str">
        <f>=HYPERLINK("https://xhslink.com/m/1s1A2WMIOsO", "https://xhslink.com/m/1s1A2WMIOsO")</f>
        <v>https://xhslink.com/m/1s1A2WMIOsO</v>
      </c>
      <c r="D989"/>
      <c r="E989">
        <v>3898</v>
      </c>
      <c r="F989">
        <v>3</v>
      </c>
      <c r="G989"/>
      <c r="H989"/>
      <c r="I989">
        <v>2000</v>
      </c>
      <c r="J989"/>
      <c r="K989" t="inlineStr">
        <is>
          <t>PPT</t>
        </is>
      </c>
      <c r="L989"/>
      <c r="M989" t="inlineStr">
        <is>
          <t>一起学政治的店</t>
        </is>
      </c>
      <c r="N989">
        <v>9315</v>
      </c>
      <c r="O989">
        <v>4.23</v>
      </c>
      <c r="P989">
        <v>18000</v>
      </c>
      <c r="Q989" t="inlineStr">
        <is>
          <t>690dc287f73ffe0001a15eb6</t>
        </is>
      </c>
      <c r="R989" t="inlineStr">
        <is>
          <t>🚫重复</t>
        </is>
      </c>
      <c r="S989" t="inlineStr">
        <is>
          <t>高中/高考资料</t>
        </is>
      </c>
      <c r="T989" t="inlineStr">
        <is>
          <t>0.42</t>
        </is>
      </c>
      <c r="U989" s="3">
        <v>46112.78107638889</v>
      </c>
      <c r="V989" t="inlineStr">
        <is>
          <t>虚拟产品</t>
        </is>
      </c>
      <c r="W989" s="3">
        <v>46038</v>
      </c>
      <c r="X989" t="inlineStr">
        <is>
          <t>01</t>
        </is>
      </c>
      <c r="Y989" t="inlineStr">
        <is>
          <t>2026-Q1</t>
        </is>
      </c>
    </row>
    <row r="990" ht="38.25" customHeight="1">
      <c r="A990" t="inlineStr">
        <is>
          <t>【2025秋季新版】四上语文任务群课件+教案|下方选择你要的课文</t>
        </is>
      </c>
      <c r="B990" t="inlineStr">
        <is>
          <t>recv8r6run3HFr.jpg</t>
        </is>
      </c>
      <c r="C990" s="2" t="str">
        <f>=HYPERLINK("https://xhslink.com/m/43XeDJwWQos", "https://xhslink.com/m/43XeDJwWQos")</f>
        <v>https://xhslink.com/m/43XeDJwWQos</v>
      </c>
      <c r="D990"/>
      <c r="E990">
        <v>3609</v>
      </c>
      <c r="F990">
        <v>9.9</v>
      </c>
      <c r="G990"/>
      <c r="H990"/>
      <c r="I990">
        <v>2000</v>
      </c>
      <c r="J990"/>
      <c r="K990" t="inlineStr">
        <is>
          <t>PPT</t>
        </is>
      </c>
      <c r="L990"/>
      <c r="M990" t="inlineStr">
        <is>
          <t>卢月如的店</t>
        </is>
      </c>
      <c r="N990">
        <v>2287</v>
      </c>
      <c r="O990">
        <v>4.37</v>
      </c>
      <c r="P990">
        <v>15000</v>
      </c>
      <c r="Q990" t="inlineStr">
        <is>
          <t>6912ce924a25b700014d7511</t>
        </is>
      </c>
      <c r="R990" t="inlineStr">
        <is>
          <t>🚫重复</t>
        </is>
      </c>
      <c r="S990" t="inlineStr">
        <is>
          <t>中小学教辅/教材</t>
        </is>
      </c>
      <c r="T990" t="inlineStr">
        <is>
          <t>1.58</t>
        </is>
      </c>
      <c r="U990" s="3">
        <v>46112.78107638889</v>
      </c>
      <c r="V990" t="inlineStr">
        <is>
          <t>虚拟产品</t>
        </is>
      </c>
      <c r="W990" s="3">
        <v>46038</v>
      </c>
      <c r="X990" t="inlineStr">
        <is>
          <t>01</t>
        </is>
      </c>
      <c r="Y990" t="inlineStr">
        <is>
          <t>2026-Q1</t>
        </is>
      </c>
    </row>
    <row r="991" ht="38.25" customHeight="1">
      <c r="A991" t="inlineStr">
        <is>
          <t>新八上英语 单个课件  部分课件 WPS加密需授权</t>
        </is>
      </c>
      <c r="B991" t="inlineStr">
        <is>
          <t>recv8r6run9UNS.jpg</t>
        </is>
      </c>
      <c r="C991" s="2" t="str">
        <f>=HYPERLINK("https://xhslink.com/m/1SCUymXPYgU", "https://xhslink.com/m/1SCUymXPYgU")</f>
        <v>https://xhslink.com/m/1SCUymXPYgU</v>
      </c>
      <c r="D991"/>
      <c r="E991">
        <v>3319</v>
      </c>
      <c r="F991">
        <v>13.8</v>
      </c>
      <c r="G991"/>
      <c r="H991"/>
      <c r="I991">
        <v>1000</v>
      </c>
      <c r="J991"/>
      <c r="K991" t="inlineStr">
        <is>
          <t>PPT</t>
        </is>
      </c>
      <c r="L991"/>
      <c r="M991" t="inlineStr">
        <is>
          <t>TeacherWu英语工作室的店</t>
        </is>
      </c>
      <c r="N991">
        <v>26000</v>
      </c>
      <c r="O991">
        <v>4.43</v>
      </c>
      <c r="P991">
        <v>22000</v>
      </c>
      <c r="Q991" t="inlineStr">
        <is>
          <t>68aaa54d3f78410001c66261</t>
        </is>
      </c>
      <c r="R991" t="inlineStr">
        <is>
          <t>🚫重复</t>
        </is>
      </c>
      <c r="S991" t="inlineStr">
        <is>
          <t>中小学教辅/教材</t>
        </is>
      </c>
      <c r="T991" t="inlineStr">
        <is>
          <t>0.13</t>
        </is>
      </c>
      <c r="U991" s="3">
        <v>46112.78107638889</v>
      </c>
      <c r="V991" t="inlineStr">
        <is>
          <t>虚拟产品</t>
        </is>
      </c>
      <c r="W991" s="3">
        <v>46038</v>
      </c>
      <c r="X991" t="inlineStr">
        <is>
          <t>01</t>
        </is>
      </c>
      <c r="Y991" t="inlineStr">
        <is>
          <t>2026-Q1</t>
        </is>
      </c>
    </row>
    <row r="992" ht="38.25" customHeight="1">
      <c r="A992" t="inlineStr">
        <is>
          <t>全店任选一套课件  付款时备注课件编号发送网盘</t>
        </is>
      </c>
      <c r="B992" t="inlineStr">
        <is>
          <t>recv8r6runeQ4N.jpg</t>
        </is>
      </c>
      <c r="C992" s="2" t="str">
        <f>=HYPERLINK("https://xhslink.com/m/Ai9lc9FWndU", "https://xhslink.com/m/Ai9lc9FWndU")</f>
        <v>https://xhslink.com/m/Ai9lc9FWndU</v>
      </c>
      <c r="D992"/>
      <c r="E992">
        <v>3225</v>
      </c>
      <c r="F992">
        <v>9.9</v>
      </c>
      <c r="G992"/>
      <c r="H992"/>
      <c r="I992">
        <v>1000</v>
      </c>
      <c r="J992"/>
      <c r="K992" t="inlineStr">
        <is>
          <t>PPT</t>
        </is>
      </c>
      <c r="L992" t="inlineStr">
        <is>
          <t>🔥低粉爆款</t>
        </is>
      </c>
      <c r="M992" t="inlineStr">
        <is>
          <t>尚学校的店</t>
        </is>
      </c>
      <c r="N992">
        <v>415</v>
      </c>
      <c r="O992">
        <v>4.4</v>
      </c>
      <c r="P992">
        <v>3236</v>
      </c>
      <c r="Q992" t="inlineStr">
        <is>
          <t>67f8a3613d8f3800018b081f</t>
        </is>
      </c>
      <c r="R992"/>
      <c r="S992" t="inlineStr">
        <is>
          <t>中小学教辅/教材</t>
        </is>
      </c>
      <c r="T992" t="inlineStr">
        <is>
          <t>7.77</t>
        </is>
      </c>
      <c r="U992" s="3">
        <v>46112.78107638889</v>
      </c>
      <c r="V992" t="inlineStr">
        <is>
          <t>虚拟产品</t>
        </is>
      </c>
      <c r="W992" s="3">
        <v>46038</v>
      </c>
      <c r="X992" t="inlineStr">
        <is>
          <t>01</t>
        </is>
      </c>
      <c r="Y992" t="inlineStr">
        <is>
          <t>2026-Q1</t>
        </is>
      </c>
    </row>
    <row r="993" ht="38.25" customHeight="1">
      <c r="A993" t="inlineStr">
        <is>
          <t>【拍下秒发】多系列大学生职业生涯规划可选</t>
        </is>
      </c>
      <c r="B993" t="inlineStr">
        <is>
          <t>recv8r6runTNAU.jpg</t>
        </is>
      </c>
      <c r="C993" s="2" t="str">
        <f>=HYPERLINK("https://xhslink.com/m/4S422CAp3oJ", "https://xhslink.com/m/4S422CAp3oJ")</f>
        <v>https://xhslink.com/m/4S422CAp3oJ</v>
      </c>
      <c r="D993"/>
      <c r="E993">
        <v>3220</v>
      </c>
      <c r="F993">
        <v>5.99</v>
      </c>
      <c r="G993"/>
      <c r="H993"/>
      <c r="I993">
        <v>1000</v>
      </c>
      <c r="J993"/>
      <c r="K993" t="inlineStr">
        <is>
          <t>PPT</t>
        </is>
      </c>
      <c r="L993"/>
      <c r="M993" t="inlineStr">
        <is>
          <t>小Da努力写PPT的店</t>
        </is>
      </c>
      <c r="N993">
        <v>12000</v>
      </c>
      <c r="O993">
        <v>4.24</v>
      </c>
      <c r="P993">
        <v>40000</v>
      </c>
      <c r="Q993" t="inlineStr">
        <is>
          <t>6910575374195c0001c38224</t>
        </is>
      </c>
      <c r="R993" t="inlineStr">
        <is>
          <t>🚫重复</t>
        </is>
      </c>
      <c r="S993" t="inlineStr">
        <is>
          <t>求职面试/职场</t>
        </is>
      </c>
      <c r="T993" t="inlineStr">
        <is>
          <t>0.27</t>
        </is>
      </c>
      <c r="U993" s="3">
        <v>46112.78107638889</v>
      </c>
      <c r="V993" t="inlineStr">
        <is>
          <t>虚拟产品</t>
        </is>
      </c>
      <c r="W993" s="3">
        <v>46038</v>
      </c>
      <c r="X993" t="inlineStr">
        <is>
          <t>01</t>
        </is>
      </c>
      <c r="Y993" t="inlineStr">
        <is>
          <t>2026-Q1</t>
        </is>
      </c>
    </row>
    <row r="994" ht="38.25" customHeight="1">
      <c r="A994" t="inlineStr">
        <is>
          <t>英语主题单词学习课件包（附赠简案）</t>
        </is>
      </c>
      <c r="B994" t="inlineStr">
        <is>
          <t>recv8r6run1WPv.jpg</t>
        </is>
      </c>
      <c r="C994" s="2" t="str">
        <f>=HYPERLINK("https://xhslink.com/m/3dzRyp2cmts", "https://xhslink.com/m/3dzRyp2cmts")</f>
        <v>https://xhslink.com/m/3dzRyp2cmts</v>
      </c>
      <c r="D994"/>
      <c r="E994">
        <v>3208</v>
      </c>
      <c r="F994">
        <v>45.9</v>
      </c>
      <c r="G994"/>
      <c r="H994"/>
      <c r="I994">
        <v>800</v>
      </c>
      <c r="J994"/>
      <c r="K994" t="inlineStr">
        <is>
          <t>PPT</t>
        </is>
      </c>
      <c r="L994"/>
      <c r="M994" t="inlineStr">
        <is>
          <t>米妮老师~的店</t>
        </is>
      </c>
      <c r="N994">
        <v>2602</v>
      </c>
      <c r="O994">
        <v>4.34</v>
      </c>
      <c r="P994">
        <v>12000</v>
      </c>
      <c r="Q994" t="inlineStr">
        <is>
          <t>68497d04f89aa5000126fac2</t>
        </is>
      </c>
      <c r="R994" t="inlineStr">
        <is>
          <t>🚫重复</t>
        </is>
      </c>
      <c r="S994" t="inlineStr">
        <is>
          <t>中小学教辅/教材</t>
        </is>
      </c>
      <c r="T994" t="inlineStr">
        <is>
          <t>1.23</t>
        </is>
      </c>
      <c r="U994" s="3">
        <v>46112.78107638889</v>
      </c>
      <c r="V994" t="inlineStr">
        <is>
          <t>虚拟产品</t>
        </is>
      </c>
      <c r="W994" s="3">
        <v>46038</v>
      </c>
      <c r="X994" t="inlineStr">
        <is>
          <t>01</t>
        </is>
      </c>
      <c r="Y994" t="inlineStr">
        <is>
          <t>2026-Q1</t>
        </is>
      </c>
    </row>
    <row r="995" ht="38.25" customHeight="1">
      <c r="A995" t="inlineStr">
        <is>
          <t>【单个课件】六上课件（仅含课件+教案）自动发货</t>
        </is>
      </c>
      <c r="B995" t="inlineStr">
        <is>
          <t>recv8r6run699z.jpg</t>
        </is>
      </c>
      <c r="C995" s="2" t="str">
        <f>=HYPERLINK("https://xhslink.com/m/8OW1mZjxtMU", "https://xhslink.com/m/8OW1mZjxtMU")</f>
        <v>https://xhslink.com/m/8OW1mZjxtMU</v>
      </c>
      <c r="D995"/>
      <c r="E995">
        <v>3043</v>
      </c>
      <c r="F995">
        <v>15.8</v>
      </c>
      <c r="G995"/>
      <c r="H995"/>
      <c r="I995">
        <v>1000</v>
      </c>
      <c r="J995"/>
      <c r="K995" t="inlineStr">
        <is>
          <t>PPT</t>
        </is>
      </c>
      <c r="L995"/>
      <c r="M995" t="inlineStr">
        <is>
          <t>李自白课件的店</t>
        </is>
      </c>
      <c r="N995">
        <v>22000</v>
      </c>
      <c r="O995">
        <v>4.38</v>
      </c>
      <c r="P995">
        <v>11000</v>
      </c>
      <c r="Q995" t="inlineStr">
        <is>
          <t>6932af9569110000015f3d14</t>
        </is>
      </c>
      <c r="R995" t="inlineStr">
        <is>
          <t>🚫重复</t>
        </is>
      </c>
      <c r="S995" t="inlineStr">
        <is>
          <t>中小学教辅/教材</t>
        </is>
      </c>
      <c r="T995" t="inlineStr">
        <is>
          <t>0.14</t>
        </is>
      </c>
      <c r="U995" s="3">
        <v>46112.78107638889</v>
      </c>
      <c r="V995" t="inlineStr">
        <is>
          <t>虚拟产品</t>
        </is>
      </c>
      <c r="W995" s="3">
        <v>46038</v>
      </c>
      <c r="X995" t="inlineStr">
        <is>
          <t>01</t>
        </is>
      </c>
      <c r="Y995" t="inlineStr">
        <is>
          <t>2026-Q1</t>
        </is>
      </c>
    </row>
    <row r="996" ht="38.25" customHeight="1">
      <c r="A996" t="inlineStr">
        <is>
          <t>英语启蒙公开课WPS课件</t>
        </is>
      </c>
      <c r="B996" t="inlineStr">
        <is>
          <t>recv8r6runIrBT.jpg</t>
        </is>
      </c>
      <c r="C996" s="2" t="str">
        <f>=HYPERLINK("https://xhslink.com/m/OmQJ0Pnq8Q", "https://xhslink.com/m/OmQJ0Pnq8Q")</f>
        <v>https://xhslink.com/m/OmQJ0Pnq8Q</v>
      </c>
      <c r="D996"/>
      <c r="E996">
        <v>2999</v>
      </c>
      <c r="F996">
        <v>6.9</v>
      </c>
      <c r="G996"/>
      <c r="H996"/>
      <c r="I996">
        <v>1000</v>
      </c>
      <c r="J996"/>
      <c r="K996" t="inlineStr">
        <is>
          <t>PPT</t>
        </is>
      </c>
      <c r="L996"/>
      <c r="M996" t="inlineStr">
        <is>
          <t>米妮老师~的店</t>
        </is>
      </c>
      <c r="N996">
        <v>2602</v>
      </c>
      <c r="O996">
        <v>4.34</v>
      </c>
      <c r="P996">
        <v>12000</v>
      </c>
      <c r="Q996" t="inlineStr">
        <is>
          <t>68b85dc6f0fbe90001ced728</t>
        </is>
      </c>
      <c r="R996" t="inlineStr">
        <is>
          <t>🚫重复</t>
        </is>
      </c>
      <c r="S996" t="inlineStr">
        <is>
          <t>中小学教辅/教材</t>
        </is>
      </c>
      <c r="T996" t="inlineStr">
        <is>
          <t>1.15</t>
        </is>
      </c>
      <c r="U996" s="3">
        <v>46112.78107638889</v>
      </c>
      <c r="V996" t="inlineStr">
        <is>
          <t>虚拟产品</t>
        </is>
      </c>
      <c r="W996" s="3">
        <v>46038</v>
      </c>
      <c r="X996" t="inlineStr">
        <is>
          <t>01</t>
        </is>
      </c>
      <c r="Y996" t="inlineStr">
        <is>
          <t>2026-Q1</t>
        </is>
      </c>
    </row>
    <row r="997" ht="38.25" customHeight="1">
      <c r="A997" t="inlineStr">
        <is>
          <t>初中语文课前“微听写”课件（人教版部编版）</t>
        </is>
      </c>
      <c r="B997" t="inlineStr">
        <is>
          <t>recv8r6run5cZ3.jpg</t>
        </is>
      </c>
      <c r="C997" s="2" t="str">
        <f>=HYPERLINK("https://xhslink.com/m/6A4VFmsCPqi", "https://xhslink.com/m/6A4VFmsCPqi")</f>
        <v>https://xhslink.com/m/6A4VFmsCPqi</v>
      </c>
      <c r="D997"/>
      <c r="E997">
        <v>2955</v>
      </c>
      <c r="F997">
        <v>9.9</v>
      </c>
      <c r="G997"/>
      <c r="H997"/>
      <c r="I997">
        <v>400</v>
      </c>
      <c r="J997"/>
      <c r="K997" t="inlineStr">
        <is>
          <t>PPT</t>
        </is>
      </c>
      <c r="L997"/>
      <c r="M997" t="inlineStr">
        <is>
          <t>教语文的葭葭子的店</t>
        </is>
      </c>
      <c r="N997">
        <v>13000</v>
      </c>
      <c r="O997">
        <v>4.39</v>
      </c>
      <c r="P997">
        <v>14000</v>
      </c>
      <c r="Q997" t="inlineStr">
        <is>
          <t>671ad0d4fe85310001170cb1</t>
        </is>
      </c>
      <c r="R997" t="inlineStr">
        <is>
          <t>🚫重复</t>
        </is>
      </c>
      <c r="S997" t="inlineStr">
        <is>
          <t>中小学教辅/教材</t>
        </is>
      </c>
      <c r="T997" t="inlineStr">
        <is>
          <t>0.23</t>
        </is>
      </c>
      <c r="U997" s="3">
        <v>46112.78107638889</v>
      </c>
      <c r="V997" t="inlineStr">
        <is>
          <t>虚拟产品</t>
        </is>
      </c>
      <c r="W997" s="3">
        <v>46038</v>
      </c>
      <c r="X997" t="inlineStr">
        <is>
          <t>01</t>
        </is>
      </c>
      <c r="Y997" t="inlineStr">
        <is>
          <t>2026-Q1</t>
        </is>
      </c>
    </row>
    <row r="998" ht="38.25" customHeight="1">
      <c r="A998" t="inlineStr">
        <is>
          <t>(自动发货秒发）职业生涯规划通用模版（拍前必看详情页）</t>
        </is>
      </c>
      <c r="B998" t="inlineStr">
        <is>
          <t>recv8r6run2Gs5.jpg</t>
        </is>
      </c>
      <c r="C998" s="2" t="str">
        <f>=HYPERLINK("https://xhslink.com/m/ztw3Elvtyf", "https://xhslink.com/m/ztw3Elvtyf")</f>
        <v>https://xhslink.com/m/ztw3Elvtyf</v>
      </c>
      <c r="D998"/>
      <c r="E998">
        <v>2909</v>
      </c>
      <c r="F998">
        <v>3.9</v>
      </c>
      <c r="G998"/>
      <c r="H998"/>
      <c r="I998">
        <v>2000</v>
      </c>
      <c r="J998"/>
      <c r="K998" t="inlineStr">
        <is>
          <t>PPT</t>
        </is>
      </c>
      <c r="L998"/>
      <c r="M998" t="inlineStr">
        <is>
          <t>像素猫猫的店</t>
        </is>
      </c>
      <c r="N998">
        <v>5619</v>
      </c>
      <c r="O998">
        <v>4.43</v>
      </c>
      <c r="P998">
        <v>4973</v>
      </c>
      <c r="Q998" t="inlineStr">
        <is>
          <t>691567bae78d9900014b2a4f</t>
        </is>
      </c>
      <c r="R998"/>
      <c r="S998" t="inlineStr">
        <is>
          <t>求职面试/职场</t>
        </is>
      </c>
      <c r="T998" t="inlineStr">
        <is>
          <t>0.52</t>
        </is>
      </c>
      <c r="U998" s="3">
        <v>46112.78107638889</v>
      </c>
      <c r="V998" t="inlineStr">
        <is>
          <t>虚拟产品</t>
        </is>
      </c>
      <c r="W998" s="3">
        <v>46038</v>
      </c>
      <c r="X998" t="inlineStr">
        <is>
          <t>01</t>
        </is>
      </c>
      <c r="Y998" t="inlineStr">
        <is>
          <t>2026-Q1</t>
        </is>
      </c>
    </row>
    <row r="999" ht="38.25" customHeight="1">
      <c r="A999" t="inlineStr">
        <is>
          <t>人教版初中语文培优专题复习（讲义）+单元复习（含ppt）复习电子</t>
        </is>
      </c>
      <c r="B999" t="inlineStr">
        <is>
          <t>recv8r6runNUca.jpg</t>
        </is>
      </c>
      <c r="C999" s="2" t="str">
        <f>=HYPERLINK("https://xhslink.com/m/3nFSw7Otwa6", "https://xhslink.com/m/3nFSw7Otwa6")</f>
        <v>https://xhslink.com/m/3nFSw7Otwa6</v>
      </c>
      <c r="D999"/>
      <c r="E999">
        <v>2875</v>
      </c>
      <c r="F999">
        <v>7.9</v>
      </c>
      <c r="G999"/>
      <c r="H999"/>
      <c r="I999">
        <v>300</v>
      </c>
      <c r="J999"/>
      <c r="K999" t="inlineStr">
        <is>
          <t>PPT</t>
        </is>
      </c>
      <c r="L999"/>
      <c r="M999" t="inlineStr">
        <is>
          <t>教语文的常老师的店</t>
        </is>
      </c>
      <c r="N999">
        <v>14000</v>
      </c>
      <c r="O999">
        <v>4.53</v>
      </c>
      <c r="P999">
        <v>32000</v>
      </c>
      <c r="Q999" t="inlineStr">
        <is>
          <t>66ecdf4d8f74cd0001cbbb92</t>
        </is>
      </c>
      <c r="R999" t="inlineStr">
        <is>
          <t>🚫重复</t>
        </is>
      </c>
      <c r="S999" t="inlineStr">
        <is>
          <t>中小学教辅/教材</t>
        </is>
      </c>
      <c r="T999" t="inlineStr">
        <is>
          <t>0.21</t>
        </is>
      </c>
      <c r="U999" s="3">
        <v>46112.78107638889</v>
      </c>
      <c r="V999" t="inlineStr">
        <is>
          <t>虚拟产品</t>
        </is>
      </c>
      <c r="W999" s="3">
        <v>46038</v>
      </c>
      <c r="X999" t="inlineStr">
        <is>
          <t>01</t>
        </is>
      </c>
      <c r="Y999" t="inlineStr">
        <is>
          <t>2026-Q1</t>
        </is>
      </c>
    </row>
    <row r="1000" ht="38.25" customHeight="1">
      <c r="A1000" t="inlineStr">
        <is>
          <t>2026中考总复习课件讲义练习语文数学英语物理化学生物历史地理道</t>
        </is>
      </c>
      <c r="B1000" t="inlineStr">
        <is>
          <t>recv8r6run3JQ0.jpg</t>
        </is>
      </c>
      <c r="C1000" s="2" t="str">
        <f>=HYPERLINK("https://xhslink.com/m/6vxwfLaaEAF", "https://xhslink.com/m/6vxwfLaaEAF")</f>
        <v>https://xhslink.com/m/6vxwfLaaEAF</v>
      </c>
      <c r="D1000"/>
      <c r="E1000">
        <v>2861</v>
      </c>
      <c r="F1000">
        <v>10</v>
      </c>
      <c r="G1000"/>
      <c r="H1000"/>
      <c r="I1000">
        <v>300</v>
      </c>
      <c r="J1000"/>
      <c r="K1000" t="inlineStr">
        <is>
          <t>PPT</t>
        </is>
      </c>
      <c r="L1000"/>
      <c r="M1000" t="inlineStr">
        <is>
          <t>肖老师的店</t>
        </is>
      </c>
      <c r="N1000">
        <v>11000</v>
      </c>
      <c r="O1000">
        <v>4.36</v>
      </c>
      <c r="P1000">
        <v>62000</v>
      </c>
      <c r="Q1000" t="inlineStr">
        <is>
          <t>6707cf544c161f00012b4053</t>
        </is>
      </c>
      <c r="R1000" t="inlineStr">
        <is>
          <t>🚫重复</t>
        </is>
      </c>
      <c r="S1000" t="inlineStr">
        <is>
          <t>中小学教辅/教材</t>
        </is>
      </c>
      <c r="T1000" t="inlineStr">
        <is>
          <t>0.26</t>
        </is>
      </c>
      <c r="U1000" s="3">
        <v>46112.78107638889</v>
      </c>
      <c r="V1000" t="inlineStr">
        <is>
          <t>虚拟产品</t>
        </is>
      </c>
      <c r="W1000" s="3">
        <v>46038</v>
      </c>
      <c r="X1000" t="inlineStr">
        <is>
          <t>01</t>
        </is>
      </c>
      <c r="Y1000" t="inlineStr">
        <is>
          <t>2026-Q1</t>
        </is>
      </c>
    </row>
    <row r="1001" ht="38.25" customHeight="1">
      <c r="A1001" t="inlineStr">
        <is>
          <t>三年级上册道法课件</t>
        </is>
      </c>
      <c r="B1001" t="inlineStr">
        <is>
          <t>recv8r6runZ45n.jpg</t>
        </is>
      </c>
      <c r="C1001" s="2" t="str">
        <f>=HYPERLINK("https://xhslink.com/m/2o3ZVk5kGCq", "https://xhslink.com/m/2o3ZVk5kGCq")</f>
        <v>https://xhslink.com/m/2o3ZVk5kGCq</v>
      </c>
      <c r="D1001"/>
      <c r="E1001">
        <v>2770</v>
      </c>
      <c r="F1001">
        <v>23.9</v>
      </c>
      <c r="G1001"/>
      <c r="H1001"/>
      <c r="I1001">
        <v>1000</v>
      </c>
      <c r="J1001"/>
      <c r="K1001" t="inlineStr">
        <is>
          <t>PPT</t>
        </is>
      </c>
      <c r="L1001"/>
      <c r="M1001" t="inlineStr">
        <is>
          <t>道了个道的店</t>
        </is>
      </c>
      <c r="N1001">
        <v>3234</v>
      </c>
      <c r="O1001">
        <v>4.12</v>
      </c>
      <c r="P1001">
        <v>7665</v>
      </c>
      <c r="Q1001" t="inlineStr">
        <is>
          <t>68c41b6bcb717b0001512b95</t>
        </is>
      </c>
      <c r="R1001"/>
      <c r="S1001" t="inlineStr">
        <is>
          <t>中小学教辅/教材</t>
        </is>
      </c>
      <c r="T1001" t="inlineStr">
        <is>
          <t>0.86</t>
        </is>
      </c>
      <c r="U1001" s="3">
        <v>46112.78107638889</v>
      </c>
      <c r="V1001" t="inlineStr">
        <is>
          <t>虚拟产品</t>
        </is>
      </c>
      <c r="W1001" s="3">
        <v>46038</v>
      </c>
      <c r="X1001" t="inlineStr">
        <is>
          <t>01</t>
        </is>
      </c>
      <c r="Y1001" t="inlineStr">
        <is>
          <t>2026-Q1</t>
        </is>
      </c>
    </row>
    <row r="1002" ht="38.25" customHeight="1">
      <c r="A1002" t="inlineStr">
        <is>
          <t>PEP小学英语四年级上册课件</t>
        </is>
      </c>
      <c r="B1002" t="inlineStr">
        <is>
          <t>recv8r6run2zjm.jpg</t>
        </is>
      </c>
      <c r="C1002" s="2" t="str">
        <f>=HYPERLINK("https://xhslink.com/m/2VmpFPJ4YLB", "https://xhslink.com/m/2VmpFPJ4YLB")</f>
        <v>https://xhslink.com/m/2VmpFPJ4YLB</v>
      </c>
      <c r="D1002"/>
      <c r="E1002">
        <v>2822</v>
      </c>
      <c r="F1002">
        <v>8</v>
      </c>
      <c r="G1002"/>
      <c r="H1002"/>
      <c r="I1002">
        <v>1000</v>
      </c>
      <c r="J1002"/>
      <c r="K1002" t="inlineStr">
        <is>
          <t>PPT</t>
        </is>
      </c>
      <c r="L1002"/>
      <c r="M1002" t="inlineStr">
        <is>
          <t>YukiChen的店</t>
        </is>
      </c>
      <c r="N1002">
        <v>3131</v>
      </c>
      <c r="O1002">
        <v>4.26</v>
      </c>
      <c r="P1002">
        <v>3646</v>
      </c>
      <c r="Q1002" t="inlineStr">
        <is>
          <t>68bbea268c331700010f851e</t>
        </is>
      </c>
      <c r="R1002"/>
      <c r="S1002" t="inlineStr">
        <is>
          <t>中小学教辅/教材</t>
        </is>
      </c>
      <c r="T1002" t="inlineStr">
        <is>
          <t>0.90</t>
        </is>
      </c>
      <c r="U1002" s="3">
        <v>46112.78107638889</v>
      </c>
      <c r="V1002" t="inlineStr">
        <is>
          <t>虚拟产品</t>
        </is>
      </c>
      <c r="W1002" s="3">
        <v>46038</v>
      </c>
      <c r="X1002" t="inlineStr">
        <is>
          <t>01</t>
        </is>
      </c>
      <c r="Y1002" t="inlineStr">
        <is>
          <t>2026-Q1</t>
        </is>
      </c>
    </row>
    <row r="1003" ht="38.25" customHeight="1">
      <c r="A1003" t="inlineStr">
        <is>
          <t>25年春RJ版数电子课件合集|</t>
        </is>
      </c>
      <c r="B1003" t="inlineStr">
        <is>
          <t>recv8r6run7w6J.jpg</t>
        </is>
      </c>
      <c r="C1003" s="2" t="str">
        <f>=HYPERLINK("https://xhslink.com/m/3k0FUUnHxO8", "https://xhslink.com/m/3k0FUUnHxO8")</f>
        <v>https://xhslink.com/m/3k0FUUnHxO8</v>
      </c>
      <c r="D1003"/>
      <c r="E1003">
        <v>2721</v>
      </c>
      <c r="F1003">
        <v>3.9</v>
      </c>
      <c r="G1003"/>
      <c r="H1003"/>
      <c r="I1003">
        <v>700</v>
      </c>
      <c r="J1003"/>
      <c r="K1003" t="inlineStr">
        <is>
          <t>PPT</t>
        </is>
      </c>
      <c r="L1003" t="inlineStr">
        <is>
          <t>🔥低粉爆款</t>
        </is>
      </c>
      <c r="M1003" t="inlineStr">
        <is>
          <t>要的全都有的店</t>
        </is>
      </c>
      <c r="N1003">
        <v>523</v>
      </c>
      <c r="O1003">
        <v>3.62</v>
      </c>
      <c r="P1003">
        <v>3325</v>
      </c>
      <c r="Q1003" t="inlineStr">
        <is>
          <t>67ed4f07f0efe500017d1422</t>
        </is>
      </c>
      <c r="R1003"/>
      <c r="S1003" t="inlineStr">
        <is>
          <t>中小学教辅/教材</t>
        </is>
      </c>
      <c r="T1003" t="inlineStr">
        <is>
          <t>5.20</t>
        </is>
      </c>
      <c r="U1003" s="3">
        <v>46112.78107638889</v>
      </c>
      <c r="V1003" t="inlineStr">
        <is>
          <t>虚拟产品</t>
        </is>
      </c>
      <c r="W1003" s="3">
        <v>46038</v>
      </c>
      <c r="X1003" t="inlineStr">
        <is>
          <t>01</t>
        </is>
      </c>
      <c r="Y1003" t="inlineStr">
        <is>
          <t>2026-Q1</t>
        </is>
      </c>
    </row>
    <row r="1004" ht="38.25" customHeight="1">
      <c r="A1004" t="inlineStr">
        <is>
          <t>25秋最新三年级上册语文作文教学课件|单个9.9，里面没有授课视频</t>
        </is>
      </c>
      <c r="B1004" t="inlineStr">
        <is>
          <t>recv8r6runnD0G.jpg</t>
        </is>
      </c>
      <c r="C1004" s="2" t="str">
        <f>=HYPERLINK("https://xhslink.com/m/2hXvtWK05E6", "https://xhslink.com/m/2hXvtWK05E6")</f>
        <v>https://xhslink.com/m/2hXvtWK05E6</v>
      </c>
      <c r="D1004"/>
      <c r="E1004">
        <v>2745</v>
      </c>
      <c r="F1004">
        <v>9.9</v>
      </c>
      <c r="G1004"/>
      <c r="H1004"/>
      <c r="I1004">
        <v>1000</v>
      </c>
      <c r="J1004"/>
      <c r="K1004" t="inlineStr">
        <is>
          <t>PPT</t>
        </is>
      </c>
      <c r="L1004"/>
      <c r="M1004" t="inlineStr">
        <is>
          <t>吾辈皆是备课人的店</t>
        </is>
      </c>
      <c r="N1004">
        <v>10000</v>
      </c>
      <c r="O1004">
        <v>4.5</v>
      </c>
      <c r="P1004">
        <v>13000</v>
      </c>
      <c r="Q1004" t="inlineStr">
        <is>
          <t>685fbb0a48753b000123a163</t>
        </is>
      </c>
      <c r="R1004" t="inlineStr">
        <is>
          <t>🚫重复</t>
        </is>
      </c>
      <c r="S1004" t="inlineStr">
        <is>
          <t>中小学教辅/教材</t>
        </is>
      </c>
      <c r="T1004" t="inlineStr">
        <is>
          <t>0.27</t>
        </is>
      </c>
      <c r="U1004" s="3">
        <v>46112.78107638889</v>
      </c>
      <c r="V1004" t="inlineStr">
        <is>
          <t>虚拟产品</t>
        </is>
      </c>
      <c r="W1004" s="3">
        <v>46038</v>
      </c>
      <c r="X1004" t="inlineStr">
        <is>
          <t>01</t>
        </is>
      </c>
      <c r="Y1004" t="inlineStr">
        <is>
          <t>2026-Q1</t>
        </is>
      </c>
    </row>
    <row r="1005" ht="38.25" customHeight="1">
      <c r="A1005" t="inlineStr">
        <is>
          <t>25秋新四年级上册语文教学作文课件|单个9.9，里面没有授课视频</t>
        </is>
      </c>
      <c r="B1005" t="inlineStr">
        <is>
          <t>recv8r6runWNcS.jpg</t>
        </is>
      </c>
      <c r="C1005" s="2" t="str">
        <f>=HYPERLINK("https://xhslink.com/m/5yiSpTSHNhj", "https://xhslink.com/m/5yiSpTSHNhj")</f>
        <v>https://xhslink.com/m/5yiSpTSHNhj</v>
      </c>
      <c r="D1005"/>
      <c r="E1005">
        <v>2646</v>
      </c>
      <c r="F1005">
        <v>9.9</v>
      </c>
      <c r="G1005"/>
      <c r="H1005"/>
      <c r="I1005">
        <v>1000</v>
      </c>
      <c r="J1005"/>
      <c r="K1005" t="inlineStr">
        <is>
          <t>PPT</t>
        </is>
      </c>
      <c r="L1005"/>
      <c r="M1005" t="inlineStr">
        <is>
          <t>吾辈皆是备课人的店</t>
        </is>
      </c>
      <c r="N1005">
        <v>10000</v>
      </c>
      <c r="O1005">
        <v>4.5</v>
      </c>
      <c r="P1005">
        <v>13000</v>
      </c>
      <c r="Q1005" t="inlineStr">
        <is>
          <t>6860ab5c3970ba000159e074</t>
        </is>
      </c>
      <c r="R1005" t="inlineStr">
        <is>
          <t>🚫重复</t>
        </is>
      </c>
      <c r="S1005" t="inlineStr">
        <is>
          <t>中小学教辅/教材</t>
        </is>
      </c>
      <c r="T1005" t="inlineStr">
        <is>
          <t>0.26</t>
        </is>
      </c>
      <c r="U1005" s="3">
        <v>46112.78107638889</v>
      </c>
      <c r="V1005" t="inlineStr">
        <is>
          <t>虚拟产品</t>
        </is>
      </c>
      <c r="W1005" s="3">
        <v>46038</v>
      </c>
      <c r="X1005" t="inlineStr">
        <is>
          <t>01</t>
        </is>
      </c>
      <c r="Y1005" t="inlineStr">
        <is>
          <t>2026-Q1</t>
        </is>
      </c>
    </row>
    <row r="1006" ht="38.25" customHeight="1">
      <c r="A1006" t="inlineStr">
        <is>
          <t>八下9《桃花源记》（课件+教案+导学案）</t>
        </is>
      </c>
      <c r="B1006" t="inlineStr">
        <is>
          <t>recv8r6runi378.jpg</t>
        </is>
      </c>
      <c r="C1006" s="2" t="str">
        <f>=HYPERLINK("https://xhslink.com/m/ALwAb2DkiRY", "https://xhslink.com/m/ALwAb2DkiRY")</f>
        <v>https://xhslink.com/m/ALwAb2DkiRY</v>
      </c>
      <c r="D1006"/>
      <c r="E1006">
        <v>2581</v>
      </c>
      <c r="F1006">
        <v>10.8</v>
      </c>
      <c r="G1006"/>
      <c r="H1006"/>
      <c r="I1006">
        <v>400</v>
      </c>
      <c r="J1006"/>
      <c r="K1006" t="inlineStr">
        <is>
          <t>PPT</t>
        </is>
      </c>
      <c r="L1006"/>
      <c r="M1006" t="inlineStr">
        <is>
          <t>毛颖传奇的店</t>
        </is>
      </c>
      <c r="N1006">
        <v>28000</v>
      </c>
      <c r="O1006">
        <v>4.4</v>
      </c>
      <c r="P1006">
        <v>119000</v>
      </c>
      <c r="Q1006" t="inlineStr">
        <is>
          <t>67a6068f43e42a000125ebbe</t>
        </is>
      </c>
      <c r="R1006" t="inlineStr">
        <is>
          <t>🚫重复</t>
        </is>
      </c>
      <c r="S1006" t="inlineStr">
        <is>
          <t>中小学教辅/教材</t>
        </is>
      </c>
      <c r="T1006" t="inlineStr">
        <is>
          <t>0.09</t>
        </is>
      </c>
      <c r="U1006" s="3">
        <v>46112.78107638889</v>
      </c>
      <c r="V1006" t="inlineStr">
        <is>
          <t>虚拟产品</t>
        </is>
      </c>
      <c r="W1006" s="3">
        <v>46038</v>
      </c>
      <c r="X1006" t="inlineStr">
        <is>
          <t>01</t>
        </is>
      </c>
      <c r="Y1006" t="inlineStr">
        <is>
          <t>2026-Q1</t>
        </is>
      </c>
    </row>
    <row r="1007" ht="38.25" customHeight="1">
      <c r="A1007" t="inlineStr">
        <is>
          <t>四上第八单元课件+教案</t>
        </is>
      </c>
      <c r="B1007" t="inlineStr">
        <is>
          <t>recv8r6runlgc2.jpg</t>
        </is>
      </c>
      <c r="C1007" s="2" t="str">
        <f>=HYPERLINK("https://xhslink.com/m/53D9SjrYGNO", "https://xhslink.com/m/53D9SjrYGNO")</f>
        <v>https://xhslink.com/m/53D9SjrYGNO</v>
      </c>
      <c r="D1007"/>
      <c r="E1007">
        <v>2584</v>
      </c>
      <c r="F1007">
        <v>5</v>
      </c>
      <c r="G1007"/>
      <c r="H1007"/>
      <c r="I1007">
        <v>500</v>
      </c>
      <c r="J1007"/>
      <c r="K1007" t="inlineStr">
        <is>
          <t>PPT</t>
        </is>
      </c>
      <c r="L1007"/>
      <c r="M1007" t="inlineStr">
        <is>
          <t>同是天涯备课人的店</t>
        </is>
      </c>
      <c r="N1007">
        <v>49000</v>
      </c>
      <c r="O1007">
        <v>4.25</v>
      </c>
      <c r="P1007">
        <v>147000</v>
      </c>
      <c r="Q1007" t="inlineStr">
        <is>
          <t>673df62c4083040001087f22</t>
        </is>
      </c>
      <c r="R1007" t="inlineStr">
        <is>
          <t>🚫重复</t>
        </is>
      </c>
      <c r="S1007" t="inlineStr">
        <is>
          <t>中小学教辅/教材</t>
        </is>
      </c>
      <c r="T1007" t="inlineStr">
        <is>
          <t>0.05</t>
        </is>
      </c>
      <c r="U1007" s="3">
        <v>46112.78107638889</v>
      </c>
      <c r="V1007" t="inlineStr">
        <is>
          <t>虚拟产品</t>
        </is>
      </c>
      <c r="W1007" s="3">
        <v>46038</v>
      </c>
      <c r="X1007" t="inlineStr">
        <is>
          <t>01</t>
        </is>
      </c>
      <c r="Y1007" t="inlineStr">
        <is>
          <t>2026-Q1</t>
        </is>
      </c>
    </row>
    <row r="1008" ht="38.25" customHeight="1">
      <c r="A1008" t="inlineStr">
        <is>
          <t>25秋五年级上册同步作文语文教学课件|单个9.9，里面没有授课视频</t>
        </is>
      </c>
      <c r="B1008" t="inlineStr">
        <is>
          <t>recv8r6runqXrf.jpg</t>
        </is>
      </c>
      <c r="C1008" s="2" t="str">
        <f>=HYPERLINK("https://xhslink.com/m/6NHDFka9MQW", "https://xhslink.com/m/6NHDFka9MQW")</f>
        <v>https://xhslink.com/m/6NHDFka9MQW</v>
      </c>
      <c r="D1008"/>
      <c r="E1008">
        <v>2527</v>
      </c>
      <c r="F1008">
        <v>9.9</v>
      </c>
      <c r="G1008"/>
      <c r="H1008"/>
      <c r="I1008">
        <v>1000</v>
      </c>
      <c r="J1008"/>
      <c r="K1008" t="inlineStr">
        <is>
          <t>PPT</t>
        </is>
      </c>
      <c r="L1008"/>
      <c r="M1008" t="inlineStr">
        <is>
          <t>吾辈皆是备课人的店</t>
        </is>
      </c>
      <c r="N1008">
        <v>10000</v>
      </c>
      <c r="O1008">
        <v>4.5</v>
      </c>
      <c r="P1008">
        <v>13000</v>
      </c>
      <c r="Q1008" t="inlineStr">
        <is>
          <t>69266d9b9562430001409bc2</t>
        </is>
      </c>
      <c r="R1008" t="inlineStr">
        <is>
          <t>🚫重复</t>
        </is>
      </c>
      <c r="S1008" t="inlineStr">
        <is>
          <t>中小学教辅/教材</t>
        </is>
      </c>
      <c r="T1008" t="inlineStr">
        <is>
          <t>0.25</t>
        </is>
      </c>
      <c r="U1008" s="3">
        <v>46112.78107638889</v>
      </c>
      <c r="V1008" t="inlineStr">
        <is>
          <t>虚拟产品</t>
        </is>
      </c>
      <c r="W1008" s="3">
        <v>46038</v>
      </c>
      <c r="X1008" t="inlineStr">
        <is>
          <t>01</t>
        </is>
      </c>
      <c r="Y1008" t="inlineStr">
        <is>
          <t>2026-Q1</t>
        </is>
      </c>
    </row>
    <row r="1009" ht="38.25" customHeight="1">
      <c r="A1009" t="inlineStr">
        <is>
          <t>人美版 新教材三年级上册（全册课件+教案）链接</t>
        </is>
      </c>
      <c r="B1009" t="inlineStr">
        <is>
          <t>recv8r6runCCVV.jpg</t>
        </is>
      </c>
      <c r="C1009" s="2" t="str">
        <f>=HYPERLINK("https://xhslink.com/m/3zdvfhzPTq9", "https://xhslink.com/m/3zdvfhzPTq9")</f>
        <v>https://xhslink.com/m/3zdvfhzPTq9</v>
      </c>
      <c r="D1009"/>
      <c r="E1009">
        <v>2402</v>
      </c>
      <c r="F1009">
        <v>7</v>
      </c>
      <c r="G1009"/>
      <c r="H1009"/>
      <c r="I1009">
        <v>800</v>
      </c>
      <c r="J1009"/>
      <c r="K1009" t="inlineStr">
        <is>
          <t>PPT</t>
        </is>
      </c>
      <c r="L1009"/>
      <c r="M1009" t="inlineStr">
        <is>
          <t>戴珍珠耳环的少女-的店</t>
        </is>
      </c>
      <c r="N1009">
        <v>8615</v>
      </c>
      <c r="O1009">
        <v>4.51</v>
      </c>
      <c r="P1009">
        <v>27000</v>
      </c>
      <c r="Q1009" t="inlineStr">
        <is>
          <t>68a676a936ab3b0001a37ed9</t>
        </is>
      </c>
      <c r="R1009"/>
      <c r="S1009" t="inlineStr">
        <is>
          <t>中小学教辅/教材</t>
        </is>
      </c>
      <c r="T1009" t="inlineStr">
        <is>
          <t>0.28</t>
        </is>
      </c>
      <c r="U1009" s="3">
        <v>46112.78107638889</v>
      </c>
      <c r="V1009" t="inlineStr">
        <is>
          <t>虚拟产品</t>
        </is>
      </c>
      <c r="W1009" s="3">
        <v>46038</v>
      </c>
      <c r="X1009" t="inlineStr">
        <is>
          <t>01</t>
        </is>
      </c>
      <c r="Y1009" t="inlineStr">
        <is>
          <t>2026-Q1</t>
        </is>
      </c>
    </row>
    <row r="1010" ht="38.25" customHeight="1">
      <c r="A1010" t="inlineStr">
        <is>
          <t>四上优质公开课︳课件+教案+逐字稿+观摩视频（具体参考笔记） ·</t>
        </is>
      </c>
      <c r="B1010" t="inlineStr">
        <is>
          <t>recv8r6rundtBr.jpg</t>
        </is>
      </c>
      <c r="C1010" s="2" t="str">
        <f>=HYPERLINK("https://xhslink.com/m/2nEKeX0DMwc", "https://xhslink.com/m/2nEKeX0DMwc")</f>
        <v>https://xhslink.com/m/2nEKeX0DMwc</v>
      </c>
      <c r="D1010"/>
      <c r="E1010">
        <v>2348</v>
      </c>
      <c r="F1010">
        <v>9.9</v>
      </c>
      <c r="G1010"/>
      <c r="H1010"/>
      <c r="I1010">
        <v>1000</v>
      </c>
      <c r="J1010"/>
      <c r="K1010" t="inlineStr">
        <is>
          <t>PPT</t>
        </is>
      </c>
      <c r="L1010"/>
      <c r="M1010" t="inlineStr">
        <is>
          <t>小凌老师资料库的店</t>
        </is>
      </c>
      <c r="N1010">
        <v>1418</v>
      </c>
      <c r="O1010">
        <v>4.28</v>
      </c>
      <c r="P1010">
        <v>17000</v>
      </c>
      <c r="Q1010" t="inlineStr">
        <is>
          <t>68722c69e53c10001542e6d8</t>
        </is>
      </c>
      <c r="R1010"/>
      <c r="S1010" t="inlineStr">
        <is>
          <t>中小学教辅/教材</t>
        </is>
      </c>
      <c r="T1010" t="inlineStr">
        <is>
          <t>1.66</t>
        </is>
      </c>
      <c r="U1010" s="3">
        <v>46112.78107638889</v>
      </c>
      <c r="V1010" t="inlineStr">
        <is>
          <t>虚拟产品</t>
        </is>
      </c>
      <c r="W1010" s="3">
        <v>46038</v>
      </c>
      <c r="X1010" t="inlineStr">
        <is>
          <t>01</t>
        </is>
      </c>
      <c r="Y1010" t="inlineStr">
        <is>
          <t>2026-Q1</t>
        </is>
      </c>
    </row>
    <row r="1011" ht="38.25" customHeight="1">
      <c r="A1011" t="inlineStr">
        <is>
          <t>【拍下秒发】全系列年终总结｜工作总结｜述职</t>
        </is>
      </c>
      <c r="B1011" t="inlineStr">
        <is>
          <t>recv8r6runmvB4.jpg</t>
        </is>
      </c>
      <c r="C1011" s="2" t="str">
        <f>=HYPERLINK("https://xhslink.com/m/RWSxt2j5En", "https://xhslink.com/m/RWSxt2j5En")</f>
        <v>https://xhslink.com/m/RWSxt2j5En</v>
      </c>
      <c r="D1011"/>
      <c r="E1011">
        <v>2259</v>
      </c>
      <c r="F1011">
        <v>3.99</v>
      </c>
      <c r="G1011"/>
      <c r="H1011"/>
      <c r="I1011">
        <v>400</v>
      </c>
      <c r="J1011"/>
      <c r="K1011" t="inlineStr">
        <is>
          <t>PPT</t>
        </is>
      </c>
      <c r="L1011"/>
      <c r="M1011" t="inlineStr">
        <is>
          <t>小Da努力写PPT的店</t>
        </is>
      </c>
      <c r="N1011">
        <v>12000</v>
      </c>
      <c r="O1011">
        <v>4.24</v>
      </c>
      <c r="P1011">
        <v>40000</v>
      </c>
      <c r="Q1011" t="inlineStr">
        <is>
          <t>678f19c4797bed00015f0a3b</t>
        </is>
      </c>
      <c r="R1011" t="inlineStr">
        <is>
          <t>🚫重复</t>
        </is>
      </c>
      <c r="S1011" t="inlineStr">
        <is>
          <t>求职面试/职场</t>
        </is>
      </c>
      <c r="T1011" t="inlineStr">
        <is>
          <t>0.19</t>
        </is>
      </c>
      <c r="U1011" s="3">
        <v>46112.78107638889</v>
      </c>
      <c r="V1011" t="inlineStr">
        <is>
          <t>虚拟产品</t>
        </is>
      </c>
      <c r="W1011" s="3">
        <v>46038</v>
      </c>
      <c r="X1011" t="inlineStr">
        <is>
          <t>01</t>
        </is>
      </c>
      <c r="Y1011" t="inlineStr">
        <is>
          <t>2026-Q1</t>
        </is>
      </c>
    </row>
    <row r="1012" ht="38.25" customHeight="1">
      <c r="A1012" t="inlineStr">
        <is>
          <t>八上16《白杨礼赞》（课件+教案+导学案）</t>
        </is>
      </c>
      <c r="B1012" t="inlineStr">
        <is>
          <t>recv8r6run0GIa.jpg</t>
        </is>
      </c>
      <c r="C1012" s="2" t="str">
        <f>=HYPERLINK("https://xhslink.com/m/1vM4yXf17L", "https://xhslink.com/m/1vM4yXf17L")</f>
        <v>https://xhslink.com/m/1vM4yXf17L</v>
      </c>
      <c r="D1012"/>
      <c r="E1012">
        <v>2152</v>
      </c>
      <c r="F1012">
        <v>9.9</v>
      </c>
      <c r="G1012"/>
      <c r="H1012"/>
      <c r="I1012">
        <v>1000</v>
      </c>
      <c r="J1012"/>
      <c r="K1012" t="inlineStr">
        <is>
          <t>PPT</t>
        </is>
      </c>
      <c r="L1012"/>
      <c r="M1012" t="inlineStr">
        <is>
          <t>毛颖传奇的店</t>
        </is>
      </c>
      <c r="N1012">
        <v>28000</v>
      </c>
      <c r="O1012">
        <v>4.4</v>
      </c>
      <c r="P1012">
        <v>119000</v>
      </c>
      <c r="Q1012" t="inlineStr">
        <is>
          <t>673eeb626a482a0001a108c9</t>
        </is>
      </c>
      <c r="R1012" t="inlineStr">
        <is>
          <t>🚫重复</t>
        </is>
      </c>
      <c r="S1012" t="inlineStr">
        <is>
          <t>中小学教辅/教材</t>
        </is>
      </c>
      <c r="T1012" t="inlineStr">
        <is>
          <t>0.08</t>
        </is>
      </c>
      <c r="U1012" s="3">
        <v>46112.78107638889</v>
      </c>
      <c r="V1012" t="inlineStr">
        <is>
          <t>虚拟产品</t>
        </is>
      </c>
      <c r="W1012" s="3">
        <v>46038</v>
      </c>
      <c r="X1012" t="inlineStr">
        <is>
          <t>01</t>
        </is>
      </c>
      <c r="Y1012" t="inlineStr">
        <is>
          <t>2026-Q1</t>
        </is>
      </c>
    </row>
    <row r="1013" ht="38.25" customHeight="1">
      <c r="A1013" t="inlineStr">
        <is>
          <t>40款课前小游戏精美课件  (拍下客服界面自动发网盘)</t>
        </is>
      </c>
      <c r="B1013" t="inlineStr">
        <is>
          <t>recv8r6run6PaL.jpg</t>
        </is>
      </c>
      <c r="C1013" s="2" t="str">
        <f>=HYPERLINK("https://xhslink.com/m/8VUZFctKVSp", "https://xhslink.com/m/8VUZFctKVSp")</f>
        <v>https://xhslink.com/m/8VUZFctKVSp</v>
      </c>
      <c r="D1013"/>
      <c r="E1013">
        <v>14000</v>
      </c>
      <c r="F1013">
        <v>4.9</v>
      </c>
      <c r="G1013"/>
      <c r="H1013"/>
      <c r="I1013">
        <v>1000</v>
      </c>
      <c r="J1013"/>
      <c r="K1013" t="inlineStr">
        <is>
          <t>PPT</t>
        </is>
      </c>
      <c r="L1013"/>
      <c r="M1013" t="inlineStr">
        <is>
          <t>小玉老师up的店</t>
        </is>
      </c>
      <c r="N1013">
        <v>15000</v>
      </c>
      <c r="O1013">
        <v>4.48</v>
      </c>
      <c r="P1013">
        <v>28000</v>
      </c>
      <c r="Q1013" t="inlineStr">
        <is>
          <t>66f5f21bcf4b6d0001d5c2c3</t>
        </is>
      </c>
      <c r="R1013" t="inlineStr">
        <is>
          <t>🚫重复</t>
        </is>
      </c>
      <c r="S1013" t="inlineStr">
        <is>
          <t>中小学教辅/教材</t>
        </is>
      </c>
      <c r="T1013" t="inlineStr">
        <is>
          <t>0.93</t>
        </is>
      </c>
      <c r="U1013" s="3">
        <v>46112.78107638889</v>
      </c>
      <c r="V1013" t="inlineStr">
        <is>
          <t>虚拟产品</t>
        </is>
      </c>
      <c r="W1013" s="3">
        <v>46038</v>
      </c>
      <c r="X1013" t="inlineStr">
        <is>
          <t>01</t>
        </is>
      </c>
      <c r="Y1013" t="inlineStr">
        <is>
          <t>2026-Q1</t>
        </is>
      </c>
    </row>
    <row r="1014" ht="38.25" customHeight="1">
      <c r="A1014" t="inlineStr">
        <is>
          <t>幼儿园公开课｜单份（备注课件名哦）</t>
        </is>
      </c>
      <c r="B1014" t="inlineStr">
        <is>
          <t>recv8r6runr4q9.jpg</t>
        </is>
      </c>
      <c r="C1014" s="2" t="str">
        <f>=HYPERLINK("https://xhslink.com/m/5ZsT8XkPPiq", "https://xhslink.com/m/5ZsT8XkPPiq")</f>
        <v>https://xhslink.com/m/5ZsT8XkPPiq</v>
      </c>
      <c r="D1014"/>
      <c r="E1014">
        <v>17000</v>
      </c>
      <c r="F1014">
        <v>8.8</v>
      </c>
      <c r="G1014"/>
      <c r="H1014"/>
      <c r="I1014">
        <v>800</v>
      </c>
      <c r="J1014"/>
      <c r="K1014" t="inlineStr">
        <is>
          <t>PPT</t>
        </is>
      </c>
      <c r="L1014"/>
      <c r="M1014" t="inlineStr">
        <is>
          <t>木子.的店</t>
        </is>
      </c>
      <c r="N1014">
        <v>7881</v>
      </c>
      <c r="O1014">
        <v>4.58</v>
      </c>
      <c r="P1014">
        <v>20000</v>
      </c>
      <c r="Q1014" t="inlineStr">
        <is>
          <t>65c277f3ab70d10001249557</t>
        </is>
      </c>
      <c r="R1014"/>
      <c r="S1014" t="inlineStr">
        <is>
          <t>幼教资料</t>
        </is>
      </c>
      <c r="T1014" t="inlineStr">
        <is>
          <t>2.16</t>
        </is>
      </c>
      <c r="U1014" s="3">
        <v>46112.78107638889</v>
      </c>
      <c r="V1014" t="inlineStr">
        <is>
          <t>虚拟产品</t>
        </is>
      </c>
      <c r="W1014" s="3">
        <v>46038</v>
      </c>
      <c r="X1014" t="inlineStr">
        <is>
          <t>01</t>
        </is>
      </c>
      <c r="Y1014" t="inlineStr">
        <is>
          <t>2026-Q1</t>
        </is>
      </c>
    </row>
    <row r="1015" ht="38.25" customHeight="1">
      <c r="A1015" t="inlineStr">
        <is>
          <t>幼儿园大中小五大领域公开课资料</t>
        </is>
      </c>
      <c r="B1015" t="inlineStr">
        <is>
          <t>recv8r6run3Jbn.jpg</t>
        </is>
      </c>
      <c r="C1015" s="2" t="str">
        <f>=HYPERLINK("https://xhslink.com/m/1AOBEDlW8Iz", "https://xhslink.com/m/1AOBEDlW8Iz")</f>
        <v>https://xhslink.com/m/1AOBEDlW8Iz</v>
      </c>
      <c r="D1015"/>
      <c r="E1015">
        <v>12000</v>
      </c>
      <c r="F1015">
        <v>7.8</v>
      </c>
      <c r="G1015"/>
      <c r="H1015"/>
      <c r="I1015">
        <v>1000</v>
      </c>
      <c r="J1015"/>
      <c r="K1015" t="inlineStr">
        <is>
          <t>PPT</t>
        </is>
      </c>
      <c r="L1015"/>
      <c r="M1015" t="inlineStr">
        <is>
          <t>琪琪幼教（私信不回）的店</t>
        </is>
      </c>
      <c r="N1015">
        <v>9468</v>
      </c>
      <c r="O1015">
        <v>4.5</v>
      </c>
      <c r="P1015">
        <v>16000</v>
      </c>
      <c r="Q1015" t="inlineStr">
        <is>
          <t>65cf6cc96dd2870001e546fa</t>
        </is>
      </c>
      <c r="R1015" t="inlineStr">
        <is>
          <t>🚫重复</t>
        </is>
      </c>
      <c r="S1015" t="inlineStr">
        <is>
          <t>幼教资料</t>
        </is>
      </c>
      <c r="T1015" t="inlineStr">
        <is>
          <t>1.27</t>
        </is>
      </c>
      <c r="U1015" s="3">
        <v>46112.78107638889</v>
      </c>
      <c r="V1015" t="inlineStr">
        <is>
          <t>虚拟产品</t>
        </is>
      </c>
      <c r="W1015" s="3">
        <v>46038</v>
      </c>
      <c r="X1015" t="inlineStr">
        <is>
          <t>01</t>
        </is>
      </c>
      <c r="Y1015" t="inlineStr">
        <is>
          <t>2026-Q1</t>
        </is>
      </c>
    </row>
    <row r="1016" ht="38.25" customHeight="1">
      <c r="A1016" t="inlineStr">
        <is>
          <t>新版人教版小学数学一二三四五六年级上下册课件教案</t>
        </is>
      </c>
      <c r="B1016" t="inlineStr">
        <is>
          <t>recv8r6runcMwU.jpg</t>
        </is>
      </c>
      <c r="C1016" s="2" t="str">
        <f>=HYPERLINK("https://xhslink.com/m/7ksBCO5hbeR", "https://xhslink.com/m/7ksBCO5hbeR")</f>
        <v>https://xhslink.com/m/7ksBCO5hbeR</v>
      </c>
      <c r="D1016"/>
      <c r="E1016">
        <v>8325</v>
      </c>
      <c r="F1016">
        <v>6</v>
      </c>
      <c r="G1016"/>
      <c r="H1016"/>
      <c r="I1016">
        <v>500</v>
      </c>
      <c r="J1016"/>
      <c r="K1016" t="inlineStr">
        <is>
          <t>PPT</t>
        </is>
      </c>
      <c r="L1016"/>
      <c r="M1016" t="inlineStr">
        <is>
          <t>kk老师优质课的店</t>
        </is>
      </c>
      <c r="N1016">
        <v>10000</v>
      </c>
      <c r="O1016">
        <v>4.23</v>
      </c>
      <c r="P1016">
        <v>28000</v>
      </c>
      <c r="Q1016" t="inlineStr">
        <is>
          <t>677e95c3b7763f00018d2fb1</t>
        </is>
      </c>
      <c r="R1016" t="inlineStr">
        <is>
          <t>🚫重复</t>
        </is>
      </c>
      <c r="S1016" t="inlineStr">
        <is>
          <t>中小学教辅/教材</t>
        </is>
      </c>
      <c r="T1016" t="inlineStr">
        <is>
          <t>0.83</t>
        </is>
      </c>
      <c r="U1016" s="3">
        <v>46112.78107638889</v>
      </c>
      <c r="V1016" t="inlineStr">
        <is>
          <t>虚拟产品</t>
        </is>
      </c>
      <c r="W1016" s="3">
        <v>46038</v>
      </c>
      <c r="X1016" t="inlineStr">
        <is>
          <t>01</t>
        </is>
      </c>
      <c r="Y1016" t="inlineStr">
        <is>
          <t>2026-Q1</t>
        </is>
      </c>
    </row>
    <row r="1017" ht="38.25" customHeight="1">
      <c r="A1017" t="inlineStr">
        <is>
          <t>（百度网盘链接）初中人教版英语单个阅读课、听说课</t>
        </is>
      </c>
      <c r="B1017" t="inlineStr">
        <is>
          <t>recv8r6runjVWZ.jpg</t>
        </is>
      </c>
      <c r="C1017" s="2" t="str">
        <f>=HYPERLINK("https://xhslink.com/m/5gWZ1mtx2QU", "https://xhslink.com/m/5gWZ1mtx2QU")</f>
        <v>https://xhslink.com/m/5gWZ1mtx2QU</v>
      </c>
      <c r="D1017"/>
      <c r="E1017">
        <v>6743</v>
      </c>
      <c r="F1017">
        <v>8.8</v>
      </c>
      <c r="G1017"/>
      <c r="H1017"/>
      <c r="I1017">
        <v>2000</v>
      </c>
      <c r="J1017"/>
      <c r="K1017" t="inlineStr">
        <is>
          <t>PPT</t>
        </is>
      </c>
      <c r="L1017"/>
      <c r="M1017" t="inlineStr">
        <is>
          <t>锅锅原创课件的店</t>
        </is>
      </c>
      <c r="N1017">
        <v>18000</v>
      </c>
      <c r="O1017">
        <v>4.09</v>
      </c>
      <c r="P1017">
        <v>9307</v>
      </c>
      <c r="Q1017" t="inlineStr">
        <is>
          <t>67d131865fc3f70001e4806b</t>
        </is>
      </c>
      <c r="R1017" t="inlineStr">
        <is>
          <t>🚫重复</t>
        </is>
      </c>
      <c r="S1017" t="inlineStr">
        <is>
          <t>中小学教辅/教材</t>
        </is>
      </c>
      <c r="T1017" t="inlineStr">
        <is>
          <t>0.37</t>
        </is>
      </c>
      <c r="U1017" s="3">
        <v>46112.78107638889</v>
      </c>
      <c r="V1017" t="inlineStr">
        <is>
          <t>虚拟产品</t>
        </is>
      </c>
      <c r="W1017" s="3">
        <v>46038</v>
      </c>
      <c r="X1017" t="inlineStr">
        <is>
          <t>01</t>
        </is>
      </c>
      <c r="Y1017" t="inlineStr">
        <is>
          <t>2026-Q1</t>
        </is>
      </c>
    </row>
    <row r="1018" ht="38.25" customHeight="1">
      <c r="A1018" t="inlineStr">
        <is>
          <t>【K30】25新版三上语文大单元公开课任务群课件+详细教案</t>
        </is>
      </c>
      <c r="B1018" t="inlineStr">
        <is>
          <t>recv8r6runIsGr.jpg</t>
        </is>
      </c>
      <c r="C1018" s="2" t="str">
        <f>=HYPERLINK("https://xhslink.com/m/3Z5Fm2RIDT2", "https://xhslink.com/m/3Z5Fm2RIDT2")</f>
        <v>https://xhslink.com/m/3Z5Fm2RIDT2</v>
      </c>
      <c r="D1018"/>
      <c r="E1018">
        <v>6484</v>
      </c>
      <c r="F1018">
        <v>9.9</v>
      </c>
      <c r="G1018"/>
      <c r="H1018"/>
      <c r="I1018">
        <v>4000</v>
      </c>
      <c r="J1018"/>
      <c r="K1018" t="inlineStr">
        <is>
          <t>PPT</t>
        </is>
      </c>
      <c r="L1018"/>
      <c r="M1018" t="inlineStr">
        <is>
          <t>小雪老师的课堂的店</t>
        </is>
      </c>
      <c r="N1018">
        <v>15000</v>
      </c>
      <c r="O1018">
        <v>4.34</v>
      </c>
      <c r="P1018">
        <v>81000</v>
      </c>
      <c r="Q1018" t="inlineStr">
        <is>
          <t>68ba684f24d64a0001ae82cc</t>
        </is>
      </c>
      <c r="R1018" t="inlineStr">
        <is>
          <t>🚫重复</t>
        </is>
      </c>
      <c r="S1018" t="inlineStr">
        <is>
          <t>中小学教辅/教材</t>
        </is>
      </c>
      <c r="T1018" t="inlineStr">
        <is>
          <t>0.43</t>
        </is>
      </c>
      <c r="U1018" s="3">
        <v>46112.78107638889</v>
      </c>
      <c r="V1018" t="inlineStr">
        <is>
          <t>虚拟产品</t>
        </is>
      </c>
      <c r="W1018" s="3">
        <v>46038</v>
      </c>
      <c r="X1018" t="inlineStr">
        <is>
          <t>01</t>
        </is>
      </c>
      <c r="Y1018" t="inlineStr">
        <is>
          <t>2026-Q1</t>
        </is>
      </c>
    </row>
    <row r="1019" ht="38.25" customHeight="1">
      <c r="A1019" t="inlineStr">
        <is>
          <t>百度网盘链接发货，任意单份5.9</t>
        </is>
      </c>
      <c r="B1019" t="inlineStr">
        <is>
          <t>recv8r6runOzul.jpg</t>
        </is>
      </c>
      <c r="C1019" s="2" t="str">
        <f>=HYPERLINK("https://xhslink.com/m/68Ybl8oeZtZ", "https://xhslink.com/m/68Ybl8oeZtZ")</f>
        <v>https://xhslink.com/m/68Ybl8oeZtZ</v>
      </c>
      <c r="D1019"/>
      <c r="E1019">
        <v>6578</v>
      </c>
      <c r="F1019">
        <v>5.9</v>
      </c>
      <c r="G1019"/>
      <c r="H1019"/>
      <c r="I1019">
        <v>2000</v>
      </c>
      <c r="J1019"/>
      <c r="K1019" t="inlineStr">
        <is>
          <t>PPT</t>
        </is>
      </c>
      <c r="L1019"/>
      <c r="M1019" t="inlineStr">
        <is>
          <t>南枳PPT的店</t>
        </is>
      </c>
      <c r="N1019">
        <v>3615</v>
      </c>
      <c r="O1019">
        <v>4.5</v>
      </c>
      <c r="P1019">
        <v>7277</v>
      </c>
      <c r="Q1019" t="inlineStr">
        <is>
          <t>67336e04181935000135f8df</t>
        </is>
      </c>
      <c r="R1019"/>
      <c r="S1019" t="inlineStr">
        <is>
          <t>PPT模板</t>
        </is>
      </c>
      <c r="T1019" t="inlineStr">
        <is>
          <t>1.82</t>
        </is>
      </c>
      <c r="U1019" s="3">
        <v>46112.78107638889</v>
      </c>
      <c r="V1019" t="inlineStr">
        <is>
          <t>虚拟产品</t>
        </is>
      </c>
      <c r="W1019" s="3">
        <v>46038</v>
      </c>
      <c r="X1019" t="inlineStr">
        <is>
          <t>01</t>
        </is>
      </c>
      <c r="Y1019" t="inlineStr">
        <is>
          <t>2026-Q1</t>
        </is>
      </c>
    </row>
    <row r="1020" ht="38.25" customHeight="1">
      <c r="A1020" t="inlineStr">
        <is>
          <t>需要哪个视频备注视频名称，直接下单即可</t>
        </is>
      </c>
      <c r="B1020" t="inlineStr">
        <is>
          <t>recv8r6runJfgA.jpg</t>
        </is>
      </c>
      <c r="C1020" s="2" t="str">
        <f>=HYPERLINK("https://xhslink.com/m/X5gaT2vEPA", "https://xhslink.com/m/X5gaT2vEPA")</f>
        <v>https://xhslink.com/m/X5gaT2vEPA</v>
      </c>
      <c r="D1020"/>
      <c r="E1020">
        <v>6461</v>
      </c>
      <c r="F1020">
        <v>9.9</v>
      </c>
      <c r="G1020"/>
      <c r="H1020"/>
      <c r="I1020">
        <v>800</v>
      </c>
      <c r="J1020"/>
      <c r="K1020" t="inlineStr">
        <is>
          <t>PPT</t>
        </is>
      </c>
      <c r="L1020"/>
      <c r="M1020" t="inlineStr">
        <is>
          <t>Rosy同学视频的店</t>
        </is>
      </c>
      <c r="N1020">
        <v>2899</v>
      </c>
      <c r="O1020">
        <v>4.51</v>
      </c>
      <c r="P1020">
        <v>6573</v>
      </c>
      <c r="Q1020" t="inlineStr">
        <is>
          <t>6645a60d50a08c0001939d8c</t>
        </is>
      </c>
      <c r="R1020"/>
      <c r="S1020" t="inlineStr">
        <is>
          <t>PPT模板</t>
        </is>
      </c>
      <c r="T1020" t="inlineStr">
        <is>
          <t>2.23</t>
        </is>
      </c>
      <c r="U1020" s="3">
        <v>46112.78107638889</v>
      </c>
      <c r="V1020" t="inlineStr">
        <is>
          <t>虚拟产品</t>
        </is>
      </c>
      <c r="W1020" s="3">
        <v>46038</v>
      </c>
      <c r="X1020" t="inlineStr">
        <is>
          <t>01</t>
        </is>
      </c>
      <c r="Y1020" t="inlineStr">
        <is>
          <t>2026-Q1</t>
        </is>
      </c>
    </row>
    <row r="1021" ht="38.25" customHeight="1">
      <c r="A1021" t="inlineStr">
        <is>
          <t>三年级家长会《拾阶而上，共育花开》</t>
        </is>
      </c>
      <c r="B1021" t="inlineStr">
        <is>
          <t>recv8r6runwfzv.jpg</t>
        </is>
      </c>
      <c r="C1021" s="2" t="str">
        <f>=HYPERLINK("https://xhslink.com/m/61yiTAEg9Oy", "https://xhslink.com/m/61yiTAEg9Oy")</f>
        <v>https://xhslink.com/m/61yiTAEg9Oy</v>
      </c>
      <c r="D1021"/>
      <c r="E1021">
        <v>5778</v>
      </c>
      <c r="F1021">
        <v>9.9</v>
      </c>
      <c r="G1021"/>
      <c r="H1021"/>
      <c r="I1021">
        <v>3000</v>
      </c>
      <c r="J1021"/>
      <c r="K1021" t="inlineStr">
        <is>
          <t>PPT</t>
        </is>
      </c>
      <c r="L1021"/>
      <c r="M1021" t="inlineStr">
        <is>
          <t>小雨老师的课堂的店</t>
        </is>
      </c>
      <c r="N1021">
        <v>7804</v>
      </c>
      <c r="O1021">
        <v>4.37</v>
      </c>
      <c r="P1021">
        <v>41000</v>
      </c>
      <c r="Q1021" t="inlineStr">
        <is>
          <t>68a3285d7313330001ce1932</t>
        </is>
      </c>
      <c r="R1021" t="inlineStr">
        <is>
          <t>🚫重复</t>
        </is>
      </c>
      <c r="S1021" t="inlineStr">
        <is>
          <t>老师资料</t>
        </is>
      </c>
      <c r="T1021" t="inlineStr">
        <is>
          <t>0.74</t>
        </is>
      </c>
      <c r="U1021" s="3">
        <v>46112.78107638889</v>
      </c>
      <c r="V1021" t="inlineStr">
        <is>
          <t>虚拟产品</t>
        </is>
      </c>
      <c r="W1021" s="3">
        <v>46038</v>
      </c>
      <c r="X1021" t="inlineStr">
        <is>
          <t>01</t>
        </is>
      </c>
      <c r="Y1021" t="inlineStr">
        <is>
          <t>2026-Q1</t>
        </is>
      </c>
    </row>
    <row r="1022" ht="38.25" customHeight="1">
      <c r="A1022" t="inlineStr">
        <is>
          <t>任意一课硬笔书法课件【拍后请备注课件名称】</t>
        </is>
      </c>
      <c r="B1022" t="inlineStr">
        <is>
          <t>recv8r6runToWI.jpg</t>
        </is>
      </c>
      <c r="C1022" s="2" t="str">
        <f>=HYPERLINK("https://xhslink.com/m/90j6WbRGPW9", "https://xhslink.com/m/90j6WbRGPW9")</f>
        <v>https://xhslink.com/m/90j6WbRGPW9</v>
      </c>
      <c r="D1022"/>
      <c r="E1022">
        <v>5643</v>
      </c>
      <c r="F1022">
        <v>6.8</v>
      </c>
      <c r="G1022"/>
      <c r="H1022"/>
      <c r="I1022">
        <v>600</v>
      </c>
      <c r="J1022"/>
      <c r="K1022" t="inlineStr">
        <is>
          <t>PPT</t>
        </is>
      </c>
      <c r="L1022"/>
      <c r="M1022" t="inlineStr">
        <is>
          <t>方舟书院【张】的店</t>
        </is>
      </c>
      <c r="N1022">
        <v>6991</v>
      </c>
      <c r="O1022">
        <v>4.56</v>
      </c>
      <c r="P1022">
        <v>9160</v>
      </c>
      <c r="Q1022" t="inlineStr">
        <is>
          <t>6627400c1387b40001deb1c3</t>
        </is>
      </c>
      <c r="R1022"/>
      <c r="S1022" t="inlineStr">
        <is>
          <t>中小学教辅/教材</t>
        </is>
      </c>
      <c r="T1022" t="inlineStr">
        <is>
          <t>0.81</t>
        </is>
      </c>
      <c r="U1022" s="3">
        <v>46112.78107638889</v>
      </c>
      <c r="V1022" t="inlineStr">
        <is>
          <t>虚拟产品</t>
        </is>
      </c>
      <c r="W1022" s="3">
        <v>46038</v>
      </c>
      <c r="X1022" t="inlineStr">
        <is>
          <t>01</t>
        </is>
      </c>
      <c r="Y1022" t="inlineStr">
        <is>
          <t>2026-Q1</t>
        </is>
      </c>
    </row>
    <row r="1023" ht="38.25" customHeight="1">
      <c r="A1023" t="inlineStr">
        <is>
          <t>【K40】25新版四上大单元任务群公开课课件+详细教案</t>
        </is>
      </c>
      <c r="B1023" t="inlineStr">
        <is>
          <t>recv8r6runRaoA.jpg</t>
        </is>
      </c>
      <c r="C1023" s="2" t="str">
        <f>=HYPERLINK("https://xhslink.com/m/1Go1yEJvpwK", "https://xhslink.com/m/1Go1yEJvpwK")</f>
        <v>https://xhslink.com/m/1Go1yEJvpwK</v>
      </c>
      <c r="D1023"/>
      <c r="E1023">
        <v>5520</v>
      </c>
      <c r="F1023">
        <v>9.9</v>
      </c>
      <c r="G1023"/>
      <c r="H1023"/>
      <c r="I1023">
        <v>3000</v>
      </c>
      <c r="J1023"/>
      <c r="K1023" t="inlineStr">
        <is>
          <t>PPT</t>
        </is>
      </c>
      <c r="L1023"/>
      <c r="M1023" t="inlineStr">
        <is>
          <t>小雪老师的课堂的店</t>
        </is>
      </c>
      <c r="N1023">
        <v>15000</v>
      </c>
      <c r="O1023">
        <v>4.34</v>
      </c>
      <c r="P1023">
        <v>81000</v>
      </c>
      <c r="Q1023" t="inlineStr">
        <is>
          <t>690ad2145c4f1900019e5ce0</t>
        </is>
      </c>
      <c r="R1023" t="inlineStr">
        <is>
          <t>🚫重复</t>
        </is>
      </c>
      <c r="S1023" t="inlineStr">
        <is>
          <t>中小学教辅/教材</t>
        </is>
      </c>
      <c r="T1023" t="inlineStr">
        <is>
          <t>0.37</t>
        </is>
      </c>
      <c r="U1023" s="3">
        <v>46112.78107638889</v>
      </c>
      <c r="V1023" t="inlineStr">
        <is>
          <t>虚拟产品</t>
        </is>
      </c>
      <c r="W1023" s="3">
        <v>46038</v>
      </c>
      <c r="X1023" t="inlineStr">
        <is>
          <t>01</t>
        </is>
      </c>
      <c r="Y1023" t="inlineStr">
        <is>
          <t>2026-Q1</t>
        </is>
      </c>
    </row>
    <row r="1024" ht="38.25" customHeight="1">
      <c r="A1024" t="inlineStr">
        <is>
          <t>全国自考本科自考英语二题库会员教材精讲网课电子版资料全国通用</t>
        </is>
      </c>
      <c r="B1024" t="inlineStr">
        <is>
          <t>recv8r6rundRyf.jpg</t>
        </is>
      </c>
      <c r="C1024" s="2" t="str">
        <f>=HYPERLINK("https://xhslink.com/m/38dlAjMBqX8", "https://xhslink.com/m/38dlAjMBqX8")</f>
        <v>https://xhslink.com/m/38dlAjMBqX8</v>
      </c>
      <c r="D1024"/>
      <c r="E1024">
        <v>4702</v>
      </c>
      <c r="F1024">
        <v>6.3</v>
      </c>
      <c r="G1024"/>
      <c r="H1024"/>
      <c r="I1024">
        <v>1000</v>
      </c>
      <c r="J1024"/>
      <c r="K1024" t="inlineStr">
        <is>
          <t>PPT</t>
        </is>
      </c>
      <c r="L1024" t="inlineStr">
        <is>
          <t>🔥低粉爆款</t>
        </is>
      </c>
      <c r="M1024" t="inlineStr">
        <is>
          <t>晓妍学姐的店</t>
        </is>
      </c>
      <c r="N1024">
        <v>454</v>
      </c>
      <c r="O1024">
        <v>4.55</v>
      </c>
      <c r="P1024">
        <v>5926</v>
      </c>
      <c r="Q1024" t="inlineStr">
        <is>
          <t>678519b1f825240001560d84</t>
        </is>
      </c>
      <c r="R1024"/>
      <c r="S1024" t="inlineStr">
        <is>
          <t>英语资料</t>
        </is>
      </c>
      <c r="T1024" t="inlineStr">
        <is>
          <t>10.36</t>
        </is>
      </c>
      <c r="U1024" s="3">
        <v>46112.78107638889</v>
      </c>
      <c r="V1024" t="inlineStr">
        <is>
          <t>虚拟产品</t>
        </is>
      </c>
      <c r="W1024" s="3">
        <v>46038</v>
      </c>
      <c r="X1024" t="inlineStr">
        <is>
          <t>01</t>
        </is>
      </c>
      <c r="Y1024" t="inlineStr">
        <is>
          <t>2026-Q1</t>
        </is>
      </c>
    </row>
    <row r="1025" ht="38.25" customHeight="1">
      <c r="A1025" t="inlineStr">
        <is>
          <t>【大班课程链接】幼儿园小中大班语言数学科学健康领域优质公开课</t>
        </is>
      </c>
      <c r="B1025" t="inlineStr">
        <is>
          <t>recv8r6runJw9b.jpg</t>
        </is>
      </c>
      <c r="C1025" s="2" t="str">
        <f>=HYPERLINK("https://xhslink.com/m/1UESqi03R2h", "https://xhslink.com/m/1UESqi03R2h")</f>
        <v>https://xhslink.com/m/1UESqi03R2h</v>
      </c>
      <c r="D1025"/>
      <c r="E1025">
        <v>4634</v>
      </c>
      <c r="F1025">
        <v>6.8</v>
      </c>
      <c r="G1025"/>
      <c r="H1025"/>
      <c r="I1025">
        <v>1000</v>
      </c>
      <c r="J1025"/>
      <c r="K1025" t="inlineStr">
        <is>
          <t>PPT</t>
        </is>
      </c>
      <c r="L1025"/>
      <c r="M1025" t="inlineStr">
        <is>
          <t>小团子幼教的店</t>
        </is>
      </c>
      <c r="N1025">
        <v>2102</v>
      </c>
      <c r="O1025">
        <v>4.39</v>
      </c>
      <c r="P1025">
        <v>8494</v>
      </c>
      <c r="Q1025" t="inlineStr">
        <is>
          <t>674d221ba7f7b300018b6617</t>
        </is>
      </c>
      <c r="R1025" t="inlineStr">
        <is>
          <t>🚫重复</t>
        </is>
      </c>
      <c r="S1025" t="inlineStr">
        <is>
          <t>幼教资料</t>
        </is>
      </c>
      <c r="T1025" t="inlineStr">
        <is>
          <t>2.20</t>
        </is>
      </c>
      <c r="U1025" s="3">
        <v>46112.78107638889</v>
      </c>
      <c r="V1025" t="inlineStr">
        <is>
          <t>虚拟产品</t>
        </is>
      </c>
      <c r="W1025" s="3">
        <v>46038</v>
      </c>
      <c r="X1025" t="inlineStr">
        <is>
          <t>01</t>
        </is>
      </c>
      <c r="Y1025" t="inlineStr">
        <is>
          <t>2026-Q1</t>
        </is>
      </c>
    </row>
    <row r="1026" ht="38.25" customHeight="1">
      <c r="A1026" t="inlineStr">
        <is>
          <t>二上语文课件合集（不分课时不退不换）</t>
        </is>
      </c>
      <c r="B1026" t="inlineStr">
        <is>
          <t>recv8r6runQebq.jpg</t>
        </is>
      </c>
      <c r="C1026" s="2" t="str">
        <f>=HYPERLINK("https://xhslink.com/m/5b7G8sG6LF0", "https://xhslink.com/m/5b7G8sG6LF0")</f>
        <v>https://xhslink.com/m/5b7G8sG6LF0</v>
      </c>
      <c r="D1026"/>
      <c r="E1026">
        <v>4591</v>
      </c>
      <c r="F1026">
        <v>5</v>
      </c>
      <c r="G1026"/>
      <c r="H1026"/>
      <c r="I1026">
        <v>300</v>
      </c>
      <c r="J1026"/>
      <c r="K1026" t="inlineStr">
        <is>
          <t>PPT</t>
        </is>
      </c>
      <c r="L1026"/>
      <c r="M1026" t="inlineStr">
        <is>
          <t>酷的走不停的Z的店</t>
        </is>
      </c>
      <c r="N1026">
        <v>7890</v>
      </c>
      <c r="O1026">
        <v>4.39</v>
      </c>
      <c r="P1026">
        <v>8330</v>
      </c>
      <c r="Q1026" t="inlineStr">
        <is>
          <t>6746f9d3ec68d700017923a2</t>
        </is>
      </c>
      <c r="R1026" t="inlineStr">
        <is>
          <t>🚫重复</t>
        </is>
      </c>
      <c r="S1026" t="inlineStr">
        <is>
          <t>中小学教辅/教材</t>
        </is>
      </c>
      <c r="T1026" t="inlineStr">
        <is>
          <t>0.58</t>
        </is>
      </c>
      <c r="U1026" s="3">
        <v>46112.78107638889</v>
      </c>
      <c r="V1026" t="inlineStr">
        <is>
          <t>虚拟产品</t>
        </is>
      </c>
      <c r="W1026" s="3">
        <v>46038</v>
      </c>
      <c r="X1026" t="inlineStr">
        <is>
          <t>01</t>
        </is>
      </c>
      <c r="Y1026" t="inlineStr">
        <is>
          <t>2026-Q1</t>
        </is>
      </c>
    </row>
    <row r="1027" ht="38.25" customHeight="1">
      <c r="A1027" t="inlineStr">
        <is>
          <t>数学期中家长会（上学期）（自选年级）</t>
        </is>
      </c>
      <c r="B1027" t="inlineStr">
        <is>
          <t>recv8r6runcw84.jpg</t>
        </is>
      </c>
      <c r="C1027" s="2" t="str">
        <f>=HYPERLINK("https://xhslink.com/m/4yfN3CLmLoj", "https://xhslink.com/m/4yfN3CLmLoj")</f>
        <v>https://xhslink.com/m/4yfN3CLmLoj</v>
      </c>
      <c r="D1027"/>
      <c r="E1027">
        <v>4603</v>
      </c>
      <c r="F1027">
        <v>9.9</v>
      </c>
      <c r="G1027"/>
      <c r="H1027"/>
      <c r="I1027">
        <v>1000</v>
      </c>
      <c r="J1027"/>
      <c r="K1027" t="inlineStr">
        <is>
          <t>PPT</t>
        </is>
      </c>
      <c r="L1027"/>
      <c r="M1027" t="inlineStr">
        <is>
          <t>小鹿伢的店</t>
        </is>
      </c>
      <c r="N1027">
        <v>17000</v>
      </c>
      <c r="O1027">
        <v>4.11</v>
      </c>
      <c r="P1027">
        <v>66000</v>
      </c>
      <c r="Q1027" t="inlineStr">
        <is>
          <t>67404e8f5f84e2000189e854</t>
        </is>
      </c>
      <c r="R1027" t="inlineStr">
        <is>
          <t>🚫重复</t>
        </is>
      </c>
      <c r="S1027" t="inlineStr">
        <is>
          <t>老师资料</t>
        </is>
      </c>
      <c r="T1027" t="inlineStr">
        <is>
          <t>0.27</t>
        </is>
      </c>
      <c r="U1027" s="3">
        <v>46112.78107638889</v>
      </c>
      <c r="V1027" t="inlineStr">
        <is>
          <t>虚拟产品</t>
        </is>
      </c>
      <c r="W1027" s="3">
        <v>46038</v>
      </c>
      <c r="X1027" t="inlineStr">
        <is>
          <t>01</t>
        </is>
      </c>
      <c r="Y1027" t="inlineStr">
        <is>
          <t>2026-Q1</t>
        </is>
      </c>
    </row>
    <row r="1028" ht="38.25" customHeight="1">
      <c r="A1028" t="inlineStr">
        <is>
          <t>【A52】五年级语文班主任家长会ppt和发言稿60页＋4296字</t>
        </is>
      </c>
      <c r="B1028" t="inlineStr">
        <is>
          <t>recv8r6runj8ZR.jpg</t>
        </is>
      </c>
      <c r="C1028" s="2" t="str">
        <f>=HYPERLINK("https://xhslink.com/m/8MA889KE5ov", "https://xhslink.com/m/8MA889KE5ov")</f>
        <v>https://xhslink.com/m/8MA889KE5ov</v>
      </c>
      <c r="D1028"/>
      <c r="E1028">
        <v>4453</v>
      </c>
      <c r="F1028">
        <v>9.9</v>
      </c>
      <c r="G1028"/>
      <c r="H1028"/>
      <c r="I1028">
        <v>900</v>
      </c>
      <c r="J1028"/>
      <c r="K1028" t="inlineStr">
        <is>
          <t>PPT</t>
        </is>
      </c>
      <c r="L1028"/>
      <c r="M1028" t="inlineStr">
        <is>
          <t>小雪老师的课堂的店</t>
        </is>
      </c>
      <c r="N1028">
        <v>15000</v>
      </c>
      <c r="O1028">
        <v>4.34</v>
      </c>
      <c r="P1028">
        <v>81000</v>
      </c>
      <c r="Q1028" t="inlineStr">
        <is>
          <t>66729df70f78be000127d67c</t>
        </is>
      </c>
      <c r="R1028" t="inlineStr">
        <is>
          <t>🚫重复</t>
        </is>
      </c>
      <c r="S1028" t="inlineStr">
        <is>
          <t>老师资料</t>
        </is>
      </c>
      <c r="T1028" t="inlineStr">
        <is>
          <t>0.30</t>
        </is>
      </c>
      <c r="U1028" s="3">
        <v>46112.78107638889</v>
      </c>
      <c r="V1028" t="inlineStr">
        <is>
          <t>虚拟产品</t>
        </is>
      </c>
      <c r="W1028" s="3">
        <v>46038</v>
      </c>
      <c r="X1028" t="inlineStr">
        <is>
          <t>01</t>
        </is>
      </c>
      <c r="Y1028" t="inlineStr">
        <is>
          <t>2026-Q1</t>
        </is>
      </c>
    </row>
    <row r="1029" ht="38.25" customHeight="1">
      <c r="A1029" t="inlineStr">
        <is>
          <t>0118新课标下数学家长会（可选年级）小夏老师原创PPT+发言稿</t>
        </is>
      </c>
      <c r="B1029" t="inlineStr">
        <is>
          <t>recv8r6runbcnv.jpg</t>
        </is>
      </c>
      <c r="C1029" s="2" t="str">
        <f>=HYPERLINK("https://xhslink.com/m/AZMSN0bnUKw", "https://xhslink.com/m/AZMSN0bnUKw")</f>
        <v>https://xhslink.com/m/AZMSN0bnUKw</v>
      </c>
      <c r="D1029"/>
      <c r="E1029">
        <v>4334</v>
      </c>
      <c r="F1029">
        <v>12.69</v>
      </c>
      <c r="G1029"/>
      <c r="H1029"/>
      <c r="I1029">
        <v>1000</v>
      </c>
      <c r="J1029"/>
      <c r="K1029" t="inlineStr">
        <is>
          <t>PPT</t>
        </is>
      </c>
      <c r="L1029"/>
      <c r="M1029" t="inlineStr">
        <is>
          <t>教书的小夏的店</t>
        </is>
      </c>
      <c r="N1029">
        <v>5840</v>
      </c>
      <c r="O1029">
        <v>4.29</v>
      </c>
      <c r="P1029">
        <v>7365</v>
      </c>
      <c r="Q1029" t="inlineStr">
        <is>
          <t>683c507653e72e00014bf465</t>
        </is>
      </c>
      <c r="R1029"/>
      <c r="S1029" t="inlineStr">
        <is>
          <t>老师资料</t>
        </is>
      </c>
      <c r="T1029" t="inlineStr">
        <is>
          <t>0.74</t>
        </is>
      </c>
      <c r="U1029" s="3">
        <v>46112.78107638889</v>
      </c>
      <c r="V1029" t="inlineStr">
        <is>
          <t>虚拟产品</t>
        </is>
      </c>
      <c r="W1029" s="3">
        <v>46038</v>
      </c>
      <c r="X1029" t="inlineStr">
        <is>
          <t>01</t>
        </is>
      </c>
      <c r="Y1029" t="inlineStr">
        <is>
          <t>2026-Q1</t>
        </is>
      </c>
    </row>
    <row r="1030" ht="38.25" customHeight="1">
      <c r="A1030" t="inlineStr">
        <is>
          <t>（自助下单 自动发货）ppt课堂小游戏成品</t>
        </is>
      </c>
      <c r="B1030" t="inlineStr">
        <is>
          <t>recv8r6runXAho.jpg</t>
        </is>
      </c>
      <c r="C1030" s="2" t="str">
        <f>=HYPERLINK("https://xhslink.com/m/5CB7dVjZzHx", "https://xhslink.com/m/5CB7dVjZzHx")</f>
        <v>https://xhslink.com/m/5CB7dVjZzHx</v>
      </c>
      <c r="D1030"/>
      <c r="E1030">
        <v>4442</v>
      </c>
      <c r="F1030">
        <v>0.99</v>
      </c>
      <c r="G1030"/>
      <c r="H1030"/>
      <c r="I1030">
        <v>700</v>
      </c>
      <c r="J1030"/>
      <c r="K1030" t="inlineStr">
        <is>
          <t>PPT</t>
        </is>
      </c>
      <c r="L1030" t="inlineStr">
        <is>
          <t>🔥低粉爆款</t>
        </is>
      </c>
      <c r="M1030" t="inlineStr">
        <is>
          <t>奋斗的葱白的店</t>
        </is>
      </c>
      <c r="N1030">
        <v>1082</v>
      </c>
      <c r="O1030">
        <v>3.98</v>
      </c>
      <c r="P1030">
        <v>5405</v>
      </c>
      <c r="Q1030" t="inlineStr">
        <is>
          <t>67060d274cd289000102b111</t>
        </is>
      </c>
      <c r="R1030"/>
      <c r="S1030" t="inlineStr">
        <is>
          <t>PPT模板</t>
        </is>
      </c>
      <c r="T1030" t="inlineStr">
        <is>
          <t>4.11</t>
        </is>
      </c>
      <c r="U1030" s="3">
        <v>46112.78107638889</v>
      </c>
      <c r="V1030" t="inlineStr">
        <is>
          <t>虚拟产品</t>
        </is>
      </c>
      <c r="W1030" s="3">
        <v>46038</v>
      </c>
      <c r="X1030" t="inlineStr">
        <is>
          <t>01</t>
        </is>
      </c>
      <c r="Y1030" t="inlineStr">
        <is>
          <t>2026-Q1</t>
        </is>
      </c>
    </row>
    <row r="1031" ht="38.25" customHeight="1">
      <c r="A1031" t="inlineStr">
        <is>
          <t>【K20】25新版二上语文大单元任务群公开课课件+详细教案</t>
        </is>
      </c>
      <c r="B1031" t="inlineStr">
        <is>
          <t>recv8r6runTkOP.jpg</t>
        </is>
      </c>
      <c r="C1031" s="2" t="str">
        <f>=HYPERLINK("https://xhslink.com/m/4iDiOaHZvmP", "https://xhslink.com/m/4iDiOaHZvmP")</f>
        <v>https://xhslink.com/m/4iDiOaHZvmP</v>
      </c>
      <c r="D1031"/>
      <c r="E1031">
        <v>4065</v>
      </c>
      <c r="F1031">
        <v>9.9</v>
      </c>
      <c r="G1031"/>
      <c r="H1031"/>
      <c r="I1031">
        <v>2000</v>
      </c>
      <c r="J1031"/>
      <c r="K1031" t="inlineStr">
        <is>
          <t>PPT</t>
        </is>
      </c>
      <c r="L1031"/>
      <c r="M1031" t="inlineStr">
        <is>
          <t>小雪老师的课堂的店</t>
        </is>
      </c>
      <c r="N1031">
        <v>15000</v>
      </c>
      <c r="O1031">
        <v>4.34</v>
      </c>
      <c r="P1031">
        <v>81000</v>
      </c>
      <c r="Q1031" t="inlineStr">
        <is>
          <t>6877069c22713e00011f0ff5</t>
        </is>
      </c>
      <c r="R1031" t="inlineStr">
        <is>
          <t>🚫重复</t>
        </is>
      </c>
      <c r="S1031" t="inlineStr">
        <is>
          <t>中小学教辅/教材</t>
        </is>
      </c>
      <c r="T1031" t="inlineStr">
        <is>
          <t>0.27</t>
        </is>
      </c>
      <c r="U1031" s="3">
        <v>46112.78107638889</v>
      </c>
      <c r="V1031" t="inlineStr">
        <is>
          <t>虚拟产品</t>
        </is>
      </c>
      <c r="W1031" s="3">
        <v>46038</v>
      </c>
      <c r="X1031" t="inlineStr">
        <is>
          <t>01</t>
        </is>
      </c>
      <c r="Y1031" t="inlineStr">
        <is>
          <t>2026-Q1</t>
        </is>
      </c>
    </row>
    <row r="1032" ht="38.25" customHeight="1">
      <c r="A1032" t="inlineStr">
        <is>
          <t>【A42】四年级家校合力语文班主任家长会PPT＋文稿</t>
        </is>
      </c>
      <c r="B1032" t="inlineStr">
        <is>
          <t>recv8r6runSuq5.jpg</t>
        </is>
      </c>
      <c r="C1032" s="2" t="str">
        <f>=HYPERLINK("https://xhslink.com/m/7p5keELhwJK", "https://xhslink.com/m/7p5keELhwJK")</f>
        <v>https://xhslink.com/m/7p5keELhwJK</v>
      </c>
      <c r="D1032"/>
      <c r="E1032">
        <v>3484</v>
      </c>
      <c r="F1032">
        <v>9.9</v>
      </c>
      <c r="G1032"/>
      <c r="H1032"/>
      <c r="I1032">
        <v>400</v>
      </c>
      <c r="J1032"/>
      <c r="K1032" t="inlineStr">
        <is>
          <t>PPT</t>
        </is>
      </c>
      <c r="L1032"/>
      <c r="M1032" t="inlineStr">
        <is>
          <t>小雪老师的课堂的店</t>
        </is>
      </c>
      <c r="N1032">
        <v>15000</v>
      </c>
      <c r="O1032">
        <v>4.34</v>
      </c>
      <c r="P1032">
        <v>81000</v>
      </c>
      <c r="Q1032" t="inlineStr">
        <is>
          <t>6683ad74c8f3fa0001dbbbcb</t>
        </is>
      </c>
      <c r="R1032" t="inlineStr">
        <is>
          <t>🚫重复</t>
        </is>
      </c>
      <c r="S1032" t="inlineStr">
        <is>
          <t>老师资料</t>
        </is>
      </c>
      <c r="T1032" t="inlineStr">
        <is>
          <t>0.23</t>
        </is>
      </c>
      <c r="U1032" s="3">
        <v>46112.78107638889</v>
      </c>
      <c r="V1032" t="inlineStr">
        <is>
          <t>虚拟产品</t>
        </is>
      </c>
      <c r="W1032" s="3">
        <v>46038</v>
      </c>
      <c r="X1032" t="inlineStr">
        <is>
          <t>01</t>
        </is>
      </c>
      <c r="Y1032" t="inlineStr">
        <is>
          <t>2026-Q1</t>
        </is>
      </c>
    </row>
    <row r="1033" ht="38.25" customHeight="1">
      <c r="A1033" t="inlineStr">
        <is>
          <t>70款课堂音乐律动游戏PPT+视频(视频较多，拍下自动发网盘)</t>
        </is>
      </c>
      <c r="B1033" t="inlineStr">
        <is>
          <t>recv8r6runqjYg.jpg</t>
        </is>
      </c>
      <c r="C1033" s="2" t="str">
        <f>=HYPERLINK("https://xhslink.com/m/4HYxW0Kojlx", "https://xhslink.com/m/4HYxW0Kojlx")</f>
        <v>https://xhslink.com/m/4HYxW0Kojlx</v>
      </c>
      <c r="D1033"/>
      <c r="E1033">
        <v>3429</v>
      </c>
      <c r="F1033">
        <v>4.9</v>
      </c>
      <c r="G1033"/>
      <c r="H1033"/>
      <c r="I1033">
        <v>500</v>
      </c>
      <c r="J1033"/>
      <c r="K1033" t="inlineStr">
        <is>
          <t>PPT</t>
        </is>
      </c>
      <c r="L1033"/>
      <c r="M1033" t="inlineStr">
        <is>
          <t>小玉老师up的店</t>
        </is>
      </c>
      <c r="N1033">
        <v>15000</v>
      </c>
      <c r="O1033">
        <v>4.48</v>
      </c>
      <c r="P1033">
        <v>28000</v>
      </c>
      <c r="Q1033" t="inlineStr">
        <is>
          <t>6624808006f5c50001f0f7c5</t>
        </is>
      </c>
      <c r="R1033" t="inlineStr">
        <is>
          <t>🚫重复</t>
        </is>
      </c>
      <c r="S1033" t="inlineStr">
        <is>
          <t>PPT模板</t>
        </is>
      </c>
      <c r="T1033" t="inlineStr">
        <is>
          <t>0.23</t>
        </is>
      </c>
      <c r="U1033" s="3">
        <v>46112.78107638889</v>
      </c>
      <c r="V1033" t="inlineStr">
        <is>
          <t>虚拟产品</t>
        </is>
      </c>
      <c r="W1033" s="3">
        <v>46038</v>
      </c>
      <c r="X1033" t="inlineStr">
        <is>
          <t>01</t>
        </is>
      </c>
      <c r="Y1033" t="inlineStr">
        <is>
          <t>2026-Q1</t>
        </is>
      </c>
    </row>
    <row r="1034" ht="38.25" customHeight="1">
      <c r="A1034" t="inlineStr">
        <is>
          <t>儿童肥胖体质测评+食谱</t>
        </is>
      </c>
      <c r="B1034" t="inlineStr">
        <is>
          <t>recv8r6runCvDc.jpg</t>
        </is>
      </c>
      <c r="C1034" s="2" t="str">
        <f>=HYPERLINK("https://xhslink.com/m/2zqWUeyMxdS", "https://xhslink.com/m/2zqWUeyMxdS")</f>
        <v>https://xhslink.com/m/2zqWUeyMxdS</v>
      </c>
      <c r="D1034"/>
      <c r="E1034">
        <v>506</v>
      </c>
      <c r="F1034">
        <v>0.1</v>
      </c>
      <c r="G1034"/>
      <c r="H1034"/>
      <c r="I1034">
        <v>400</v>
      </c>
      <c r="J1034"/>
      <c r="K1034" t="inlineStr">
        <is>
          <t>减肥食谱</t>
        </is>
      </c>
      <c r="L1034"/>
      <c r="M1034" t="inlineStr">
        <is>
          <t>静静专注青少儿减脂的店</t>
        </is>
      </c>
      <c r="N1034">
        <v>13000</v>
      </c>
      <c r="O1034">
        <v>4.36</v>
      </c>
      <c r="P1034">
        <v>1238</v>
      </c>
      <c r="Q1034" t="inlineStr">
        <is>
          <t>68cabae6d1f7b80001551988</t>
        </is>
      </c>
      <c r="R1034"/>
      <c r="S1034" t="inlineStr">
        <is>
          <t>中小学教辅/教材</t>
        </is>
      </c>
      <c r="T1034" t="inlineStr">
        <is>
          <t>0.04</t>
        </is>
      </c>
      <c r="U1034" s="3">
        <v>46112.78107638889</v>
      </c>
      <c r="V1034" t="inlineStr">
        <is>
          <t>虚拟产品</t>
        </is>
      </c>
      <c r="W1034" s="3">
        <v>46038</v>
      </c>
      <c r="X1034" t="inlineStr">
        <is>
          <t>01</t>
        </is>
      </c>
      <c r="Y1034" t="inlineStr">
        <is>
          <t>2026-Q1</t>
        </is>
      </c>
    </row>
    <row r="1035" ht="38.25" customHeight="1">
      <c r="A1035" t="inlineStr">
        <is>
          <t>艾宾浩斯英语单词本—背单词复习计划练习本学生四六级考研通用</t>
        </is>
      </c>
      <c r="B1035" t="inlineStr">
        <is>
          <t>recv8r6runRUDs.jpg</t>
        </is>
      </c>
      <c r="C1035" s="2" t="str">
        <f>=HYPERLINK("https://xhslink.com/m/1jaudNiDFF6", "https://xhslink.com/m/1jaudNiDFF6")</f>
        <v>https://xhslink.com/m/1jaudNiDFF6</v>
      </c>
      <c r="D1035"/>
      <c r="E1035">
        <v>30000</v>
      </c>
      <c r="F1035">
        <v>26.9</v>
      </c>
      <c r="G1035"/>
      <c r="H1035"/>
      <c r="I1035">
        <v>1000</v>
      </c>
      <c r="J1035"/>
      <c r="K1035" t="inlineStr">
        <is>
          <t>每日英语</t>
        </is>
      </c>
      <c r="L1035" t="inlineStr">
        <is>
          <t>🔥低粉爆款</t>
        </is>
      </c>
      <c r="M1035" t="inlineStr">
        <is>
          <t>饺子真能吃文具的店</t>
        </is>
      </c>
      <c r="N1035">
        <v>2990</v>
      </c>
      <c r="O1035">
        <v>4.67</v>
      </c>
      <c r="P1035">
        <v>79000</v>
      </c>
      <c r="Q1035" t="inlineStr">
        <is>
          <t>6559a0fa54251d00015aedaf</t>
        </is>
      </c>
      <c r="R1035" t="inlineStr">
        <is>
          <t>🚫重复</t>
        </is>
      </c>
      <c r="S1035" t="inlineStr">
        <is>
          <t>英语资料</t>
        </is>
      </c>
      <c r="T1035" t="inlineStr">
        <is>
          <t>10.03</t>
        </is>
      </c>
      <c r="U1035" s="3">
        <v>46112.78107638889</v>
      </c>
      <c r="V1035" t="inlineStr">
        <is>
          <t>虚拟产品</t>
        </is>
      </c>
      <c r="W1035" s="3">
        <v>46038</v>
      </c>
      <c r="X1035" t="inlineStr">
        <is>
          <t>01</t>
        </is>
      </c>
      <c r="Y1035" t="inlineStr">
        <is>
          <t>2026-Q1</t>
        </is>
      </c>
    </row>
    <row r="1036" ht="38.25" customHeight="1">
      <c r="A1036" t="inlineStr">
        <is>
          <t>初中英语语法小纸条，中考英语语法知识梳理电子版（pdf+word）</t>
        </is>
      </c>
      <c r="B1036" t="inlineStr">
        <is>
          <t>recv8r6runVKTh.jpg</t>
        </is>
      </c>
      <c r="C1036" s="2" t="str">
        <f>=HYPERLINK("https://xhslink.com/m/MDr5NRE17z", "https://xhslink.com/m/MDr5NRE17z")</f>
        <v>https://xhslink.com/m/MDr5NRE17z</v>
      </c>
      <c r="D1036"/>
      <c r="E1036">
        <v>6566</v>
      </c>
      <c r="F1036">
        <v>2.9</v>
      </c>
      <c r="G1036"/>
      <c r="H1036"/>
      <c r="I1036">
        <v>2000</v>
      </c>
      <c r="J1036"/>
      <c r="K1036" t="inlineStr">
        <is>
          <t>每日英语</t>
        </is>
      </c>
      <c r="L1036"/>
      <c r="M1036" t="inlineStr">
        <is>
          <t>学界小筑的店</t>
        </is>
      </c>
      <c r="N1036">
        <v>2840</v>
      </c>
      <c r="O1036">
        <v>4.39</v>
      </c>
      <c r="P1036">
        <v>12000</v>
      </c>
      <c r="Q1036" t="inlineStr">
        <is>
          <t>691d229852eecb0001319998</t>
        </is>
      </c>
      <c r="R1036" t="inlineStr">
        <is>
          <t>🚫重复</t>
        </is>
      </c>
      <c r="S1036" t="inlineStr">
        <is>
          <t>中小学教辅/教材</t>
        </is>
      </c>
      <c r="T1036" t="inlineStr">
        <is>
          <t>2.31</t>
        </is>
      </c>
      <c r="U1036" s="3">
        <v>46112.78107638889</v>
      </c>
      <c r="V1036" t="inlineStr">
        <is>
          <t>虚拟产品</t>
        </is>
      </c>
      <c r="W1036" s="3">
        <v>46038</v>
      </c>
      <c r="X1036" t="inlineStr">
        <is>
          <t>01</t>
        </is>
      </c>
      <c r="Y1036" t="inlineStr">
        <is>
          <t>2026-Q1</t>
        </is>
      </c>
    </row>
    <row r="1037" ht="38.25" customHeight="1">
      <c r="A1037" t="inlineStr">
        <is>
          <t>【艾宾浩斯记忆法】每日10个单词小学生初中生速记本默写单词字帖</t>
        </is>
      </c>
      <c r="B1037" t="inlineStr">
        <is>
          <t>recv8r6runRVGk.jpg</t>
        </is>
      </c>
      <c r="C1037" s="2" t="str">
        <f>=HYPERLINK("https://xhslink.com/m/4yaj2Op5zo3", "https://xhslink.com/m/4yaj2Op5zo3")</f>
        <v>https://xhslink.com/m/4yaj2Op5zo3</v>
      </c>
      <c r="D1037"/>
      <c r="E1037">
        <v>6228</v>
      </c>
      <c r="F1037">
        <v>16.9</v>
      </c>
      <c r="G1037"/>
      <c r="H1037"/>
      <c r="I1037">
        <v>5000</v>
      </c>
      <c r="J1037"/>
      <c r="K1037" t="inlineStr">
        <is>
          <t>每日英语</t>
        </is>
      </c>
      <c r="L1037"/>
      <c r="M1037" t="inlineStr">
        <is>
          <t>小伶伶的店</t>
        </is>
      </c>
      <c r="N1037">
        <v>6776</v>
      </c>
      <c r="O1037">
        <v>4.59</v>
      </c>
      <c r="P1037">
        <v>10000</v>
      </c>
      <c r="Q1037" t="inlineStr">
        <is>
          <t>68b614b089b748001525fbed</t>
        </is>
      </c>
      <c r="R1037"/>
      <c r="S1037" t="inlineStr">
        <is>
          <t>中小学教辅/教材</t>
        </is>
      </c>
      <c r="T1037" t="inlineStr">
        <is>
          <t>0.92</t>
        </is>
      </c>
      <c r="U1037" s="3">
        <v>46112.78107638889</v>
      </c>
      <c r="V1037" t="inlineStr">
        <is>
          <t>虚拟产品</t>
        </is>
      </c>
      <c r="W1037" s="3">
        <v>46038</v>
      </c>
      <c r="X1037" t="inlineStr">
        <is>
          <t>01</t>
        </is>
      </c>
      <c r="Y1037" t="inlineStr">
        <is>
          <t>2026-Q1</t>
        </is>
      </c>
    </row>
    <row r="1038" ht="38.25" customHeight="1">
      <c r="A1038" t="inlineStr">
        <is>
          <t>学而思 · 英语启蒙每日一读 小学衔接金字塔唱读法读出好语感</t>
        </is>
      </c>
      <c r="B1038" t="inlineStr">
        <is>
          <t>__upload_recv8r6runIa8U.jpg</t>
        </is>
      </c>
      <c r="C1038" s="2" t="str">
        <f>=HYPERLINK("https://xhslink.com/m/3zQswyTrW3p", "https://xhslink.com/m/3zQswyTrW3p")</f>
        <v>https://xhslink.com/m/3zQswyTrW3p</v>
      </c>
      <c r="D1038"/>
      <c r="E1038">
        <v>5892</v>
      </c>
      <c r="F1038">
        <v>16.9</v>
      </c>
      <c r="G1038"/>
      <c r="H1038"/>
      <c r="I1038">
        <v>5000</v>
      </c>
      <c r="J1038">
        <v>200</v>
      </c>
      <c r="K1038" t="inlineStr">
        <is>
          <t>每日英语</t>
        </is>
      </c>
      <c r="L1038"/>
      <c r="M1038" t="inlineStr">
        <is>
          <t>学而思图书旗舰店</t>
        </is>
      </c>
      <c r="N1038">
        <v>80000</v>
      </c>
      <c r="O1038">
        <v>4.49</v>
      </c>
      <c r="P1038">
        <v>215000</v>
      </c>
      <c r="Q1038" t="inlineStr">
        <is>
          <t>688b0d4a4f80eb0001d23850</t>
        </is>
      </c>
      <c r="R1038" t="inlineStr">
        <is>
          <t>🚫重复</t>
        </is>
      </c>
      <c r="S1038" t="inlineStr">
        <is>
          <t>中小学教辅/教材</t>
        </is>
      </c>
      <c r="T1038" t="inlineStr">
        <is>
          <t>0.07</t>
        </is>
      </c>
      <c r="U1038" s="3">
        <v>46112.78107638889</v>
      </c>
      <c r="V1038" t="inlineStr">
        <is>
          <t>虚拟产品</t>
        </is>
      </c>
      <c r="W1038" s="3">
        <v>46038</v>
      </c>
      <c r="X1038" t="inlineStr">
        <is>
          <t>01</t>
        </is>
      </c>
      <c r="Y1038" t="inlineStr">
        <is>
          <t>2026-Q1</t>
        </is>
      </c>
    </row>
    <row r="1039" ht="38.25" customHeight="1">
      <c r="A1039" t="inlineStr">
        <is>
          <t>新人教版七上英语 语法总结表+语法每日一练 PDF电子版</t>
        </is>
      </c>
      <c r="B1039" t="inlineStr">
        <is>
          <t>recv8r6runTVJz.jpg</t>
        </is>
      </c>
      <c r="C1039" s="2" t="str">
        <f>=HYPERLINK("https://xhslink.com/m/oupNKdB1Gb", "https://xhslink.com/m/oupNKdB1Gb")</f>
        <v>https://xhslink.com/m/oupNKdB1Gb</v>
      </c>
      <c r="D1039"/>
      <c r="E1039">
        <v>5737</v>
      </c>
      <c r="F1039">
        <v>13.9</v>
      </c>
      <c r="G1039"/>
      <c r="H1039"/>
      <c r="I1039">
        <v>300</v>
      </c>
      <c r="J1039"/>
      <c r="K1039" t="inlineStr">
        <is>
          <t>每日英语</t>
        </is>
      </c>
      <c r="L1039"/>
      <c r="M1039" t="inlineStr">
        <is>
          <t>教英语的谢老师的店</t>
        </is>
      </c>
      <c r="N1039">
        <v>36000</v>
      </c>
      <c r="O1039">
        <v>4.29</v>
      </c>
      <c r="P1039">
        <v>141000</v>
      </c>
      <c r="Q1039" t="inlineStr">
        <is>
          <t>671c5c20deb6c200016776d8</t>
        </is>
      </c>
      <c r="R1039" t="inlineStr">
        <is>
          <t>🚫重复</t>
        </is>
      </c>
      <c r="S1039" t="inlineStr">
        <is>
          <t>中小学教辅/教材</t>
        </is>
      </c>
      <c r="T1039" t="inlineStr">
        <is>
          <t>0.16</t>
        </is>
      </c>
      <c r="U1039" s="3">
        <v>46112.78107638889</v>
      </c>
      <c r="V1039" t="inlineStr">
        <is>
          <t>虚拟产品</t>
        </is>
      </c>
      <c r="W1039" s="3">
        <v>46038</v>
      </c>
      <c r="X1039" t="inlineStr">
        <is>
          <t>01</t>
        </is>
      </c>
      <c r="Y1039" t="inlineStr">
        <is>
          <t>2026-Q1</t>
        </is>
      </c>
    </row>
    <row r="1040" ht="38.25" customHeight="1">
      <c r="A1040" t="inlineStr">
        <is>
          <t>中考初中英语作文句型练习·电子版带答案</t>
        </is>
      </c>
      <c r="B1040" t="inlineStr">
        <is>
          <t>recv8r6runu61Z.jpg</t>
        </is>
      </c>
      <c r="C1040" s="2" t="str">
        <f>=HYPERLINK("https://xhslink.com/m/8iMZ7mKpsd0", "https://xhslink.com/m/8iMZ7mKpsd0")</f>
        <v>https://xhslink.com/m/8iMZ7mKpsd0</v>
      </c>
      <c r="D1040"/>
      <c r="E1040">
        <v>5150</v>
      </c>
      <c r="F1040">
        <v>9.9</v>
      </c>
      <c r="G1040"/>
      <c r="H1040"/>
      <c r="I1040">
        <v>600</v>
      </c>
      <c r="J1040"/>
      <c r="K1040" t="inlineStr">
        <is>
          <t>每日英语</t>
        </is>
      </c>
      <c r="L1040" t="inlineStr">
        <is>
          <t>🔥低粉爆款</t>
        </is>
      </c>
      <c r="M1040" t="inlineStr">
        <is>
          <t>软软圈圈圆的店</t>
        </is>
      </c>
      <c r="N1040">
        <v>576</v>
      </c>
      <c r="O1040">
        <v>4.26</v>
      </c>
      <c r="P1040">
        <v>15000</v>
      </c>
      <c r="Q1040" t="inlineStr">
        <is>
          <t>683d58964b53070001f79be3</t>
        </is>
      </c>
      <c r="R1040" t="inlineStr">
        <is>
          <t>🚫重复</t>
        </is>
      </c>
      <c r="S1040" t="inlineStr">
        <is>
          <t>中小学教辅/教材</t>
        </is>
      </c>
      <c r="T1040" t="inlineStr">
        <is>
          <t>8.94</t>
        </is>
      </c>
      <c r="U1040" s="3">
        <v>46112.78107638889</v>
      </c>
      <c r="V1040" t="inlineStr">
        <is>
          <t>虚拟产品</t>
        </is>
      </c>
      <c r="W1040" s="3">
        <v>46038</v>
      </c>
      <c r="X1040" t="inlineStr">
        <is>
          <t>01</t>
        </is>
      </c>
      <c r="Y1040" t="inlineStr">
        <is>
          <t>2026-Q1</t>
        </is>
      </c>
    </row>
    <row r="1041" ht="38.25" customHeight="1">
      <c r="A1041" t="inlineStr">
        <is>
          <t>八年级上册英语语法知识点总结＋专项练习题80720</t>
        </is>
      </c>
      <c r="B1041" t="inlineStr">
        <is>
          <t>recv8r6runNrPI.jpg</t>
        </is>
      </c>
      <c r="C1041" s="2" t="str">
        <f>=HYPERLINK("https://xhslink.com/m/9DLs3PFJZMD", "https://xhslink.com/m/9DLs3PFJZMD")</f>
        <v>https://xhslink.com/m/9DLs3PFJZMD</v>
      </c>
      <c r="D1041"/>
      <c r="E1041">
        <v>2994</v>
      </c>
      <c r="F1041">
        <v>5.9</v>
      </c>
      <c r="G1041"/>
      <c r="H1041"/>
      <c r="I1041">
        <v>1000</v>
      </c>
      <c r="J1041"/>
      <c r="K1041" t="inlineStr">
        <is>
          <t>每日英语</t>
        </is>
      </c>
      <c r="L1041"/>
      <c r="M1041" t="inlineStr">
        <is>
          <t>白拿分的店</t>
        </is>
      </c>
      <c r="N1041">
        <v>1528</v>
      </c>
      <c r="O1041">
        <v>4.37</v>
      </c>
      <c r="P1041">
        <v>13000</v>
      </c>
      <c r="Q1041" t="inlineStr">
        <is>
          <t>688a525f4daa7100010a7b95</t>
        </is>
      </c>
      <c r="R1041"/>
      <c r="S1041" t="inlineStr">
        <is>
          <t>中小学教辅/教材</t>
        </is>
      </c>
      <c r="T1041" t="inlineStr">
        <is>
          <t>1.96</t>
        </is>
      </c>
      <c r="U1041" s="3">
        <v>46112.78107638889</v>
      </c>
      <c r="V1041" t="inlineStr">
        <is>
          <t>虚拟产品</t>
        </is>
      </c>
      <c r="W1041" s="3">
        <v>46038</v>
      </c>
      <c r="X1041" t="inlineStr">
        <is>
          <t>01</t>
        </is>
      </c>
      <c r="Y1041" t="inlineStr">
        <is>
          <t>2026-Q1</t>
        </is>
      </c>
    </row>
    <row r="1042" ht="38.25" customHeight="1">
      <c r="A1042" t="inlineStr">
        <is>
          <t>带音频每日30分钟小学英语阅读新概念三四五六年级听力强化</t>
        </is>
      </c>
      <c r="B1042" t="inlineStr">
        <is>
          <t>recv8r6runHl3J.jpg</t>
        </is>
      </c>
      <c r="C1042" s="2" t="str">
        <f>=HYPERLINK("https://xhslink.com/m/jZxPuzKCOZ", "https://xhslink.com/m/jZxPuzKCOZ")</f>
        <v>https://xhslink.com/m/jZxPuzKCOZ</v>
      </c>
      <c r="D1042"/>
      <c r="E1042">
        <v>1684</v>
      </c>
      <c r="F1042">
        <v>19.8</v>
      </c>
      <c r="G1042"/>
      <c r="H1042"/>
      <c r="I1042">
        <v>1000</v>
      </c>
      <c r="J1042"/>
      <c r="K1042" t="inlineStr">
        <is>
          <t>每日英语</t>
        </is>
      </c>
      <c r="L1042"/>
      <c r="M1042" t="inlineStr">
        <is>
          <t>诗语书店的店</t>
        </is>
      </c>
      <c r="N1042">
        <v>711</v>
      </c>
      <c r="O1042">
        <v>4.67</v>
      </c>
      <c r="P1042">
        <v>11000</v>
      </c>
      <c r="Q1042" t="inlineStr">
        <is>
          <t>68b923a7581ea2001513440d</t>
        </is>
      </c>
      <c r="R1042"/>
      <c r="S1042" t="inlineStr">
        <is>
          <t>中小学教辅/教材</t>
        </is>
      </c>
      <c r="T1042" t="inlineStr">
        <is>
          <t>2.37</t>
        </is>
      </c>
      <c r="U1042" s="3">
        <v>46112.78107638889</v>
      </c>
      <c r="V1042" t="inlineStr">
        <is>
          <t>虚拟产品</t>
        </is>
      </c>
      <c r="W1042" s="3">
        <v>46038</v>
      </c>
      <c r="X1042" t="inlineStr">
        <is>
          <t>01</t>
        </is>
      </c>
      <c r="Y1042" t="inlineStr">
        <is>
          <t>2026-Q1</t>
        </is>
      </c>
    </row>
    <row r="1043" ht="38.25" customHeight="1">
      <c r="A1043" t="inlineStr">
        <is>
          <t>三年级上册英语单份电子资料专项（点击默认下单，不用选）</t>
        </is>
      </c>
      <c r="B1043" t="inlineStr">
        <is>
          <t>recv8r6run0Ul7.jpg</t>
        </is>
      </c>
      <c r="C1043" s="2" t="str">
        <f>=HYPERLINK("https://xhslink.com/m/1YqqQPAfVhu", "https://xhslink.com/m/1YqqQPAfVhu")</f>
        <v>https://xhslink.com/m/1YqqQPAfVhu</v>
      </c>
      <c r="D1043"/>
      <c r="E1043">
        <v>1633</v>
      </c>
      <c r="F1043">
        <v>2.99</v>
      </c>
      <c r="G1043"/>
      <c r="H1043"/>
      <c r="I1043">
        <v>400</v>
      </c>
      <c r="J1043"/>
      <c r="K1043" t="inlineStr">
        <is>
          <t>每日英语</t>
        </is>
      </c>
      <c r="L1043"/>
      <c r="M1043" t="inlineStr">
        <is>
          <t>昕昕快乐学习的店</t>
        </is>
      </c>
      <c r="N1043">
        <v>2756</v>
      </c>
      <c r="O1043">
        <v>4.45</v>
      </c>
      <c r="P1043">
        <v>29000</v>
      </c>
      <c r="Q1043" t="inlineStr">
        <is>
          <t>68622ee947fd8b000167924c</t>
        </is>
      </c>
      <c r="R1043"/>
      <c r="S1043" t="inlineStr">
        <is>
          <t>中小学教辅/教材</t>
        </is>
      </c>
      <c r="T1043" t="inlineStr">
        <is>
          <t>0.59</t>
        </is>
      </c>
      <c r="U1043" s="3">
        <v>46112.78107638889</v>
      </c>
      <c r="V1043" t="inlineStr">
        <is>
          <t>虚拟产品</t>
        </is>
      </c>
      <c r="W1043" s="3">
        <v>46038</v>
      </c>
      <c r="X1043" t="inlineStr">
        <is>
          <t>01</t>
        </is>
      </c>
      <c r="Y1043" t="inlineStr">
        <is>
          <t>2026-Q1</t>
        </is>
      </c>
    </row>
    <row r="1044" ht="38.25" customHeight="1">
      <c r="A1044" t="inlineStr">
        <is>
          <t>C02三年级上册字母练习汇总，PDF电子版，可打印</t>
        </is>
      </c>
      <c r="B1044" t="inlineStr">
        <is>
          <t>recv8r6runosxD.jpg</t>
        </is>
      </c>
      <c r="C1044" s="2" t="str">
        <f>=HYPERLINK("https://xhslink.com/m/KUB75z38td", "https://xhslink.com/m/KUB75z38td")</f>
        <v>https://xhslink.com/m/KUB75z38td</v>
      </c>
      <c r="D1044"/>
      <c r="E1044">
        <v>1426</v>
      </c>
      <c r="F1044">
        <v>2.8</v>
      </c>
      <c r="G1044"/>
      <c r="H1044"/>
      <c r="I1044">
        <v>400</v>
      </c>
      <c r="J1044"/>
      <c r="K1044" t="inlineStr">
        <is>
          <t>每日英语</t>
        </is>
      </c>
      <c r="L1044"/>
      <c r="M1044" t="inlineStr">
        <is>
          <t>向上的✨闪闪妈的店</t>
        </is>
      </c>
      <c r="N1044">
        <v>8371</v>
      </c>
      <c r="O1044">
        <v>4.4</v>
      </c>
      <c r="P1044">
        <v>46000</v>
      </c>
      <c r="Q1044" t="inlineStr">
        <is>
          <t>687b244c0e13d5000115646d</t>
        </is>
      </c>
      <c r="R1044" t="inlineStr">
        <is>
          <t>🚫重复</t>
        </is>
      </c>
      <c r="S1044" t="inlineStr">
        <is>
          <t>中小学教辅/教材</t>
        </is>
      </c>
      <c r="T1044" t="inlineStr">
        <is>
          <t>0.17</t>
        </is>
      </c>
      <c r="U1044" s="3">
        <v>46112.78107638889</v>
      </c>
      <c r="V1044" t="inlineStr">
        <is>
          <t>虚拟产品</t>
        </is>
      </c>
      <c r="W1044" s="3">
        <v>46038</v>
      </c>
      <c r="X1044" t="inlineStr">
        <is>
          <t>01</t>
        </is>
      </c>
      <c r="Y1044" t="inlineStr">
        <is>
          <t>2026-Q1</t>
        </is>
      </c>
    </row>
    <row r="1045" ht="38.25" customHeight="1">
      <c r="A1045" t="inlineStr">
        <is>
          <t>每天做五题英语【含视频讲解】</t>
        </is>
      </c>
      <c r="B1045" t="inlineStr">
        <is>
          <t>recv8r6runXziK.jpg</t>
        </is>
      </c>
      <c r="C1045" s="2" t="str">
        <f>=HYPERLINK("https://xhslink.com/m/3vV2tCp1i8K", "https://xhslink.com/m/3vV2tCp1i8K")</f>
        <v>https://xhslink.com/m/3vV2tCp1i8K</v>
      </c>
      <c r="D1045"/>
      <c r="E1045">
        <v>1224</v>
      </c>
      <c r="F1045">
        <v>79.9</v>
      </c>
      <c r="G1045"/>
      <c r="H1045"/>
      <c r="I1045">
        <v>300</v>
      </c>
      <c r="J1045"/>
      <c r="K1045" t="inlineStr">
        <is>
          <t>每日英语</t>
        </is>
      </c>
      <c r="L1045"/>
      <c r="M1045" t="inlineStr">
        <is>
          <t>英语树叶老师的店</t>
        </is>
      </c>
      <c r="N1045">
        <v>51000</v>
      </c>
      <c r="O1045">
        <v>4.68</v>
      </c>
      <c r="P1045">
        <v>1273</v>
      </c>
      <c r="Q1045" t="inlineStr">
        <is>
          <t>6900c64f3f37a90001257c32</t>
        </is>
      </c>
      <c r="R1045" t="inlineStr">
        <is>
          <t>🚫重复</t>
        </is>
      </c>
      <c r="S1045" t="inlineStr">
        <is>
          <t>英语资料</t>
        </is>
      </c>
      <c r="T1045" t="inlineStr">
        <is>
          <t>0.02</t>
        </is>
      </c>
      <c r="U1045" s="3">
        <v>46112.78107638889</v>
      </c>
      <c r="V1045" t="inlineStr">
        <is>
          <t>虚拟产品</t>
        </is>
      </c>
      <c r="W1045" s="3">
        <v>46038</v>
      </c>
      <c r="X1045" t="inlineStr">
        <is>
          <t>01</t>
        </is>
      </c>
      <c r="Y1045" t="inlineStr">
        <is>
          <t>2026-Q1</t>
        </is>
      </c>
    </row>
    <row r="1046" ht="38.25" customHeight="1">
      <c r="A1046" t="inlineStr">
        <is>
          <t>2026高中英语读后续写应用文写作高考英语作文专项训练电子版</t>
        </is>
      </c>
      <c r="B1046" t="inlineStr">
        <is>
          <t>recv8r6runUBM9.jpg</t>
        </is>
      </c>
      <c r="C1046" s="2" t="str">
        <f>=HYPERLINK("https://xhslink.com/m/pEpidY3Vzn", "https://xhslink.com/m/pEpidY3Vzn")</f>
        <v>https://xhslink.com/m/pEpidY3Vzn</v>
      </c>
      <c r="D1046"/>
      <c r="E1046">
        <v>1222</v>
      </c>
      <c r="F1046">
        <v>4.99</v>
      </c>
      <c r="G1046"/>
      <c r="H1046"/>
      <c r="I1046">
        <v>1000</v>
      </c>
      <c r="J1046"/>
      <c r="K1046" t="inlineStr">
        <is>
          <t>每日英语</t>
        </is>
      </c>
      <c r="L1046"/>
      <c r="M1046" t="inlineStr">
        <is>
          <t>小刘老师优资资料库的店</t>
        </is>
      </c>
      <c r="N1046">
        <v>850</v>
      </c>
      <c r="O1046">
        <v>4.04</v>
      </c>
      <c r="P1046">
        <v>3208</v>
      </c>
      <c r="Q1046" t="inlineStr">
        <is>
          <t>69294ba63dc5360001526305</t>
        </is>
      </c>
      <c r="R1046" t="inlineStr">
        <is>
          <t>🚫重复</t>
        </is>
      </c>
      <c r="S1046" t="inlineStr">
        <is>
          <t>高中/高考资料</t>
        </is>
      </c>
      <c r="T1046" t="inlineStr">
        <is>
          <t>1.44</t>
        </is>
      </c>
      <c r="U1046" s="3">
        <v>46112.78107638889</v>
      </c>
      <c r="V1046" t="inlineStr">
        <is>
          <t>虚拟产品</t>
        </is>
      </c>
      <c r="W1046" s="3">
        <v>46038</v>
      </c>
      <c r="X1046" t="inlineStr">
        <is>
          <t>01</t>
        </is>
      </c>
      <c r="Y1046" t="inlineStr">
        <is>
          <t>2026-Q1</t>
        </is>
      </c>
    </row>
    <row r="1047" ht="38.25" customHeight="1">
      <c r="A1047" t="inlineStr">
        <is>
          <t>高中英语话题作文常用表达25个主题每日一练（50天）带答案</t>
        </is>
      </c>
      <c r="B1047" t="inlineStr">
        <is>
          <t>recv8r6runNeaD.jpg</t>
        </is>
      </c>
      <c r="C1047" s="2" t="str">
        <f>=HYPERLINK("https://xhslink.com/m/5EJhj5n9TPv", "https://xhslink.com/m/5EJhj5n9TPv")</f>
        <v>https://xhslink.com/m/5EJhj5n9TPv</v>
      </c>
      <c r="D1047"/>
      <c r="E1047">
        <v>1018</v>
      </c>
      <c r="F1047">
        <v>8.9</v>
      </c>
      <c r="G1047"/>
      <c r="H1047"/>
      <c r="I1047">
        <v>300</v>
      </c>
      <c r="J1047"/>
      <c r="K1047" t="inlineStr">
        <is>
          <t>每日英语</t>
        </is>
      </c>
      <c r="L1047"/>
      <c r="M1047" t="inlineStr">
        <is>
          <t>English by Earn的店</t>
        </is>
      </c>
      <c r="N1047">
        <v>3281</v>
      </c>
      <c r="O1047">
        <v>4.07</v>
      </c>
      <c r="P1047">
        <v>2781</v>
      </c>
      <c r="Q1047" t="inlineStr">
        <is>
          <t>685d3ce7d67cc200015a957f</t>
        </is>
      </c>
      <c r="R1047"/>
      <c r="S1047" t="inlineStr">
        <is>
          <t>高中/高考资料</t>
        </is>
      </c>
      <c r="T1047" t="inlineStr">
        <is>
          <t>0.31</t>
        </is>
      </c>
      <c r="U1047" s="3">
        <v>46112.78107638889</v>
      </c>
      <c r="V1047" t="inlineStr">
        <is>
          <t>虚拟产品</t>
        </is>
      </c>
      <c r="W1047" s="3">
        <v>46038</v>
      </c>
      <c r="X1047" t="inlineStr">
        <is>
          <t>01</t>
        </is>
      </c>
      <c r="Y1047" t="inlineStr">
        <is>
          <t>2026-Q1</t>
        </is>
      </c>
    </row>
    <row r="1048" ht="38.25" customHeight="1">
      <c r="A1048" t="inlineStr">
        <is>
          <t>每天一个英语故事英语晨读首选PDF+音频</t>
        </is>
      </c>
      <c r="B1048" t="inlineStr">
        <is>
          <t>recv8r6run157R.jpg</t>
        </is>
      </c>
      <c r="C1048" s="2" t="str">
        <f>=HYPERLINK("https://xhslink.com/m/8Nsak8Heutn", "https://xhslink.com/m/8Nsak8Heutn")</f>
        <v>https://xhslink.com/m/8Nsak8Heutn</v>
      </c>
      <c r="D1048"/>
      <c r="E1048">
        <v>962</v>
      </c>
      <c r="F1048">
        <v>9.99</v>
      </c>
      <c r="G1048"/>
      <c r="H1048"/>
      <c r="I1048">
        <v>300</v>
      </c>
      <c r="J1048"/>
      <c r="K1048" t="inlineStr">
        <is>
          <t>每日英语</t>
        </is>
      </c>
      <c r="L1048"/>
      <c r="M1048" t="inlineStr">
        <is>
          <t>慕慕学英语✨的店</t>
        </is>
      </c>
      <c r="N1048">
        <v>3948</v>
      </c>
      <c r="O1048">
        <v>4.42</v>
      </c>
      <c r="P1048">
        <v>20000</v>
      </c>
      <c r="Q1048" t="inlineStr">
        <is>
          <t>680db32ce375ae0001d88d24</t>
        </is>
      </c>
      <c r="R1048" t="inlineStr">
        <is>
          <t>🚫重复</t>
        </is>
      </c>
      <c r="S1048" t="inlineStr">
        <is>
          <t>英语资料</t>
        </is>
      </c>
      <c r="T1048" t="inlineStr">
        <is>
          <t>0.24</t>
        </is>
      </c>
      <c r="U1048" s="3">
        <v>46112.78107638889</v>
      </c>
      <c r="V1048" t="inlineStr">
        <is>
          <t>虚拟产品</t>
        </is>
      </c>
      <c r="W1048" s="3">
        <v>46038</v>
      </c>
      <c r="X1048" t="inlineStr">
        <is>
          <t>01</t>
        </is>
      </c>
      <c r="Y1048" t="inlineStr">
        <is>
          <t>2026-Q1</t>
        </is>
      </c>
    </row>
    <row r="1049" ht="38.25" customHeight="1">
      <c r="A1049" t="inlineStr">
        <is>
          <t>一本 · 【小学语法/语法每日一练】漫画口诀学语法 练透语法知识点</t>
        </is>
      </c>
      <c r="B1049" t="inlineStr">
        <is>
          <t>recv8r6runGvlj.jpg</t>
        </is>
      </c>
      <c r="C1049" s="2" t="str">
        <f>=HYPERLINK("https://xhslink.com/m/2SEt4yMUZKf", "https://xhslink.com/m/2SEt4yMUZKf")</f>
        <v>https://xhslink.com/m/2SEt4yMUZKf</v>
      </c>
      <c r="D1049"/>
      <c r="E1049">
        <v>812</v>
      </c>
      <c r="F1049">
        <v>23.8</v>
      </c>
      <c r="G1049"/>
      <c r="H1049"/>
      <c r="I1049">
        <v>700</v>
      </c>
      <c r="J1049"/>
      <c r="K1049" t="inlineStr">
        <is>
          <t>每日英语</t>
        </is>
      </c>
      <c r="L1049"/>
      <c r="M1049" t="inlineStr">
        <is>
          <t>一本-高中图书旗舰店</t>
        </is>
      </c>
      <c r="N1049">
        <v>13000</v>
      </c>
      <c r="O1049">
        <v>4.7</v>
      </c>
      <c r="P1049">
        <v>139000</v>
      </c>
      <c r="Q1049" t="inlineStr">
        <is>
          <t>68e71df93f37a90001390205</t>
        </is>
      </c>
      <c r="R1049" t="inlineStr">
        <is>
          <t>🚫重复</t>
        </is>
      </c>
      <c r="S1049" t="inlineStr">
        <is>
          <t>中小学教辅/教材</t>
        </is>
      </c>
      <c r="T1049" t="inlineStr">
        <is>
          <t>0.06</t>
        </is>
      </c>
      <c r="U1049" s="3">
        <v>46112.78107638889</v>
      </c>
      <c r="V1049" t="inlineStr">
        <is>
          <t>虚拟产品</t>
        </is>
      </c>
      <c r="W1049" s="3">
        <v>46038</v>
      </c>
      <c r="X1049" t="inlineStr">
        <is>
          <t>01</t>
        </is>
      </c>
      <c r="Y1049" t="inlineStr">
        <is>
          <t>2026-Q1</t>
        </is>
      </c>
    </row>
    <row r="1050" ht="38.25" customHeight="1">
      <c r="A1050" t="inlineStr">
        <is>
          <t>人教版七上英语U1-7单元单词/语法/作文训练（电子版）带答案</t>
        </is>
      </c>
      <c r="B1050" t="inlineStr">
        <is>
          <t>recv8r6runGvTR.jpg</t>
        </is>
      </c>
      <c r="C1050" s="2" t="str">
        <f>=HYPERLINK("https://xhslink.com/m/97vGbwOeUke", "https://xhslink.com/m/97vGbwOeUke")</f>
        <v>https://xhslink.com/m/97vGbwOeUke</v>
      </c>
      <c r="D1050"/>
      <c r="E1050">
        <v>707</v>
      </c>
      <c r="F1050">
        <v>9.9</v>
      </c>
      <c r="G1050"/>
      <c r="H1050"/>
      <c r="I1050">
        <v>500</v>
      </c>
      <c r="J1050"/>
      <c r="K1050" t="inlineStr">
        <is>
          <t>每日英语</t>
        </is>
      </c>
      <c r="L1050"/>
      <c r="M1050" t="inlineStr">
        <is>
          <t>椰奶冻冻！的店</t>
        </is>
      </c>
      <c r="N1050">
        <v>902</v>
      </c>
      <c r="O1050">
        <v>4.1</v>
      </c>
      <c r="P1050">
        <v>4714</v>
      </c>
      <c r="Q1050" t="inlineStr">
        <is>
          <t>68cfee39287c750001e0885e</t>
        </is>
      </c>
      <c r="R1050"/>
      <c r="S1050" t="inlineStr">
        <is>
          <t>中小学教辅/教材</t>
        </is>
      </c>
      <c r="T1050" t="inlineStr">
        <is>
          <t>0.78</t>
        </is>
      </c>
      <c r="U1050" s="3">
        <v>46112.78107638889</v>
      </c>
      <c r="V1050" t="inlineStr">
        <is>
          <t>虚拟产品</t>
        </is>
      </c>
      <c r="W1050" s="3">
        <v>46038</v>
      </c>
      <c r="X1050" t="inlineStr">
        <is>
          <t>01</t>
        </is>
      </c>
      <c r="Y1050" t="inlineStr">
        <is>
          <t>2026-Q1</t>
        </is>
      </c>
    </row>
    <row r="1051" ht="38.25" customHeight="1">
      <c r="A1051" t="inlineStr">
        <is>
          <t>新人教七上英语期末复习每日一练20天答案+解析（电子版）</t>
        </is>
      </c>
      <c r="B1051" t="inlineStr">
        <is>
          <t>recv8r6runnolP.jpg</t>
        </is>
      </c>
      <c r="C1051" s="2" t="str">
        <f>=HYPERLINK("https://xhslink.com/m/6opqf8ejnzL", "https://xhslink.com/m/6opqf8ejnzL")</f>
        <v>https://xhslink.com/m/6opqf8ejnzL</v>
      </c>
      <c r="D1051"/>
      <c r="E1051">
        <v>700</v>
      </c>
      <c r="F1051">
        <v>6.9</v>
      </c>
      <c r="G1051"/>
      <c r="H1051"/>
      <c r="I1051">
        <v>600</v>
      </c>
      <c r="J1051"/>
      <c r="K1051" t="inlineStr">
        <is>
          <t>每日英语</t>
        </is>
      </c>
      <c r="L1051"/>
      <c r="M1051" t="inlineStr">
        <is>
          <t>Fannie的学习乐园的店</t>
        </is>
      </c>
      <c r="N1051">
        <v>1751</v>
      </c>
      <c r="O1051">
        <v>4.33</v>
      </c>
      <c r="P1051">
        <v>11000</v>
      </c>
      <c r="Q1051" t="inlineStr">
        <is>
          <t>69170d43a524ee000194896f</t>
        </is>
      </c>
      <c r="R1051" t="inlineStr">
        <is>
          <t>🚫重复</t>
        </is>
      </c>
      <c r="S1051" t="inlineStr">
        <is>
          <t>中小学教辅/教材</t>
        </is>
      </c>
      <c r="T1051" t="inlineStr">
        <is>
          <t>0.40</t>
        </is>
      </c>
      <c r="U1051" s="3">
        <v>46112.78107638889</v>
      </c>
      <c r="V1051" t="inlineStr">
        <is>
          <t>虚拟产品</t>
        </is>
      </c>
      <c r="W1051" s="3">
        <v>46038</v>
      </c>
      <c r="X1051" t="inlineStr">
        <is>
          <t>01</t>
        </is>
      </c>
      <c r="Y1051" t="inlineStr">
        <is>
          <t>2026-Q1</t>
        </is>
      </c>
    </row>
    <row r="1052" ht="38.25" customHeight="1">
      <c r="A1052" t="inlineStr">
        <is>
          <t>新外研版初中英语知识点每日一练默写小纸条789年级上下册电子版</t>
        </is>
      </c>
      <c r="B1052" t="inlineStr">
        <is>
          <t>recv8r6runbDfr.jpg</t>
        </is>
      </c>
      <c r="C1052" s="2" t="str">
        <f>=HYPERLINK("https://xhslink.com/m/xb950OuAc8", "https://xhslink.com/m/xb950OuAc8")</f>
        <v>https://xhslink.com/m/xb950OuAc8</v>
      </c>
      <c r="D1052"/>
      <c r="E1052">
        <v>617</v>
      </c>
      <c r="F1052">
        <v>6.8</v>
      </c>
      <c r="G1052"/>
      <c r="H1052"/>
      <c r="I1052">
        <v>300</v>
      </c>
      <c r="J1052"/>
      <c r="K1052" t="inlineStr">
        <is>
          <t>每日英语</t>
        </is>
      </c>
      <c r="L1052"/>
      <c r="M1052" t="inlineStr">
        <is>
          <t>清华宋老师（宝藏资料库)的店</t>
        </is>
      </c>
      <c r="N1052">
        <v>2876</v>
      </c>
      <c r="O1052">
        <v>4.42</v>
      </c>
      <c r="P1052">
        <v>4530</v>
      </c>
      <c r="Q1052" t="inlineStr">
        <is>
          <t>6895a81b4f80eb00013d9a78</t>
        </is>
      </c>
      <c r="R1052" t="inlineStr">
        <is>
          <t>🚫重复</t>
        </is>
      </c>
      <c r="S1052" t="inlineStr">
        <is>
          <t>中小学教辅/教材</t>
        </is>
      </c>
      <c r="T1052" t="inlineStr">
        <is>
          <t>0.21</t>
        </is>
      </c>
      <c r="U1052" s="3">
        <v>46112.78107638889</v>
      </c>
      <c r="V1052" t="inlineStr">
        <is>
          <t>虚拟产品</t>
        </is>
      </c>
      <c r="W1052" s="3">
        <v>46038</v>
      </c>
      <c r="X1052" t="inlineStr">
        <is>
          <t>01</t>
        </is>
      </c>
      <c r="Y1052" t="inlineStr">
        <is>
          <t>2026-Q1</t>
        </is>
      </c>
    </row>
    <row r="1053" ht="38.25" customHeight="1">
      <c r="A1053" t="inlineStr">
        <is>
          <t>新外研七上英语秋季教学内容（25年秋季学期）pdf版</t>
        </is>
      </c>
      <c r="B1053" t="inlineStr">
        <is>
          <t>recv8r6run8NP4.jpg</t>
        </is>
      </c>
      <c r="C1053" s="2" t="str">
        <f>=HYPERLINK("https://xhslink.com/m/2IJCut9LIZe", "https://xhslink.com/m/2IJCut9LIZe")</f>
        <v>https://xhslink.com/m/2IJCut9LIZe</v>
      </c>
      <c r="D1053"/>
      <c r="E1053">
        <v>588</v>
      </c>
      <c r="F1053">
        <v>6</v>
      </c>
      <c r="G1053"/>
      <c r="H1053"/>
      <c r="I1053">
        <v>300</v>
      </c>
      <c r="J1053"/>
      <c r="K1053" t="inlineStr">
        <is>
          <t>每日英语</t>
        </is>
      </c>
      <c r="L1053"/>
      <c r="M1053" t="inlineStr">
        <is>
          <t>英语教学百宝袋的店</t>
        </is>
      </c>
      <c r="N1053">
        <v>8886</v>
      </c>
      <c r="O1053">
        <v>4.61</v>
      </c>
      <c r="P1053">
        <v>29000</v>
      </c>
      <c r="Q1053" t="inlineStr">
        <is>
          <t>68c27de82988860001cf8986</t>
        </is>
      </c>
      <c r="R1053"/>
      <c r="S1053" t="inlineStr">
        <is>
          <t>中小学教辅/教材</t>
        </is>
      </c>
      <c r="T1053" t="inlineStr">
        <is>
          <t>0.07</t>
        </is>
      </c>
      <c r="U1053" s="3">
        <v>46112.78107638889</v>
      </c>
      <c r="V1053" t="inlineStr">
        <is>
          <t>虚拟产品</t>
        </is>
      </c>
      <c r="W1053" s="3">
        <v>46038</v>
      </c>
      <c r="X1053" t="inlineStr">
        <is>
          <t>01</t>
        </is>
      </c>
      <c r="Y1053" t="inlineStr">
        <is>
          <t>2026-Q1</t>
        </is>
      </c>
    </row>
    <row r="1054" ht="38.25" customHeight="1">
      <c r="A1054" t="inlineStr">
        <is>
          <t>初中英语写作高分句型仿写每日一练电子版共23页word文档</t>
        </is>
      </c>
      <c r="B1054" t="inlineStr">
        <is>
          <t>recv8r6runD6SA.jpg</t>
        </is>
      </c>
      <c r="C1054" s="2" t="str">
        <f>=HYPERLINK("https://xhslink.com/m/9yS9SiqvGoi", "https://xhslink.com/m/9yS9SiqvGoi")</f>
        <v>https://xhslink.com/m/9yS9SiqvGoi</v>
      </c>
      <c r="D1054"/>
      <c r="E1054">
        <v>590</v>
      </c>
      <c r="F1054">
        <v>18.5</v>
      </c>
      <c r="G1054"/>
      <c r="H1054"/>
      <c r="I1054">
        <v>400</v>
      </c>
      <c r="J1054"/>
      <c r="K1054" t="inlineStr">
        <is>
          <t>每日英语</t>
        </is>
      </c>
      <c r="L1054"/>
      <c r="M1054" t="inlineStr">
        <is>
          <t>汐老师的店</t>
        </is>
      </c>
      <c r="N1054">
        <v>1716</v>
      </c>
      <c r="O1054">
        <v>4.2</v>
      </c>
      <c r="P1054">
        <v>2023</v>
      </c>
      <c r="Q1054" t="inlineStr">
        <is>
          <t>6923f55001312b0001204f43</t>
        </is>
      </c>
      <c r="R1054" t="inlineStr">
        <is>
          <t>🚫重复</t>
        </is>
      </c>
      <c r="S1054" t="inlineStr">
        <is>
          <t>中小学教辅/教材</t>
        </is>
      </c>
      <c r="T1054" t="inlineStr">
        <is>
          <t>0.34</t>
        </is>
      </c>
      <c r="U1054" s="3">
        <v>46112.78107638889</v>
      </c>
      <c r="V1054" t="inlineStr">
        <is>
          <t>虚拟产品</t>
        </is>
      </c>
      <c r="W1054" s="3">
        <v>46038</v>
      </c>
      <c r="X1054" t="inlineStr">
        <is>
          <t>01</t>
        </is>
      </c>
      <c r="Y1054" t="inlineStr">
        <is>
          <t>2026-Q1</t>
        </is>
      </c>
    </row>
    <row r="1055" ht="38.25" customHeight="1">
      <c r="A1055" t="inlineStr">
        <is>
          <t>新人教七上英语U1-U7语法专项练习每日一练，PDF电子版</t>
        </is>
      </c>
      <c r="B1055" t="inlineStr">
        <is>
          <t>recv8r6runmtS2.jpg</t>
        </is>
      </c>
      <c r="C1055" s="2" t="str">
        <f>=HYPERLINK("https://xhslink.com/m/2kuFFpEUXjC", "https://xhslink.com/m/2kuFFpEUXjC")</f>
        <v>https://xhslink.com/m/2kuFFpEUXjC</v>
      </c>
      <c r="D1055"/>
      <c r="E1055">
        <v>518</v>
      </c>
      <c r="F1055">
        <v>3.98</v>
      </c>
      <c r="G1055"/>
      <c r="H1055"/>
      <c r="I1055">
        <v>500</v>
      </c>
      <c r="J1055"/>
      <c r="K1055" t="inlineStr">
        <is>
          <t>每日英语</t>
        </is>
      </c>
      <c r="L1055"/>
      <c r="M1055" t="inlineStr">
        <is>
          <t>滋滋的气泡水的店</t>
        </is>
      </c>
      <c r="N1055">
        <v>3712</v>
      </c>
      <c r="O1055">
        <v>4.25</v>
      </c>
      <c r="P1055">
        <v>16000</v>
      </c>
      <c r="Q1055" t="inlineStr">
        <is>
          <t>6937a9ee69110000019d5ba8</t>
        </is>
      </c>
      <c r="R1055" t="inlineStr">
        <is>
          <t>🚫重复</t>
        </is>
      </c>
      <c r="S1055" t="inlineStr">
        <is>
          <t>中小学教辅/教材</t>
        </is>
      </c>
      <c r="T1055" t="inlineStr">
        <is>
          <t>0.14</t>
        </is>
      </c>
      <c r="U1055" s="3">
        <v>46112.78107638889</v>
      </c>
      <c r="V1055" t="inlineStr">
        <is>
          <t>虚拟产品</t>
        </is>
      </c>
      <c r="W1055" s="3">
        <v>46038</v>
      </c>
      <c r="X1055" t="inlineStr">
        <is>
          <t>01</t>
        </is>
      </c>
      <c r="Y1055" t="inlineStr">
        <is>
          <t>2026-Q1</t>
        </is>
      </c>
    </row>
    <row r="1056" ht="38.25" customHeight="1">
      <c r="A1056" t="inlineStr">
        <is>
          <t>人教版五年级英语上册复习资料 学习资料 电子版合集1</t>
        </is>
      </c>
      <c r="B1056" t="inlineStr">
        <is>
          <t>recv8r6runqEpo.jpg</t>
        </is>
      </c>
      <c r="C1056" s="2" t="str">
        <f>=HYPERLINK("https://xhslink.com/m/21Edk0JxkkK", "https://xhslink.com/m/21Edk0JxkkK")</f>
        <v>https://xhslink.com/m/21Edk0JxkkK</v>
      </c>
      <c r="D1056"/>
      <c r="E1056">
        <v>509</v>
      </c>
      <c r="F1056">
        <v>3.5</v>
      </c>
      <c r="G1056"/>
      <c r="H1056"/>
      <c r="I1056">
        <v>400</v>
      </c>
      <c r="J1056"/>
      <c r="K1056" t="inlineStr">
        <is>
          <t>每日英语</t>
        </is>
      </c>
      <c r="L1056"/>
      <c r="M1056" t="inlineStr">
        <is>
          <t>妍妍爱学习（小学资料铺）的店</t>
        </is>
      </c>
      <c r="N1056">
        <v>2135</v>
      </c>
      <c r="O1056">
        <v>4.4</v>
      </c>
      <c r="P1056">
        <v>8930</v>
      </c>
      <c r="Q1056" t="inlineStr">
        <is>
          <t>68f4838ec074c50001e15b43</t>
        </is>
      </c>
      <c r="R1056" t="inlineStr">
        <is>
          <t>🚫重复</t>
        </is>
      </c>
      <c r="S1056" t="inlineStr">
        <is>
          <t>中小学教辅/教材</t>
        </is>
      </c>
      <c r="T1056" t="inlineStr">
        <is>
          <t>0.24</t>
        </is>
      </c>
      <c r="U1056" s="3">
        <v>46112.78107638889</v>
      </c>
      <c r="V1056" t="inlineStr">
        <is>
          <t>虚拟产品</t>
        </is>
      </c>
      <c r="W1056" s="3">
        <v>46038</v>
      </c>
      <c r="X1056" t="inlineStr">
        <is>
          <t>01</t>
        </is>
      </c>
      <c r="Y1056" t="inlineStr">
        <is>
          <t>2026-Q1</t>
        </is>
      </c>
    </row>
    <row r="1057" ht="38.25" customHeight="1">
      <c r="A1057" t="inlineStr">
        <is>
          <t>人教版新七上英语单元作文练习纸·带答案电子版pdf</t>
        </is>
      </c>
      <c r="B1057" t="inlineStr">
        <is>
          <t>recv8r6runP4dN.jpg</t>
        </is>
      </c>
      <c r="C1057" s="2" t="str">
        <f>=HYPERLINK("https://xhslink.com/m/86gKmtr9aUX", "https://xhslink.com/m/86gKmtr9aUX")</f>
        <v>https://xhslink.com/m/86gKmtr9aUX</v>
      </c>
      <c r="D1057"/>
      <c r="E1057">
        <v>492</v>
      </c>
      <c r="F1057">
        <v>9.9</v>
      </c>
      <c r="G1057"/>
      <c r="H1057"/>
      <c r="I1057">
        <v>300</v>
      </c>
      <c r="J1057"/>
      <c r="K1057" t="inlineStr">
        <is>
          <t>每日英语</t>
        </is>
      </c>
      <c r="L1057"/>
      <c r="M1057" t="inlineStr">
        <is>
          <t>软软圈圈圆的店</t>
        </is>
      </c>
      <c r="N1057">
        <v>576</v>
      </c>
      <c r="O1057">
        <v>4.26</v>
      </c>
      <c r="P1057">
        <v>15000</v>
      </c>
      <c r="Q1057" t="inlineStr">
        <is>
          <t>68cf599fd1f7b80001705401</t>
        </is>
      </c>
      <c r="R1057" t="inlineStr">
        <is>
          <t>🚫重复</t>
        </is>
      </c>
      <c r="S1057" t="inlineStr">
        <is>
          <t>中小学教辅/教材</t>
        </is>
      </c>
      <c r="T1057" t="inlineStr">
        <is>
          <t>0.85</t>
        </is>
      </c>
      <c r="U1057" s="3">
        <v>46112.78107638889</v>
      </c>
      <c r="V1057" t="inlineStr">
        <is>
          <t>虚拟产品</t>
        </is>
      </c>
      <c r="W1057" s="3">
        <v>46038</v>
      </c>
      <c r="X1057" t="inlineStr">
        <is>
          <t>01</t>
        </is>
      </c>
      <c r="Y1057" t="inlineStr">
        <is>
          <t>2026-Q1</t>
        </is>
      </c>
    </row>
    <row r="1058" ht="38.25" customHeight="1">
      <c r="A1058" t="inlineStr">
        <is>
          <t>新人教八上英语期末综合每日一练20天，答案+解析（电子版）</t>
        </is>
      </c>
      <c r="B1058" t="inlineStr">
        <is>
          <t>recv8r6runVJgb.jpg</t>
        </is>
      </c>
      <c r="C1058" s="2" t="str">
        <f>=HYPERLINK("https://xhslink.com/m/9hw3PmR8TKd", "https://xhslink.com/m/9hw3PmR8TKd")</f>
        <v>https://xhslink.com/m/9hw3PmR8TKd</v>
      </c>
      <c r="D1058"/>
      <c r="E1058">
        <v>477</v>
      </c>
      <c r="F1058">
        <v>6.9</v>
      </c>
      <c r="G1058"/>
      <c r="H1058"/>
      <c r="I1058">
        <v>400</v>
      </c>
      <c r="J1058"/>
      <c r="K1058" t="inlineStr">
        <is>
          <t>每日英语</t>
        </is>
      </c>
      <c r="L1058"/>
      <c r="M1058" t="inlineStr">
        <is>
          <t>Fannie的学习乐园的店</t>
        </is>
      </c>
      <c r="N1058">
        <v>1751</v>
      </c>
      <c r="O1058">
        <v>4.33</v>
      </c>
      <c r="P1058">
        <v>11000</v>
      </c>
      <c r="Q1058" t="inlineStr">
        <is>
          <t>6935235cc84a16000154a432</t>
        </is>
      </c>
      <c r="R1058" t="inlineStr">
        <is>
          <t>🚫重复</t>
        </is>
      </c>
      <c r="S1058" t="inlineStr">
        <is>
          <t>中小学教辅/教材</t>
        </is>
      </c>
      <c r="T1058" t="inlineStr">
        <is>
          <t>0.27</t>
        </is>
      </c>
      <c r="U1058" s="3">
        <v>46112.78107638889</v>
      </c>
      <c r="V1058" t="inlineStr">
        <is>
          <t>虚拟产品</t>
        </is>
      </c>
      <c r="W1058" s="3">
        <v>46038</v>
      </c>
      <c r="X1058" t="inlineStr">
        <is>
          <t>01</t>
        </is>
      </c>
      <c r="Y1058" t="inlineStr">
        <is>
          <t>2026-Q1</t>
        </is>
      </c>
    </row>
    <row r="1059" ht="38.25" customHeight="1">
      <c r="A1059" t="inlineStr">
        <is>
          <t>初中英语作文中考英语作文句型练习英语作文高级句型公式汇总</t>
        </is>
      </c>
      <c r="B1059" t="inlineStr">
        <is>
          <t>recv8r6runuJ51.jpg</t>
        </is>
      </c>
      <c r="C1059" s="2" t="str">
        <f>=HYPERLINK("https://xhslink.com/m/gerKJOC8Km", "https://xhslink.com/m/gerKJOC8Km")</f>
        <v>https://xhslink.com/m/gerKJOC8Km</v>
      </c>
      <c r="D1059"/>
      <c r="E1059">
        <v>446</v>
      </c>
      <c r="F1059">
        <v>4.9</v>
      </c>
      <c r="G1059"/>
      <c r="H1059"/>
      <c r="I1059">
        <v>400</v>
      </c>
      <c r="J1059"/>
      <c r="K1059" t="inlineStr">
        <is>
          <t>每日英语</t>
        </is>
      </c>
      <c r="L1059"/>
      <c r="M1059" t="inlineStr">
        <is>
          <t>学界小筑的店</t>
        </is>
      </c>
      <c r="N1059">
        <v>2840</v>
      </c>
      <c r="O1059">
        <v>4.39</v>
      </c>
      <c r="P1059">
        <v>12000</v>
      </c>
      <c r="Q1059" t="inlineStr">
        <is>
          <t>693274f8daf9270001f95e57</t>
        </is>
      </c>
      <c r="R1059" t="inlineStr">
        <is>
          <t>🚫重复</t>
        </is>
      </c>
      <c r="S1059" t="inlineStr">
        <is>
          <t>中小学教辅/教材</t>
        </is>
      </c>
      <c r="T1059" t="inlineStr">
        <is>
          <t>0.16</t>
        </is>
      </c>
      <c r="U1059" s="3">
        <v>46112.78107638889</v>
      </c>
      <c r="V1059" t="inlineStr">
        <is>
          <t>虚拟产品</t>
        </is>
      </c>
      <c r="W1059" s="3">
        <v>46038</v>
      </c>
      <c r="X1059" t="inlineStr">
        <is>
          <t>01</t>
        </is>
      </c>
      <c r="Y1059" t="inlineStr">
        <is>
          <t>2026-Q1</t>
        </is>
      </c>
    </row>
    <row r="1060" ht="38.25" customHeight="1">
      <c r="A1060" t="inlineStr">
        <is>
          <t>新人教版四年级英语上册期末复习 学习资料 合集2</t>
        </is>
      </c>
      <c r="B1060" t="inlineStr">
        <is>
          <t>recv8r6runYVj2.jpg</t>
        </is>
      </c>
      <c r="C1060" s="2" t="str">
        <f>=HYPERLINK("https://xhslink.com/m/4N9oESx3DhR", "https://xhslink.com/m/4N9oESx3DhR")</f>
        <v>https://xhslink.com/m/4N9oESx3DhR</v>
      </c>
      <c r="D1060"/>
      <c r="E1060">
        <v>423</v>
      </c>
      <c r="F1060">
        <v>3.5</v>
      </c>
      <c r="G1060"/>
      <c r="H1060"/>
      <c r="I1060">
        <v>300</v>
      </c>
      <c r="J1060"/>
      <c r="K1060" t="inlineStr">
        <is>
          <t>每日英语</t>
        </is>
      </c>
      <c r="L1060"/>
      <c r="M1060" t="inlineStr">
        <is>
          <t>妍妍爱学习（小学资料铺）的店</t>
        </is>
      </c>
      <c r="N1060">
        <v>2135</v>
      </c>
      <c r="O1060">
        <v>4.4</v>
      </c>
      <c r="P1060">
        <v>8930</v>
      </c>
      <c r="Q1060" t="inlineStr">
        <is>
          <t>689569cb02d7b00001640b53</t>
        </is>
      </c>
      <c r="R1060" t="inlineStr">
        <is>
          <t>🚫重复</t>
        </is>
      </c>
      <c r="S1060" t="inlineStr">
        <is>
          <t>中小学教辅/教材</t>
        </is>
      </c>
      <c r="T1060" t="inlineStr">
        <is>
          <t>0.20</t>
        </is>
      </c>
      <c r="U1060" s="3">
        <v>46112.78107638889</v>
      </c>
      <c r="V1060" t="inlineStr">
        <is>
          <t>虚拟产品</t>
        </is>
      </c>
      <c r="W1060" s="3">
        <v>46038</v>
      </c>
      <c r="X1060" t="inlineStr">
        <is>
          <t>01</t>
        </is>
      </c>
      <c r="Y1060" t="inlineStr">
        <is>
          <t>2026-Q1</t>
        </is>
      </c>
    </row>
    <row r="1061" ht="38.25" customHeight="1">
      <c r="A1061" t="inlineStr">
        <is>
          <t>每日英语听力永久免费使用无限译文安卓苹果电脑解锁每日英语会员</t>
        </is>
      </c>
      <c r="B1061" t="inlineStr">
        <is>
          <t>recv8r6run8Mfw.jpg</t>
        </is>
      </c>
      <c r="C1061" s="2" t="str">
        <f>=HYPERLINK("https://xhslink.com/m/1QtUxPKiJOp", "https://xhslink.com/m/1QtUxPKiJOp")</f>
        <v>https://xhslink.com/m/1QtUxPKiJOp</v>
      </c>
      <c r="D1061"/>
      <c r="E1061">
        <v>378</v>
      </c>
      <c r="F1061">
        <v>2.88</v>
      </c>
      <c r="G1061"/>
      <c r="H1061"/>
      <c r="I1061">
        <v>300</v>
      </c>
      <c r="J1061"/>
      <c r="K1061" t="inlineStr">
        <is>
          <t>每日英语</t>
        </is>
      </c>
      <c r="L1061" t="inlineStr">
        <is>
          <t>🔥低粉爆款</t>
        </is>
      </c>
      <c r="M1061" t="inlineStr">
        <is>
          <t>免费分享友好服务的店</t>
        </is>
      </c>
      <c r="N1061">
        <v>36</v>
      </c>
      <c r="O1061">
        <v>3.86</v>
      </c>
      <c r="P1061">
        <v>472</v>
      </c>
      <c r="Q1061" t="inlineStr">
        <is>
          <t>691f12e533d9ce00011a896a</t>
        </is>
      </c>
      <c r="R1061"/>
      <c r="S1061" t="inlineStr">
        <is>
          <t>英语资料</t>
        </is>
      </c>
      <c r="T1061" t="inlineStr">
        <is>
          <t>10.50</t>
        </is>
      </c>
      <c r="U1061" s="3">
        <v>46112.78107638889</v>
      </c>
      <c r="V1061" t="inlineStr">
        <is>
          <t>虚拟产品</t>
        </is>
      </c>
      <c r="W1061" s="3">
        <v>46038</v>
      </c>
      <c r="X1061" t="inlineStr">
        <is>
          <t>01</t>
        </is>
      </c>
      <c r="Y1061" t="inlineStr">
        <is>
          <t>2026-Q1</t>
        </is>
      </c>
    </row>
    <row r="1062" ht="38.25" customHeight="1">
      <c r="A1062" t="inlineStr">
        <is>
          <t>25秋四上译林英语语法每日一练（U1-U8）共16页</t>
        </is>
      </c>
      <c r="B1062" t="inlineStr">
        <is>
          <t>recv8r6runY6Y1.jpg</t>
        </is>
      </c>
      <c r="C1062" s="2" t="str">
        <f>=HYPERLINK("https://xhslink.com/m/5HBMia5VXaw", "https://xhslink.com/m/5HBMia5VXaw")</f>
        <v>https://xhslink.com/m/5HBMia5VXaw</v>
      </c>
      <c r="D1062"/>
      <c r="E1062">
        <v>357</v>
      </c>
      <c r="F1062">
        <v>2.9</v>
      </c>
      <c r="G1062"/>
      <c r="H1062"/>
      <c r="I1062">
        <v>300</v>
      </c>
      <c r="J1062"/>
      <c r="K1062" t="inlineStr">
        <is>
          <t>每日英语</t>
        </is>
      </c>
      <c r="L1062"/>
      <c r="M1062" t="inlineStr">
        <is>
          <t>小孙老师的课堂的店</t>
        </is>
      </c>
      <c r="N1062">
        <v>2846</v>
      </c>
      <c r="O1062">
        <v>4.18</v>
      </c>
      <c r="P1062">
        <v>1856</v>
      </c>
      <c r="Q1062" t="inlineStr">
        <is>
          <t>68ce53d2e8b4ad00018321eb</t>
        </is>
      </c>
      <c r="R1062"/>
      <c r="S1062" t="inlineStr">
        <is>
          <t>中小学教辅/教材</t>
        </is>
      </c>
      <c r="T1062" t="inlineStr">
        <is>
          <t>0.13</t>
        </is>
      </c>
      <c r="U1062" s="3">
        <v>46112.78107638889</v>
      </c>
      <c r="V1062" t="inlineStr">
        <is>
          <t>虚拟产品</t>
        </is>
      </c>
      <c r="W1062" s="3">
        <v>46038</v>
      </c>
      <c r="X1062" t="inlineStr">
        <is>
          <t>01</t>
        </is>
      </c>
      <c r="Y1062" t="inlineStr">
        <is>
          <t>2026-Q1</t>
        </is>
      </c>
    </row>
    <row r="1063" ht="38.25" customHeight="1">
      <c r="A1063" t="inlineStr">
        <is>
          <t>初中英语完型填空每日一练专项练习九年级含解析电子版可打印</t>
        </is>
      </c>
      <c r="B1063" t="inlineStr">
        <is>
          <t>recv8r6rungH7I.jpg</t>
        </is>
      </c>
      <c r="C1063" s="2" t="str">
        <f>=HYPERLINK("https://xhslink.com/m/7a8pmA6VUyD", "https://xhslink.com/m/7a8pmA6VUyD")</f>
        <v>https://xhslink.com/m/7a8pmA6VUyD</v>
      </c>
      <c r="D1063"/>
      <c r="E1063">
        <v>346</v>
      </c>
      <c r="F1063">
        <v>3.6</v>
      </c>
      <c r="G1063"/>
      <c r="H1063"/>
      <c r="I1063">
        <v>300</v>
      </c>
      <c r="J1063"/>
      <c r="K1063" t="inlineStr">
        <is>
          <t>每日英语</t>
        </is>
      </c>
      <c r="L1063"/>
      <c r="M1063" t="inlineStr">
        <is>
          <t>开讲开讲开讲啦的店</t>
        </is>
      </c>
      <c r="N1063">
        <v>246</v>
      </c>
      <c r="O1063">
        <v>4.15</v>
      </c>
      <c r="P1063">
        <v>2014</v>
      </c>
      <c r="Q1063" t="inlineStr">
        <is>
          <t>68cb836ed1f7b800015898a4</t>
        </is>
      </c>
      <c r="R1063"/>
      <c r="S1063" t="inlineStr">
        <is>
          <t>中小学教辅/教材</t>
        </is>
      </c>
      <c r="T1063" t="inlineStr">
        <is>
          <t>1.41</t>
        </is>
      </c>
      <c r="U1063" s="3">
        <v>46112.78107638889</v>
      </c>
      <c r="V1063" t="inlineStr">
        <is>
          <t>虚拟产品</t>
        </is>
      </c>
      <c r="W1063" s="3">
        <v>46038</v>
      </c>
      <c r="X1063" t="inlineStr">
        <is>
          <t>01</t>
        </is>
      </c>
      <c r="Y1063" t="inlineStr">
        <is>
          <t>2026-Q1</t>
        </is>
      </c>
    </row>
    <row r="1064" ht="38.25" customHeight="1">
      <c r="A1064" t="inlineStr">
        <is>
          <t>语芽 · 25年小学生寒暑假日常学习自律打卡神器学习计划本</t>
        </is>
      </c>
      <c r="B1064" t="inlineStr">
        <is>
          <t>recv8r6runZ2yk.jpg</t>
        </is>
      </c>
      <c r="C1064" s="2" t="str">
        <f>=HYPERLINK("https://xhslink.com/m/3JGjAORK1tz", "https://xhslink.com/m/3JGjAORK1tz")</f>
        <v>https://xhslink.com/m/3JGjAORK1tz</v>
      </c>
      <c r="D1064"/>
      <c r="E1064">
        <v>13000</v>
      </c>
      <c r="F1064">
        <v>9.9</v>
      </c>
      <c r="G1064"/>
      <c r="H1064"/>
      <c r="I1064">
        <v>4000</v>
      </c>
      <c r="J1064"/>
      <c r="K1064" t="inlineStr">
        <is>
          <t>学习打卡</t>
        </is>
      </c>
      <c r="L1064" t="inlineStr">
        <is>
          <t>🔥低粉爆款</t>
        </is>
      </c>
      <c r="M1064" t="inlineStr">
        <is>
          <t>语芽玩具旗舰店</t>
        </is>
      </c>
      <c r="N1064">
        <v>4311</v>
      </c>
      <c r="O1064">
        <v>4.59</v>
      </c>
      <c r="P1064">
        <v>29000</v>
      </c>
      <c r="Q1064" t="inlineStr">
        <is>
          <t>67b31b419716990001e6817a</t>
        </is>
      </c>
      <c r="R1064" t="inlineStr">
        <is>
          <t>🚫重复</t>
        </is>
      </c>
      <c r="S1064" t="inlineStr">
        <is>
          <t>中小学教辅/教材</t>
        </is>
      </c>
      <c r="T1064" t="inlineStr">
        <is>
          <t>3.02</t>
        </is>
      </c>
      <c r="U1064" s="3">
        <v>46112.78107638889</v>
      </c>
      <c r="V1064" t="inlineStr">
        <is>
          <t>虚拟产品</t>
        </is>
      </c>
      <c r="W1064" s="3">
        <v>46038</v>
      </c>
      <c r="X1064" t="inlineStr">
        <is>
          <t>01</t>
        </is>
      </c>
      <c r="Y1064" t="inlineStr">
        <is>
          <t>2026-Q1</t>
        </is>
      </c>
    </row>
    <row r="1065" ht="38.25" customHeight="1">
      <c r="A1065" t="inlineStr">
        <is>
          <t>卢威63天表达力创富打卡训练营</t>
        </is>
      </c>
      <c r="B1065" t="inlineStr">
        <is>
          <t>recv8r6runa8j4.jpg</t>
        </is>
      </c>
      <c r="C1065" s="2" t="str">
        <f>=HYPERLINK("https://xhslink.com/m/6KsO7V1ZeZm", "https://xhslink.com/m/6KsO7V1ZeZm")</f>
        <v>https://xhslink.com/m/6KsO7V1ZeZm</v>
      </c>
      <c r="D1065"/>
      <c r="E1065">
        <v>9300</v>
      </c>
      <c r="F1065">
        <v>1</v>
      </c>
      <c r="G1065"/>
      <c r="H1065"/>
      <c r="I1065">
        <v>1000</v>
      </c>
      <c r="J1065"/>
      <c r="K1065" t="inlineStr">
        <is>
          <t>学习打卡</t>
        </is>
      </c>
      <c r="L1065"/>
      <c r="M1065" t="inlineStr">
        <is>
          <t>来了不想走的店的店</t>
        </is>
      </c>
      <c r="N1065">
        <v>8074</v>
      </c>
      <c r="O1065">
        <v>4.44</v>
      </c>
      <c r="P1065">
        <v>10000</v>
      </c>
      <c r="Q1065" t="inlineStr">
        <is>
          <t>67aad0ba17cfa00001706dbf</t>
        </is>
      </c>
      <c r="R1065"/>
      <c r="S1065" t="inlineStr">
        <is>
          <t>运营资料</t>
        </is>
      </c>
      <c r="T1065" t="inlineStr">
        <is>
          <t>1.15</t>
        </is>
      </c>
      <c r="U1065" s="3">
        <v>46112.78107638889</v>
      </c>
      <c r="V1065" t="inlineStr">
        <is>
          <t>虚拟产品</t>
        </is>
      </c>
      <c r="W1065" s="3">
        <v>46038</v>
      </c>
      <c r="X1065" t="inlineStr">
        <is>
          <t>01</t>
        </is>
      </c>
      <c r="Y1065" t="inlineStr">
        <is>
          <t>2026-Q1</t>
        </is>
      </c>
    </row>
    <row r="1066" ht="38.25" customHeight="1">
      <c r="A1066" t="inlineStr">
        <is>
          <t>课堂作业消消乐PPT日日打卡清除气泡泡早读背教师书点名希沃课件</t>
        </is>
      </c>
      <c r="B1066" t="inlineStr">
        <is>
          <t>recv8r6runHWHq.jpg</t>
        </is>
      </c>
      <c r="C1066" s="2" t="str">
        <f>=HYPERLINK("https://xhslink.com/m/17KeJ7Ctb6d", "https://xhslink.com/m/17KeJ7Ctb6d")</f>
        <v>https://xhslink.com/m/17KeJ7Ctb6d</v>
      </c>
      <c r="D1066"/>
      <c r="E1066">
        <v>3323</v>
      </c>
      <c r="F1066">
        <v>4.99</v>
      </c>
      <c r="G1066"/>
      <c r="H1066"/>
      <c r="I1066">
        <v>700</v>
      </c>
      <c r="J1066"/>
      <c r="K1066" t="inlineStr">
        <is>
          <t>学习打卡</t>
        </is>
      </c>
      <c r="L1066"/>
      <c r="M1066" t="inlineStr">
        <is>
          <t>慢羊羊博士的店</t>
        </is>
      </c>
      <c r="N1066">
        <v>2824</v>
      </c>
      <c r="O1066">
        <v>3.74</v>
      </c>
      <c r="P1066">
        <v>45000</v>
      </c>
      <c r="Q1066" t="inlineStr">
        <is>
          <t>677cd07912147e0015e79d6a</t>
        </is>
      </c>
      <c r="R1066"/>
      <c r="S1066" t="inlineStr">
        <is>
          <t>PPT模板</t>
        </is>
      </c>
      <c r="T1066" t="inlineStr">
        <is>
          <t>1.18</t>
        </is>
      </c>
      <c r="U1066" s="3">
        <v>46112.78107638889</v>
      </c>
      <c r="V1066" t="inlineStr">
        <is>
          <t>虚拟产品</t>
        </is>
      </c>
      <c r="W1066" s="3">
        <v>46038</v>
      </c>
      <c r="X1066" t="inlineStr">
        <is>
          <t>01</t>
        </is>
      </c>
      <c r="Y1066" t="inlineStr">
        <is>
          <t>2026-Q1</t>
        </is>
      </c>
    </row>
    <row r="1067" ht="38.25" customHeight="1">
      <c r="A1067" t="inlineStr">
        <is>
          <t>注册会计师1V1学习指导课含26年6科学科打卡表PDF手机平板电脑用</t>
        </is>
      </c>
      <c r="B1067" t="inlineStr">
        <is>
          <t>recv8r6run5Lw8.jpg</t>
        </is>
      </c>
      <c r="C1067" s="2" t="str">
        <f>=HYPERLINK("https://xhslink.com/m/5BaUwCjrEzP", "https://xhslink.com/m/5BaUwCjrEzP")</f>
        <v>https://xhslink.com/m/5BaUwCjrEzP</v>
      </c>
      <c r="D1067"/>
      <c r="E1067">
        <v>842</v>
      </c>
      <c r="F1067">
        <v>0.5</v>
      </c>
      <c r="G1067"/>
      <c r="H1067"/>
      <c r="I1067">
        <v>500</v>
      </c>
      <c r="J1067"/>
      <c r="K1067" t="inlineStr">
        <is>
          <t>学习打卡</t>
        </is>
      </c>
      <c r="L1067"/>
      <c r="M1067" t="inlineStr">
        <is>
          <t>一坨小草莓的店</t>
        </is>
      </c>
      <c r="N1067">
        <v>530</v>
      </c>
      <c r="O1067">
        <v>4.39</v>
      </c>
      <c r="P1067">
        <v>3931</v>
      </c>
      <c r="Q1067" t="inlineStr">
        <is>
          <t>68a31f500991b40001618d1e</t>
        </is>
      </c>
      <c r="R1067"/>
      <c r="S1067" t="inlineStr">
        <is>
          <t>会计资料</t>
        </is>
      </c>
      <c r="T1067" t="inlineStr">
        <is>
          <t>1.59</t>
        </is>
      </c>
      <c r="U1067" s="3">
        <v>46112.78107638889</v>
      </c>
      <c r="V1067" t="inlineStr">
        <is>
          <t>虚拟产品</t>
        </is>
      </c>
      <c r="W1067" s="3">
        <v>46038</v>
      </c>
      <c r="X1067" t="inlineStr">
        <is>
          <t>01</t>
        </is>
      </c>
      <c r="Y1067" t="inlineStr">
        <is>
          <t>2026-Q1</t>
        </is>
      </c>
    </row>
    <row r="1068" ht="38.25" customHeight="1">
      <c r="A1068" t="inlineStr">
        <is>
          <t>【原创现货】学生作业日日清活页本·学习计划打卡错题整理自律本</t>
        </is>
      </c>
      <c r="B1068" t="inlineStr">
        <is>
          <t>recv8r6rung6aL.jpg</t>
        </is>
      </c>
      <c r="C1068" s="2" t="str">
        <f>=HYPERLINK("https://xhslink.com/m/1aFw2Z0ulSq", "https://xhslink.com/m/1aFw2Z0ulSq")</f>
        <v>https://xhslink.com/m/1aFw2Z0ulSq</v>
      </c>
      <c r="D1068"/>
      <c r="E1068">
        <v>373</v>
      </c>
      <c r="F1068">
        <v>19.8</v>
      </c>
      <c r="G1068"/>
      <c r="H1068"/>
      <c r="I1068">
        <v>300</v>
      </c>
      <c r="J1068"/>
      <c r="K1068" t="inlineStr">
        <is>
          <t>学习打卡</t>
        </is>
      </c>
      <c r="L1068"/>
      <c r="M1068" t="inlineStr">
        <is>
          <t>小贝妈妈是teacher的店</t>
        </is>
      </c>
      <c r="N1068">
        <v>23000</v>
      </c>
      <c r="O1068">
        <v>4.51</v>
      </c>
      <c r="P1068">
        <v>14000</v>
      </c>
      <c r="Q1068" t="inlineStr">
        <is>
          <t>694a455f6a3f3f00015e5ec4</t>
        </is>
      </c>
      <c r="R1068"/>
      <c r="S1068" t="inlineStr">
        <is>
          <t>中小学教辅/教材</t>
        </is>
      </c>
      <c r="T1068" t="inlineStr">
        <is>
          <t>0.02</t>
        </is>
      </c>
      <c r="U1068" s="3">
        <v>46112.78107638889</v>
      </c>
      <c r="V1068" t="inlineStr">
        <is>
          <t>虚拟产品</t>
        </is>
      </c>
      <c r="W1068" s="3">
        <v>46038</v>
      </c>
      <c r="X1068" t="inlineStr">
        <is>
          <t>01</t>
        </is>
      </c>
      <c r="Y1068" t="inlineStr">
        <is>
          <t>2026-Q1</t>
        </is>
      </c>
    </row>
    <row r="1069" ht="38.25" customHeight="1">
      <c r="A1069" t="inlineStr">
        <is>
          <t>C02三年级上册字母练习汇总，PDF电子版，可打印</t>
        </is>
      </c>
      <c r="B1069" t="inlineStr">
        <is>
          <t>recv8r6runzszC.jpg</t>
        </is>
      </c>
      <c r="C1069" s="2" t="str">
        <f>=HYPERLINK("https://xhslink.com/m/9RSNgvtpv7f", "https://xhslink.com/m/9RSNgvtpv7f")</f>
        <v>https://xhslink.com/m/9RSNgvtpv7f</v>
      </c>
      <c r="D1069"/>
      <c r="E1069">
        <v>1427</v>
      </c>
      <c r="F1069">
        <v>2.8</v>
      </c>
      <c r="G1069"/>
      <c r="H1069"/>
      <c r="I1069">
        <v>400</v>
      </c>
      <c r="J1069"/>
      <c r="K1069" t="inlineStr">
        <is>
          <t>学习打卡</t>
        </is>
      </c>
      <c r="L1069"/>
      <c r="M1069" t="inlineStr">
        <is>
          <t>向上的✨闪闪妈的店</t>
        </is>
      </c>
      <c r="N1069">
        <v>8371</v>
      </c>
      <c r="O1069">
        <v>4.4</v>
      </c>
      <c r="P1069">
        <v>46000</v>
      </c>
      <c r="Q1069" t="inlineStr">
        <is>
          <t>68d171492dc6d00001338357</t>
        </is>
      </c>
      <c r="R1069" t="inlineStr">
        <is>
          <t>🚫重复</t>
        </is>
      </c>
      <c r="S1069" t="inlineStr">
        <is>
          <t>中小学教辅/教材</t>
        </is>
      </c>
      <c r="T1069" t="inlineStr">
        <is>
          <t>0.17</t>
        </is>
      </c>
      <c r="U1069" s="3">
        <v>46112.78107638889</v>
      </c>
      <c r="V1069" t="inlineStr">
        <is>
          <t>虚拟产品</t>
        </is>
      </c>
      <c r="W1069" s="3">
        <v>46038</v>
      </c>
      <c r="X1069" t="inlineStr">
        <is>
          <t>01</t>
        </is>
      </c>
      <c r="Y1069" t="inlineStr">
        <is>
          <t>2026-Q1</t>
        </is>
      </c>
    </row>
    <row r="1070" ht="38.25" customHeight="1">
      <c r="A1070" t="inlineStr">
        <is>
          <t>专业ppt代做美化，商业计划书年终总结课件述职汇报竞聘竞岗公司</t>
        </is>
      </c>
      <c r="B1070" t="inlineStr">
        <is>
          <t>recv8r6runfbV2.jpg</t>
        </is>
      </c>
      <c r="C1070" s="2" t="str">
        <f>=HYPERLINK("https://xhslink.com/m/8c8aH7kQVmW", "https://xhslink.com/m/8c8aH7kQVmW")</f>
        <v>https://xhslink.com/m/8c8aH7kQVmW</v>
      </c>
      <c r="D1070"/>
      <c r="E1070">
        <v>3306</v>
      </c>
      <c r="F1070">
        <v>20</v>
      </c>
      <c r="G1070"/>
      <c r="H1070"/>
      <c r="I1070">
        <v>300</v>
      </c>
      <c r="J1070"/>
      <c r="K1070" t="inlineStr">
        <is>
          <t>年终总结</t>
        </is>
      </c>
      <c r="L1070"/>
      <c r="M1070" t="inlineStr">
        <is>
          <t>爱写方案的孟姐的店</t>
        </is>
      </c>
      <c r="N1070">
        <v>1366</v>
      </c>
      <c r="O1070">
        <v>4.03</v>
      </c>
      <c r="P1070">
        <v>5077</v>
      </c>
      <c r="Q1070" t="inlineStr">
        <is>
          <t>676e0abd77d41e0001ab90b9</t>
        </is>
      </c>
      <c r="R1070"/>
      <c r="S1070" t="inlineStr">
        <is>
          <t>PPT模板</t>
        </is>
      </c>
      <c r="T1070" t="inlineStr">
        <is>
          <t>2.42</t>
        </is>
      </c>
      <c r="U1070" s="3">
        <v>46112.78107638889</v>
      </c>
      <c r="V1070" t="inlineStr">
        <is>
          <t>虚拟产品</t>
        </is>
      </c>
      <c r="W1070" s="3">
        <v>46038</v>
      </c>
      <c r="X1070" t="inlineStr">
        <is>
          <t>01</t>
        </is>
      </c>
      <c r="Y1070" t="inlineStr">
        <is>
          <t>2026-Q1</t>
        </is>
      </c>
    </row>
    <row r="1071" ht="38.25" customHeight="1">
      <c r="A1071" t="inlineStr">
        <is>
          <t>任意一套ppt(看好编号再下单）</t>
        </is>
      </c>
      <c r="B1071" t="inlineStr">
        <is>
          <t>recv8r6runrfze.jpg</t>
        </is>
      </c>
      <c r="C1071" s="2" t="str">
        <f>=HYPERLINK("https://xhslink.com/m/505OEN6PR62", "https://xhslink.com/m/505OEN6PR62")</f>
        <v>https://xhslink.com/m/505OEN6PR62</v>
      </c>
      <c r="D1071"/>
      <c r="E1071">
        <v>1913</v>
      </c>
      <c r="F1071">
        <v>4.9</v>
      </c>
      <c r="G1071"/>
      <c r="H1071"/>
      <c r="I1071">
        <v>400</v>
      </c>
      <c r="J1071"/>
      <c r="K1071" t="inlineStr">
        <is>
          <t>年终总结</t>
        </is>
      </c>
      <c r="L1071"/>
      <c r="M1071" t="inlineStr">
        <is>
          <t>是胡萝卜丁的店</t>
        </is>
      </c>
      <c r="N1071">
        <v>12000</v>
      </c>
      <c r="O1071">
        <v>3.79</v>
      </c>
      <c r="P1071">
        <v>8964</v>
      </c>
      <c r="Q1071" t="inlineStr">
        <is>
          <t>679b8fc929b9f70001029bfb</t>
        </is>
      </c>
      <c r="R1071"/>
      <c r="S1071" t="inlineStr">
        <is>
          <t>PPT模板</t>
        </is>
      </c>
      <c r="T1071" t="inlineStr">
        <is>
          <t>0.16</t>
        </is>
      </c>
      <c r="U1071" s="3">
        <v>46112.78107638889</v>
      </c>
      <c r="V1071" t="inlineStr">
        <is>
          <t>虚拟产品</t>
        </is>
      </c>
      <c r="W1071" s="3">
        <v>46038</v>
      </c>
      <c r="X1071" t="inlineStr">
        <is>
          <t>01</t>
        </is>
      </c>
      <c r="Y1071" t="inlineStr">
        <is>
          <t>2026-Q1</t>
        </is>
      </c>
    </row>
    <row r="1072" ht="38.25" customHeight="1">
      <c r="A1072" t="inlineStr">
        <is>
          <t>笔记中PPT模板系列1【已经勾选好，默认付款发百度网盘下载链接】</t>
        </is>
      </c>
      <c r="B1072" t="inlineStr">
        <is>
          <t>recv8r6runtWMB.jpg</t>
        </is>
      </c>
      <c r="C1072" s="2" t="str">
        <f>=HYPERLINK("https://xhslink.com/m/A3UIPfB3CAh", "https://xhslink.com/m/A3UIPfB3CAh")</f>
        <v>https://xhslink.com/m/A3UIPfB3CAh</v>
      </c>
      <c r="D1072"/>
      <c r="E1072">
        <v>1641</v>
      </c>
      <c r="F1072">
        <v>9.9</v>
      </c>
      <c r="G1072"/>
      <c r="H1072"/>
      <c r="I1072">
        <v>500</v>
      </c>
      <c r="J1072"/>
      <c r="K1072" t="inlineStr">
        <is>
          <t>年终总结</t>
        </is>
      </c>
      <c r="L1072"/>
      <c r="M1072" t="inlineStr">
        <is>
          <t>蓝老师PPT的店</t>
        </is>
      </c>
      <c r="N1072">
        <v>775</v>
      </c>
      <c r="O1072">
        <v>3.93</v>
      </c>
      <c r="P1072">
        <v>4029</v>
      </c>
      <c r="Q1072" t="inlineStr">
        <is>
          <t>678e443897ab010001497965</t>
        </is>
      </c>
      <c r="R1072" t="inlineStr">
        <is>
          <t>🚫重复</t>
        </is>
      </c>
      <c r="S1072" t="inlineStr">
        <is>
          <t>PPT模板</t>
        </is>
      </c>
      <c r="T1072" t="inlineStr">
        <is>
          <t>2.12</t>
        </is>
      </c>
      <c r="U1072" s="3">
        <v>46112.78107638889</v>
      </c>
      <c r="V1072" t="inlineStr">
        <is>
          <t>虚拟产品</t>
        </is>
      </c>
      <c r="W1072" s="3">
        <v>46038</v>
      </c>
      <c r="X1072" t="inlineStr">
        <is>
          <t>01</t>
        </is>
      </c>
      <c r="Y1072" t="inlineStr">
        <is>
          <t>2026-Q1</t>
        </is>
      </c>
    </row>
    <row r="1073" ht="38.25" customHeight="1">
      <c r="A1073" t="inlineStr">
        <is>
          <t>F图片同款PPT一份｜虚拟资料发出后不可退换</t>
        </is>
      </c>
      <c r="B1073" t="inlineStr">
        <is>
          <t>recv8r6runGQGP.jpg</t>
        </is>
      </c>
      <c r="C1073" s="2" t="str">
        <f>=HYPERLINK("https://xhslink.com/m/mJuGHrcmDa", "https://xhslink.com/m/mJuGHrcmDa")</f>
        <v>https://xhslink.com/m/mJuGHrcmDa</v>
      </c>
      <c r="D1073"/>
      <c r="E1073">
        <v>1353</v>
      </c>
      <c r="F1073">
        <v>6</v>
      </c>
      <c r="G1073"/>
      <c r="H1073"/>
      <c r="I1073">
        <v>500</v>
      </c>
      <c r="J1073"/>
      <c r="K1073" t="inlineStr">
        <is>
          <t>年终总结</t>
        </is>
      </c>
      <c r="L1073"/>
      <c r="M1073" t="inlineStr">
        <is>
          <t>小达人的店</t>
        </is>
      </c>
      <c r="N1073">
        <v>5082</v>
      </c>
      <c r="O1073">
        <v>3.93</v>
      </c>
      <c r="P1073">
        <v>3614</v>
      </c>
      <c r="Q1073" t="inlineStr">
        <is>
          <t>67810b6677d41e00012c8799</t>
        </is>
      </c>
      <c r="R1073" t="inlineStr">
        <is>
          <t>🚫重复</t>
        </is>
      </c>
      <c r="S1073" t="inlineStr">
        <is>
          <t>PPT模板</t>
        </is>
      </c>
      <c r="T1073" t="inlineStr">
        <is>
          <t>0.27</t>
        </is>
      </c>
      <c r="U1073" s="3">
        <v>46112.78107638889</v>
      </c>
      <c r="V1073" t="inlineStr">
        <is>
          <t>虚拟产品</t>
        </is>
      </c>
      <c r="W1073" s="3">
        <v>46038</v>
      </c>
      <c r="X1073" t="inlineStr">
        <is>
          <t>01</t>
        </is>
      </c>
      <c r="Y1073" t="inlineStr">
        <is>
          <t>2026-Q1</t>
        </is>
      </c>
    </row>
    <row r="1074" ht="38.25" customHeight="1">
      <c r="A1074" t="inlineStr">
        <is>
          <t>600页可视化图表年终总结汇报PPT模板涵盖各岗位主题可编辑修改</t>
        </is>
      </c>
      <c r="B1074" t="inlineStr">
        <is>
          <t>recv8r6run9SQK.jpg</t>
        </is>
      </c>
      <c r="C1074" s="2" t="str">
        <f>=HYPERLINK("https://xhslink.com/m/2p4gVVCkI6O", "https://xhslink.com/m/2p4gVVCkI6O")</f>
        <v>https://xhslink.com/m/2p4gVVCkI6O</v>
      </c>
      <c r="D1074"/>
      <c r="E1074">
        <v>1321</v>
      </c>
      <c r="F1074">
        <v>0.1</v>
      </c>
      <c r="G1074"/>
      <c r="H1074"/>
      <c r="I1074">
        <v>400</v>
      </c>
      <c r="J1074"/>
      <c r="K1074" t="inlineStr">
        <is>
          <t>年终总结</t>
        </is>
      </c>
      <c r="L1074"/>
      <c r="M1074" t="inlineStr">
        <is>
          <t>秋叶PPT的店</t>
        </is>
      </c>
      <c r="N1074">
        <v>302000</v>
      </c>
      <c r="O1074">
        <v>4.36</v>
      </c>
      <c r="P1074">
        <v>8297</v>
      </c>
      <c r="Q1074" t="inlineStr">
        <is>
          <t>677cda6e612dfe00014cbbb4</t>
        </is>
      </c>
      <c r="R1074"/>
      <c r="S1074" t="inlineStr">
        <is>
          <t>PPT模板</t>
        </is>
      </c>
      <c r="T1074" t="inlineStr">
        <is>
          <t>0.00</t>
        </is>
      </c>
      <c r="U1074" s="3">
        <v>46112.78107638889</v>
      </c>
      <c r="V1074" t="inlineStr">
        <is>
          <t>虚拟产品</t>
        </is>
      </c>
      <c r="W1074" s="3">
        <v>46038</v>
      </c>
      <c r="X1074" t="inlineStr">
        <is>
          <t>01</t>
        </is>
      </c>
      <c r="Y1074" t="inlineStr">
        <is>
          <t>2026-Q1</t>
        </is>
      </c>
    </row>
    <row r="1075" ht="38.25" customHeight="1">
      <c r="A1075" t="inlineStr">
        <is>
          <t>辅导员述职汇报/年终工作总结PPT模板-带演讲稿带动画-秒发货</t>
        </is>
      </c>
      <c r="B1075" t="inlineStr">
        <is>
          <t>recv8r6runFfn0.jpg</t>
        </is>
      </c>
      <c r="C1075" s="2" t="str">
        <f>=HYPERLINK("https://xhslink.com/m/4UR1UmNb72Y", "https://xhslink.com/m/4UR1UmNb72Y")</f>
        <v>https://xhslink.com/m/4UR1UmNb72Y</v>
      </c>
      <c r="D1075"/>
      <c r="E1075">
        <v>1081</v>
      </c>
      <c r="F1075">
        <v>9.88</v>
      </c>
      <c r="G1075"/>
      <c r="H1075"/>
      <c r="I1075">
        <v>1000</v>
      </c>
      <c r="J1075"/>
      <c r="K1075" t="inlineStr">
        <is>
          <t>年终总结</t>
        </is>
      </c>
      <c r="L1075"/>
      <c r="M1075" t="inlineStr">
        <is>
          <t>不抓鱼的喵的店</t>
        </is>
      </c>
      <c r="N1075">
        <v>8474</v>
      </c>
      <c r="O1075">
        <v>4.41</v>
      </c>
      <c r="P1075">
        <v>7956</v>
      </c>
      <c r="Q1075" t="inlineStr">
        <is>
          <t>692860e63dc536000149a56a</t>
        </is>
      </c>
      <c r="R1075" t="inlineStr">
        <is>
          <t>🚫重复</t>
        </is>
      </c>
      <c r="S1075" t="inlineStr">
        <is>
          <t>PPT模板</t>
        </is>
      </c>
      <c r="T1075" t="inlineStr">
        <is>
          <t>0.13</t>
        </is>
      </c>
      <c r="U1075" s="3">
        <v>46112.78107638889</v>
      </c>
      <c r="V1075" t="inlineStr">
        <is>
          <t>虚拟产品</t>
        </is>
      </c>
      <c r="W1075" s="3">
        <v>46038</v>
      </c>
      <c r="X1075" t="inlineStr">
        <is>
          <t>01</t>
        </is>
      </c>
      <c r="Y1075" t="inlineStr">
        <is>
          <t>2026-Q1</t>
        </is>
      </c>
    </row>
    <row r="1076" ht="38.25" customHeight="1">
      <c r="A1076" t="inlineStr">
        <is>
          <t>(可选色)02动态辅导员年终述职汇报PPT(发货后不退不换)</t>
        </is>
      </c>
      <c r="B1076" t="inlineStr">
        <is>
          <t>recv8r6runvFsq.jpg</t>
        </is>
      </c>
      <c r="C1076" s="2" t="str">
        <f>=HYPERLINK("https://xhslink.com/m/AjZCUlTRJ1F", "https://xhslink.com/m/AjZCUlTRJ1F")</f>
        <v>https://xhslink.com/m/AjZCUlTRJ1F</v>
      </c>
      <c r="D1076"/>
      <c r="E1076">
        <v>548</v>
      </c>
      <c r="F1076">
        <v>10.99</v>
      </c>
      <c r="G1076"/>
      <c r="H1076"/>
      <c r="I1076">
        <v>500</v>
      </c>
      <c r="J1076"/>
      <c r="K1076" t="inlineStr">
        <is>
          <t>年终总结</t>
        </is>
      </c>
      <c r="L1076"/>
      <c r="M1076" t="inlineStr">
        <is>
          <t>银银小屋的店</t>
        </is>
      </c>
      <c r="N1076">
        <v>283</v>
      </c>
      <c r="O1076">
        <v>4.12</v>
      </c>
      <c r="P1076">
        <v>1664</v>
      </c>
      <c r="Q1076" t="inlineStr">
        <is>
          <t>6925be0beb0d80000194f59e</t>
        </is>
      </c>
      <c r="R1076"/>
      <c r="S1076" t="inlineStr">
        <is>
          <t>PPT模板</t>
        </is>
      </c>
      <c r="T1076" t="inlineStr">
        <is>
          <t>1.94</t>
        </is>
      </c>
      <c r="U1076" s="3">
        <v>46112.78107638889</v>
      </c>
      <c r="V1076" t="inlineStr">
        <is>
          <t>虚拟产品</t>
        </is>
      </c>
      <c r="W1076" s="3">
        <v>46038</v>
      </c>
      <c r="X1076" t="inlineStr">
        <is>
          <t>01</t>
        </is>
      </c>
      <c r="Y1076" t="inlineStr">
        <is>
          <t>2026-Q1</t>
        </is>
      </c>
    </row>
    <row r="1077" ht="38.25" customHeight="1">
      <c r="A1077" t="inlineStr">
        <is>
          <t>20套高级感蓝色励志商务风年终年中工作总结述职汇报动态ppt模板</t>
        </is>
      </c>
      <c r="B1077" t="inlineStr">
        <is>
          <t>recv8r6runMj83.jpg</t>
        </is>
      </c>
      <c r="C1077" s="2" t="str">
        <f>=HYPERLINK("https://xhslink.com/m/9rwYnGh0IYS", "https://xhslink.com/m/9rwYnGh0IYS")</f>
        <v>https://xhslink.com/m/9rwYnGh0IYS</v>
      </c>
      <c r="D1077"/>
      <c r="E1077">
        <v>508</v>
      </c>
      <c r="F1077">
        <v>3.99</v>
      </c>
      <c r="G1077"/>
      <c r="H1077"/>
      <c r="I1077">
        <v>300</v>
      </c>
      <c r="J1077"/>
      <c r="K1077" t="inlineStr">
        <is>
          <t>年终总结</t>
        </is>
      </c>
      <c r="L1077"/>
      <c r="M1077" t="inlineStr">
        <is>
          <t>ERGE素材基地的店</t>
        </is>
      </c>
      <c r="N1077">
        <v>14000</v>
      </c>
      <c r="O1077">
        <v>4.39</v>
      </c>
      <c r="P1077">
        <v>121000</v>
      </c>
      <c r="Q1077" t="inlineStr">
        <is>
          <t>6891602a86c0df00015a697f</t>
        </is>
      </c>
      <c r="R1077" t="inlineStr">
        <is>
          <t>🚫重复</t>
        </is>
      </c>
      <c r="S1077" t="inlineStr">
        <is>
          <t>PPT模板</t>
        </is>
      </c>
      <c r="T1077" t="inlineStr">
        <is>
          <t>0.04</t>
        </is>
      </c>
      <c r="U1077" s="3">
        <v>46112.78107638889</v>
      </c>
      <c r="V1077" t="inlineStr">
        <is>
          <t>虚拟产品</t>
        </is>
      </c>
      <c r="W1077" s="3">
        <v>46038</v>
      </c>
      <c r="X1077" t="inlineStr">
        <is>
          <t>01</t>
        </is>
      </c>
      <c r="Y1077" t="inlineStr">
        <is>
          <t>2026-Q1</t>
        </is>
      </c>
    </row>
    <row r="1078" ht="38.25" customHeight="1">
      <c r="A1078" t="inlineStr">
        <is>
          <t>854号工作总结ppt模板一套，拍下秒发</t>
        </is>
      </c>
      <c r="B1078" t="inlineStr">
        <is>
          <t>recv8r6runYLI2.jpg</t>
        </is>
      </c>
      <c r="C1078" s="2" t="str">
        <f>=HYPERLINK("https://xhslink.com/m/8BVUrhxypWD", "https://xhslink.com/m/8BVUrhxypWD")</f>
        <v>https://xhslink.com/m/8BVUrhxypWD</v>
      </c>
      <c r="D1078"/>
      <c r="E1078">
        <v>510</v>
      </c>
      <c r="F1078">
        <v>10.9</v>
      </c>
      <c r="G1078"/>
      <c r="H1078"/>
      <c r="I1078">
        <v>300</v>
      </c>
      <c r="J1078"/>
      <c r="K1078" t="inlineStr">
        <is>
          <t>年终总结</t>
        </is>
      </c>
      <c r="L1078"/>
      <c r="M1078" t="inlineStr">
        <is>
          <t>辉月PPT的店</t>
        </is>
      </c>
      <c r="N1078">
        <v>3600</v>
      </c>
      <c r="O1078">
        <v>3.89</v>
      </c>
      <c r="P1078">
        <v>10000</v>
      </c>
      <c r="Q1078" t="inlineStr">
        <is>
          <t>6758224deb35d70001dfae13</t>
        </is>
      </c>
      <c r="R1078" t="inlineStr">
        <is>
          <t>🚫重复</t>
        </is>
      </c>
      <c r="S1078" t="inlineStr">
        <is>
          <t>PPT模板</t>
        </is>
      </c>
      <c r="T1078" t="inlineStr">
        <is>
          <t>0.14</t>
        </is>
      </c>
      <c r="U1078" s="3">
        <v>46112.78107638889</v>
      </c>
      <c r="V1078" t="inlineStr">
        <is>
          <t>虚拟产品</t>
        </is>
      </c>
      <c r="W1078" s="3">
        <v>46038</v>
      </c>
      <c r="X1078" t="inlineStr">
        <is>
          <t>01</t>
        </is>
      </c>
      <c r="Y1078" t="inlineStr">
        <is>
          <t>2026-Q1</t>
        </is>
      </c>
    </row>
    <row r="1079" ht="38.25" customHeight="1">
      <c r="A1079" t="inlineStr">
        <is>
          <t>（可选色）01创意年终总结述职PPT（发货后不退不换）</t>
        </is>
      </c>
      <c r="B1079" t="inlineStr">
        <is>
          <t>recv8r6runXIa1.jpg</t>
        </is>
      </c>
      <c r="C1079" s="2" t="str">
        <f>=HYPERLINK("https://xhslink.com/m/5ybuXCkttR9", "https://xhslink.com/m/5ybuXCkttR9")</f>
        <v>https://xhslink.com/m/5ybuXCkttR9</v>
      </c>
      <c r="D1079"/>
      <c r="E1079">
        <v>418</v>
      </c>
      <c r="F1079">
        <v>9.99</v>
      </c>
      <c r="G1079"/>
      <c r="H1079"/>
      <c r="I1079">
        <v>300</v>
      </c>
      <c r="J1079"/>
      <c r="K1079" t="inlineStr">
        <is>
          <t>年终总结</t>
        </is>
      </c>
      <c r="L1079"/>
      <c r="M1079" t="inlineStr">
        <is>
          <t>银了个银PPT的店</t>
        </is>
      </c>
      <c r="N1079">
        <v>1344</v>
      </c>
      <c r="O1079">
        <v>4.38</v>
      </c>
      <c r="P1079">
        <v>29000</v>
      </c>
      <c r="Q1079" t="inlineStr">
        <is>
          <t>6958d744b1e66600010ad999</t>
        </is>
      </c>
      <c r="R1079" t="inlineStr">
        <is>
          <t>🚫重复</t>
        </is>
      </c>
      <c r="S1079" t="inlineStr">
        <is>
          <t>PPT模板</t>
        </is>
      </c>
      <c r="T1079" t="inlineStr">
        <is>
          <t>0.31</t>
        </is>
      </c>
      <c r="U1079" s="3">
        <v>46112.78107638889</v>
      </c>
      <c r="V1079" t="inlineStr">
        <is>
          <t>虚拟产品</t>
        </is>
      </c>
      <c r="W1079" s="3">
        <v>46038</v>
      </c>
      <c r="X1079" t="inlineStr">
        <is>
          <t>01</t>
        </is>
      </c>
      <c r="Y1079" t="inlineStr">
        <is>
          <t>2026-Q1</t>
        </is>
      </c>
    </row>
    <row r="1080" ht="38.25" customHeight="1">
      <c r="A1080" t="inlineStr">
        <is>
          <t>笔记同款精品护理PPT（选择相应编号，下单秒发货）</t>
        </is>
      </c>
      <c r="B1080" t="inlineStr">
        <is>
          <t>recv8r6runJTil.jpg</t>
        </is>
      </c>
      <c r="C1080" s="2" t="str">
        <f>=HYPERLINK("https://xhslink.com/m/2Fp3REQ8s6q", "https://xhslink.com/m/2Fp3REQ8s6q")</f>
        <v>https://xhslink.com/m/2Fp3REQ8s6q</v>
      </c>
      <c r="D1080"/>
      <c r="E1080">
        <v>381</v>
      </c>
      <c r="F1080">
        <v>9.8</v>
      </c>
      <c r="G1080"/>
      <c r="H1080"/>
      <c r="I1080">
        <v>300</v>
      </c>
      <c r="J1080"/>
      <c r="K1080" t="inlineStr">
        <is>
          <t>年终总结</t>
        </is>
      </c>
      <c r="L1080"/>
      <c r="M1080" t="inlineStr">
        <is>
          <t>医学生桃子🍑的店</t>
        </is>
      </c>
      <c r="N1080">
        <v>150</v>
      </c>
      <c r="O1080">
        <v>4.05</v>
      </c>
      <c r="P1080">
        <v>393</v>
      </c>
      <c r="Q1080" t="inlineStr">
        <is>
          <t>69576cef6fadb700010b6ef3</t>
        </is>
      </c>
      <c r="R1080"/>
      <c r="S1080" t="inlineStr">
        <is>
          <t>PPT模板</t>
        </is>
      </c>
      <c r="T1080" t="inlineStr">
        <is>
          <t>2.54</t>
        </is>
      </c>
      <c r="U1080" s="3">
        <v>46112.78107638889</v>
      </c>
      <c r="V1080" t="inlineStr">
        <is>
          <t>虚拟产品</t>
        </is>
      </c>
      <c r="W1080" s="3">
        <v>46038</v>
      </c>
      <c r="X1080" t="inlineStr">
        <is>
          <t>01</t>
        </is>
      </c>
      <c r="Y1080" t="inlineStr">
        <is>
          <t>2026-Q1</t>
        </is>
      </c>
    </row>
    <row r="1081" ht="38.25" customHeight="1">
      <c r="A1081" t="inlineStr">
        <is>
          <t>【福利课】0.1元新年贺图定制你的专属红包封面</t>
        </is>
      </c>
      <c r="B1081" t="inlineStr">
        <is>
          <t>recv8r6runywQs.jpg</t>
        </is>
      </c>
      <c r="C1081" s="2" t="str">
        <f>=HYPERLINK("https://xhslink.com/m/AWNn9K6bRhm", "https://xhslink.com/m/AWNn9K6bRhm")</f>
        <v>https://xhslink.com/m/AWNn9K6bRhm</v>
      </c>
      <c r="D1081"/>
      <c r="E1081">
        <v>3098</v>
      </c>
      <c r="F1081">
        <v>0.1</v>
      </c>
      <c r="G1081"/>
      <c r="H1081"/>
      <c r="I1081">
        <v>2000</v>
      </c>
      <c r="J1081"/>
      <c r="K1081" t="inlineStr">
        <is>
          <t>红包封面</t>
        </is>
      </c>
      <c r="L1081"/>
      <c r="M1081" t="inlineStr">
        <is>
          <t>莫那CG绘画的店</t>
        </is>
      </c>
      <c r="N1081">
        <v>117000</v>
      </c>
      <c r="O1081">
        <v>4.51</v>
      </c>
      <c r="P1081">
        <v>13000</v>
      </c>
      <c r="Q1081" t="inlineStr">
        <is>
          <t>6948d7044d11d70001cb5882</t>
        </is>
      </c>
      <c r="R1081"/>
      <c r="S1081" t="inlineStr">
        <is>
          <t>设计素材</t>
        </is>
      </c>
      <c r="T1081" t="inlineStr">
        <is>
          <t>0.03</t>
        </is>
      </c>
      <c r="U1081" s="3">
        <v>46112.78107638889</v>
      </c>
      <c r="V1081" t="inlineStr">
        <is>
          <t>虚拟产品</t>
        </is>
      </c>
      <c r="W1081" s="3">
        <v>46038</v>
      </c>
      <c r="X1081" t="inlineStr">
        <is>
          <t>01</t>
        </is>
      </c>
      <c r="Y1081" t="inlineStr">
        <is>
          <t>2026-Q1</t>
        </is>
      </c>
    </row>
    <row r="1082" ht="38.25" customHeight="1">
      <c r="A1082" t="inlineStr">
        <is>
          <t>年会 团建emoji猜猜乐大合集（6套成品PPT）</t>
        </is>
      </c>
      <c r="B1082" t="inlineStr">
        <is>
          <t>recv8r6runS3Tl.jpg</t>
        </is>
      </c>
      <c r="C1082" s="2" t="str">
        <f>=HYPERLINK("https://xhslink.com/m/22gs9geHJrK", "https://xhslink.com/m/22gs9geHJrK")</f>
        <v>https://xhslink.com/m/22gs9geHJrK</v>
      </c>
      <c r="D1082"/>
      <c r="E1082">
        <v>1607</v>
      </c>
      <c r="F1082">
        <v>9.9</v>
      </c>
      <c r="G1082"/>
      <c r="H1082"/>
      <c r="I1082">
        <v>1000</v>
      </c>
      <c r="J1082"/>
      <c r="K1082" t="inlineStr">
        <is>
          <t>年会素材</t>
        </is>
      </c>
      <c r="L1082"/>
      <c r="M1082" t="inlineStr">
        <is>
          <t>美了个美的店</t>
        </is>
      </c>
      <c r="N1082">
        <v>2351</v>
      </c>
      <c r="O1082">
        <v>4.38</v>
      </c>
      <c r="P1082">
        <v>15000</v>
      </c>
      <c r="Q1082" t="inlineStr">
        <is>
          <t>6906d7ee1b78790001cfa6b4</t>
        </is>
      </c>
      <c r="R1082" t="inlineStr">
        <is>
          <t>🚫重复</t>
        </is>
      </c>
      <c r="S1082" t="inlineStr">
        <is>
          <t>PPT模板</t>
        </is>
      </c>
      <c r="T1082" t="inlineStr">
        <is>
          <t>0.68</t>
        </is>
      </c>
      <c r="U1082" s="3">
        <v>46112.78107638889</v>
      </c>
      <c r="V1082" t="inlineStr">
        <is>
          <t>虚拟产品</t>
        </is>
      </c>
      <c r="W1082" s="3">
        <v>46038</v>
      </c>
      <c r="X1082" t="inlineStr">
        <is>
          <t>01</t>
        </is>
      </c>
      <c r="Y1082" t="inlineStr">
        <is>
          <t>2026-Q1</t>
        </is>
      </c>
    </row>
    <row r="1083" ht="38.25" customHeight="1">
      <c r="A1083" t="inlineStr">
        <is>
          <t>【马年】晚会年会搞笑开场快闪PPT模板/emoji猜成语/谐音等游戏</t>
        </is>
      </c>
      <c r="B1083" t="inlineStr">
        <is>
          <t>recv8r6runVVRu.jpg</t>
        </is>
      </c>
      <c r="C1083" s="2" t="str">
        <f>=HYPERLINK("https://xhslink.com/m/9Oj2tblKjbn", "https://xhslink.com/m/9Oj2tblKjbn")</f>
        <v>https://xhslink.com/m/9Oj2tblKjbn</v>
      </c>
      <c r="D1083"/>
      <c r="E1083">
        <v>1552</v>
      </c>
      <c r="F1083">
        <v>6.98</v>
      </c>
      <c r="G1083"/>
      <c r="H1083"/>
      <c r="I1083">
        <v>1000</v>
      </c>
      <c r="J1083"/>
      <c r="K1083" t="inlineStr">
        <is>
          <t>年会素材</t>
        </is>
      </c>
      <c r="L1083"/>
      <c r="M1083" t="inlineStr">
        <is>
          <t>金老师PPT的店</t>
        </is>
      </c>
      <c r="N1083">
        <v>11000</v>
      </c>
      <c r="O1083">
        <v>4.4</v>
      </c>
      <c r="P1083">
        <v>51000</v>
      </c>
      <c r="Q1083" t="inlineStr">
        <is>
          <t>6931648dce3eb5000167b559</t>
        </is>
      </c>
      <c r="R1083" t="inlineStr">
        <is>
          <t>🚫重复</t>
        </is>
      </c>
      <c r="S1083" t="inlineStr">
        <is>
          <t>PPT模板</t>
        </is>
      </c>
      <c r="T1083" t="inlineStr">
        <is>
          <t>0.14</t>
        </is>
      </c>
      <c r="U1083" s="3">
        <v>46112.78107638889</v>
      </c>
      <c r="V1083" t="inlineStr">
        <is>
          <t>虚拟产品</t>
        </is>
      </c>
      <c r="W1083" s="3">
        <v>46038</v>
      </c>
      <c r="X1083" t="inlineStr">
        <is>
          <t>01</t>
        </is>
      </c>
      <c r="Y1083" t="inlineStr">
        <is>
          <t>2026-Q1</t>
        </is>
      </c>
    </row>
    <row r="1084" ht="38.25" customHeight="1">
      <c r="A1084" t="inlineStr">
        <is>
          <t>2026马年会背景音乐主持词领导发言稿讲话游戏节目开场视频ppt</t>
        </is>
      </c>
      <c r="B1084" t="inlineStr">
        <is>
          <t>recv8r6runQoMA.jpg</t>
        </is>
      </c>
      <c r="C1084" s="2" t="str">
        <f>=HYPERLINK("https://xhslink.com/m/7tG6Y6V3x29", "https://xhslink.com/m/7tG6Y6V3x29")</f>
        <v>https://xhslink.com/m/7tG6Y6V3x29</v>
      </c>
      <c r="D1084"/>
      <c r="E1084">
        <v>1469</v>
      </c>
      <c r="F1084">
        <v>2.99</v>
      </c>
      <c r="G1084"/>
      <c r="H1084"/>
      <c r="I1084">
        <v>300</v>
      </c>
      <c r="J1084"/>
      <c r="K1084" t="inlineStr">
        <is>
          <t>年会素材</t>
        </is>
      </c>
      <c r="L1084"/>
      <c r="M1084" t="inlineStr">
        <is>
          <t>小黑天快亮的店</t>
        </is>
      </c>
      <c r="N1084">
        <v>1877</v>
      </c>
      <c r="O1084">
        <v>4.25</v>
      </c>
      <c r="P1084">
        <v>19000</v>
      </c>
      <c r="Q1084" t="inlineStr">
        <is>
          <t>674924c022e24000153dac11</t>
        </is>
      </c>
      <c r="R1084" t="inlineStr">
        <is>
          <t>🚫重复</t>
        </is>
      </c>
      <c r="S1084" t="inlineStr">
        <is>
          <t>PPT模板</t>
        </is>
      </c>
      <c r="T1084" t="inlineStr">
        <is>
          <t>0.78</t>
        </is>
      </c>
      <c r="U1084" s="3">
        <v>46112.78107638889</v>
      </c>
      <c r="V1084" t="inlineStr">
        <is>
          <t>虚拟产品</t>
        </is>
      </c>
      <c r="W1084" s="3">
        <v>46038</v>
      </c>
      <c r="X1084" t="inlineStr">
        <is>
          <t>01</t>
        </is>
      </c>
      <c r="Y1084" t="inlineStr">
        <is>
          <t>2026-Q1</t>
        </is>
      </c>
    </row>
    <row r="1085" ht="38.25" customHeight="1">
      <c r="A1085" t="inlineStr">
        <is>
          <t>2026年马年新春主题班会PPT国潮喜庆PPT模板新年会传统装饰素材</t>
        </is>
      </c>
      <c r="B1085" t="inlineStr">
        <is>
          <t>recv8r6runEq0J.jpg</t>
        </is>
      </c>
      <c r="C1085" s="2" t="str">
        <f>=HYPERLINK("https://xhslink.com/m/2DYmSW5arzX", "https://xhslink.com/m/2DYmSW5arzX")</f>
        <v>https://xhslink.com/m/2DYmSW5arzX</v>
      </c>
      <c r="D1085"/>
      <c r="E1085">
        <v>867</v>
      </c>
      <c r="F1085">
        <v>2.99</v>
      </c>
      <c r="G1085"/>
      <c r="H1085"/>
      <c r="I1085">
        <v>800</v>
      </c>
      <c r="J1085"/>
      <c r="K1085" t="inlineStr">
        <is>
          <t>年会素材</t>
        </is>
      </c>
      <c r="L1085" t="inlineStr">
        <is>
          <t>🔥低粉爆款</t>
        </is>
      </c>
      <c r="M1085" t="inlineStr">
        <is>
          <t>体育中考呀的店</t>
        </is>
      </c>
      <c r="N1085">
        <v>68</v>
      </c>
      <c r="O1085">
        <v>4.38</v>
      </c>
      <c r="P1085">
        <v>1002</v>
      </c>
      <c r="Q1085" t="inlineStr">
        <is>
          <t>694cdfdc1224b70001c67576</t>
        </is>
      </c>
      <c r="R1085"/>
      <c r="S1085" t="inlineStr">
        <is>
          <t>PPT模板</t>
        </is>
      </c>
      <c r="T1085" t="inlineStr">
        <is>
          <t>12.75</t>
        </is>
      </c>
      <c r="U1085" s="3">
        <v>46112.78107638889</v>
      </c>
      <c r="V1085" t="inlineStr">
        <is>
          <t>虚拟产品</t>
        </is>
      </c>
      <c r="W1085" s="3">
        <v>46038</v>
      </c>
      <c r="X1085" t="inlineStr">
        <is>
          <t>01</t>
        </is>
      </c>
      <c r="Y1085" t="inlineStr">
        <is>
          <t>2026-Q1</t>
        </is>
      </c>
    </row>
    <row r="1086" ht="38.25" customHeight="1">
      <c r="A1086" t="inlineStr">
        <is>
          <t>【PPT】谐音梗大挑战PPT100题猜谜团建聚会上课年会无水印网盘版</t>
        </is>
      </c>
      <c r="B1086" t="inlineStr">
        <is>
          <t>recv8r6runtfh0.jpg</t>
        </is>
      </c>
      <c r="C1086" s="2" t="str">
        <f>=HYPERLINK("https://xhslink.com/m/5j9U6t2FjxK", "https://xhslink.com/m/5j9U6t2FjxK")</f>
        <v>https://xhslink.com/m/5j9U6t2FjxK</v>
      </c>
      <c r="D1086"/>
      <c r="E1086">
        <v>705</v>
      </c>
      <c r="F1086">
        <v>12.9</v>
      </c>
      <c r="G1086"/>
      <c r="H1086"/>
      <c r="I1086">
        <v>400</v>
      </c>
      <c r="J1086"/>
      <c r="K1086" t="inlineStr">
        <is>
          <t>年会素材</t>
        </is>
      </c>
      <c r="L1086"/>
      <c r="M1086" t="inlineStr">
        <is>
          <t>画画的思诺的店</t>
        </is>
      </c>
      <c r="N1086">
        <v>59000</v>
      </c>
      <c r="O1086">
        <v>4.03</v>
      </c>
      <c r="P1086">
        <v>928</v>
      </c>
      <c r="Q1086" t="inlineStr">
        <is>
          <t>69447308d96c4500012ef756</t>
        </is>
      </c>
      <c r="R1086" t="inlineStr">
        <is>
          <t>🚫重复</t>
        </is>
      </c>
      <c r="S1086" t="inlineStr">
        <is>
          <t>PPT模板</t>
        </is>
      </c>
      <c r="T1086" t="inlineStr">
        <is>
          <t>0.01</t>
        </is>
      </c>
      <c r="U1086" s="3">
        <v>46112.78107638889</v>
      </c>
      <c r="V1086" t="inlineStr">
        <is>
          <t>虚拟产品</t>
        </is>
      </c>
      <c r="W1086" s="3">
        <v>46038</v>
      </c>
      <c r="X1086" t="inlineStr">
        <is>
          <t>01</t>
        </is>
      </c>
      <c r="Y1086" t="inlineStr">
        <is>
          <t>2026-Q1</t>
        </is>
      </c>
    </row>
    <row r="1087" ht="38.25" customHeight="1">
      <c r="A1087" t="inlineStr">
        <is>
          <t>六一国庆元旦运动会手势舞通用舞蹈素材</t>
        </is>
      </c>
      <c r="B1087" t="inlineStr">
        <is>
          <t>recv8r6runJj7T.jpg</t>
        </is>
      </c>
      <c r="C1087" s="2" t="str">
        <f>=HYPERLINK("https://xhslink.com/m/1nEC0Es2iXU", "https://xhslink.com/m/1nEC0Es2iXU")</f>
        <v>https://xhslink.com/m/1nEC0Es2iXU</v>
      </c>
      <c r="D1087"/>
      <c r="E1087">
        <v>698</v>
      </c>
      <c r="F1087">
        <v>15.9</v>
      </c>
      <c r="G1087"/>
      <c r="H1087"/>
      <c r="I1087">
        <v>500</v>
      </c>
      <c r="J1087"/>
      <c r="K1087" t="inlineStr">
        <is>
          <t>年会素材</t>
        </is>
      </c>
      <c r="L1087"/>
      <c r="M1087" t="inlineStr">
        <is>
          <t>圆梦舞蹈朗诵的店</t>
        </is>
      </c>
      <c r="N1087">
        <v>3166</v>
      </c>
      <c r="O1087">
        <v>4.32</v>
      </c>
      <c r="P1087">
        <v>4406</v>
      </c>
      <c r="Q1087" t="inlineStr">
        <is>
          <t>6963cab981edf700013ccc06</t>
        </is>
      </c>
      <c r="R1087"/>
      <c r="S1087" t="inlineStr">
        <is>
          <t>设计素材</t>
        </is>
      </c>
      <c r="T1087" t="inlineStr">
        <is>
          <t>0.22</t>
        </is>
      </c>
      <c r="U1087" s="3">
        <v>46112.78107638889</v>
      </c>
      <c r="V1087" t="inlineStr">
        <is>
          <t>虚拟产品</t>
        </is>
      </c>
      <c r="W1087" s="3">
        <v>46038</v>
      </c>
      <c r="X1087" t="inlineStr">
        <is>
          <t>01</t>
        </is>
      </c>
      <c r="Y1087" t="inlineStr">
        <is>
          <t>2026-Q1</t>
        </is>
      </c>
    </row>
    <row r="1088" ht="38.25" customHeight="1">
      <c r="A1088" t="inlineStr">
        <is>
          <t>自动发货-2026马年相关相关PPT模板（详情看主页笔记图文）</t>
        </is>
      </c>
      <c r="B1088" t="inlineStr">
        <is>
          <t>recv8r6runwBTE.jpg</t>
        </is>
      </c>
      <c r="C1088" s="2" t="str">
        <f>=HYPERLINK("https://xhslink.com/m/5a0y1fK6qGB", "https://xhslink.com/m/5a0y1fK6qGB")</f>
        <v>https://xhslink.com/m/5a0y1fK6qGB</v>
      </c>
      <c r="D1088"/>
      <c r="E1088">
        <v>626</v>
      </c>
      <c r="F1088">
        <v>6.68</v>
      </c>
      <c r="G1088"/>
      <c r="H1088"/>
      <c r="I1088">
        <v>600</v>
      </c>
      <c r="J1088"/>
      <c r="K1088" t="inlineStr">
        <is>
          <t>年会素材</t>
        </is>
      </c>
      <c r="L1088"/>
      <c r="M1088" t="inlineStr">
        <is>
          <t>糖宝ppt的店</t>
        </is>
      </c>
      <c r="N1088">
        <v>840</v>
      </c>
      <c r="O1088">
        <v>4.25</v>
      </c>
      <c r="P1088">
        <v>3511</v>
      </c>
      <c r="Q1088" t="inlineStr">
        <is>
          <t>692bda55eb0d800001d5e622</t>
        </is>
      </c>
      <c r="R1088" t="inlineStr">
        <is>
          <t>🚫重复</t>
        </is>
      </c>
      <c r="S1088" t="inlineStr">
        <is>
          <t>PPT模板</t>
        </is>
      </c>
      <c r="T1088" t="inlineStr">
        <is>
          <t>0.75</t>
        </is>
      </c>
      <c r="U1088" s="3">
        <v>46112.78107638889</v>
      </c>
      <c r="V1088" t="inlineStr">
        <is>
          <t>虚拟产品</t>
        </is>
      </c>
      <c r="W1088" s="3">
        <v>46038</v>
      </c>
      <c r="X1088" t="inlineStr">
        <is>
          <t>01</t>
        </is>
      </c>
      <c r="Y1088" t="inlineStr">
        <is>
          <t>2026-Q1</t>
        </is>
      </c>
    </row>
    <row r="1089" ht="38.25" customHeight="1">
      <c r="A1089" t="inlineStr">
        <is>
          <t>骐骥驰骋2026马年元旦联欢游戏元旦班会年会PPTby修</t>
        </is>
      </c>
      <c r="B1089" t="inlineStr">
        <is>
          <t>recv8r6runEfjO.jpg</t>
        </is>
      </c>
      <c r="C1089" s="2" t="str">
        <f>=HYPERLINK("https://xhslink.com/m/9RwSsfEM29E", "https://xhslink.com/m/9RwSsfEM29E")</f>
        <v>https://xhslink.com/m/9RwSsfEM29E</v>
      </c>
      <c r="D1089"/>
      <c r="E1089">
        <v>465</v>
      </c>
      <c r="F1089">
        <v>8.8</v>
      </c>
      <c r="G1089"/>
      <c r="H1089"/>
      <c r="I1089">
        <v>400</v>
      </c>
      <c r="J1089"/>
      <c r="K1089" t="inlineStr">
        <is>
          <t>年会素材</t>
        </is>
      </c>
      <c r="L1089"/>
      <c r="M1089" t="inlineStr">
        <is>
          <t>修张原创PPT的店</t>
        </is>
      </c>
      <c r="N1089">
        <v>18000</v>
      </c>
      <c r="O1089">
        <v>4.26</v>
      </c>
      <c r="P1089">
        <v>26000</v>
      </c>
      <c r="Q1089" t="inlineStr">
        <is>
          <t>694cae46b1e6660001aaefe0</t>
        </is>
      </c>
      <c r="R1089" t="inlineStr">
        <is>
          <t>🚫重复</t>
        </is>
      </c>
      <c r="S1089" t="inlineStr">
        <is>
          <t>PPT模板</t>
        </is>
      </c>
      <c r="T1089" t="inlineStr">
        <is>
          <t>0.03</t>
        </is>
      </c>
      <c r="U1089" s="3">
        <v>46112.78107638889</v>
      </c>
      <c r="V1089" t="inlineStr">
        <is>
          <t>虚拟产品</t>
        </is>
      </c>
      <c r="W1089" s="3">
        <v>46038</v>
      </c>
      <c r="X1089" t="inlineStr">
        <is>
          <t>01</t>
        </is>
      </c>
      <c r="Y1089" t="inlineStr">
        <is>
          <t>2026-Q1</t>
        </is>
      </c>
    </row>
    <row r="1090" ht="38.25" customHeight="1">
      <c r="A1090" t="inlineStr">
        <is>
          <t>游戏PPT - 马年年会小游戏·合集·第2版（NO.035）</t>
        </is>
      </c>
      <c r="B1090" t="inlineStr">
        <is>
          <t>recv8r6runmAak.jpg</t>
        </is>
      </c>
      <c r="C1090" s="2" t="str">
        <f>=HYPERLINK("https://xhslink.com/m/1RDAv2rMB2t", "https://xhslink.com/m/1RDAv2rMB2t")</f>
        <v>https://xhslink.com/m/1RDAv2rMB2t</v>
      </c>
      <c r="D1090"/>
      <c r="E1090">
        <v>394</v>
      </c>
      <c r="F1090">
        <v>6.8</v>
      </c>
      <c r="G1090"/>
      <c r="H1090"/>
      <c r="I1090">
        <v>300</v>
      </c>
      <c r="J1090"/>
      <c r="K1090" t="inlineStr">
        <is>
          <t>年会素材</t>
        </is>
      </c>
      <c r="L1090"/>
      <c r="M1090" t="inlineStr">
        <is>
          <t>玉米PPT的店</t>
        </is>
      </c>
      <c r="N1090">
        <v>2910</v>
      </c>
      <c r="O1090">
        <v>4.36</v>
      </c>
      <c r="P1090">
        <v>26000</v>
      </c>
      <c r="Q1090" t="inlineStr">
        <is>
          <t>692bd4da3dc53600016c8770</t>
        </is>
      </c>
      <c r="R1090" t="inlineStr">
        <is>
          <t>🚫重复</t>
        </is>
      </c>
      <c r="S1090" t="inlineStr">
        <is>
          <t>PPT模板</t>
        </is>
      </c>
      <c r="T1090" t="inlineStr">
        <is>
          <t>0.14</t>
        </is>
      </c>
      <c r="U1090" s="3">
        <v>46112.78107638889</v>
      </c>
      <c r="V1090" t="inlineStr">
        <is>
          <t>虚拟产品</t>
        </is>
      </c>
      <c r="W1090" s="3">
        <v>46038</v>
      </c>
      <c r="X1090" t="inlineStr">
        <is>
          <t>01</t>
        </is>
      </c>
      <c r="Y1090" t="inlineStr">
        <is>
          <t>2026-Q1</t>
        </is>
      </c>
    </row>
    <row r="1091" ht="38.25" customHeight="1">
      <c r="A1091" t="inlineStr">
        <is>
          <t>开芽 · 2026马年儿童拓印画元旦diy手工新年福字图案材料包镂空工具模板</t>
        </is>
      </c>
      <c r="B1091" t="inlineStr">
        <is>
          <t>recv8r6runufWf.jpg</t>
        </is>
      </c>
      <c r="C1091" s="2" t="str">
        <f>=HYPERLINK("https://xhslink.com/m/6XmRpWIVglJ", "https://xhslink.com/m/6XmRpWIVglJ")</f>
        <v>https://xhslink.com/m/6XmRpWIVglJ</v>
      </c>
      <c r="D1091"/>
      <c r="E1091">
        <v>1815</v>
      </c>
      <c r="F1091">
        <v>12.8</v>
      </c>
      <c r="G1091"/>
      <c r="H1091"/>
      <c r="I1091">
        <v>1000</v>
      </c>
      <c r="J1091"/>
      <c r="K1091" t="inlineStr">
        <is>
          <t>马年新年素材</t>
        </is>
      </c>
      <c r="L1091"/>
      <c r="M1091" t="inlineStr">
        <is>
          <t>开芽手工旗舰店</t>
        </is>
      </c>
      <c r="N1091">
        <v>1320</v>
      </c>
      <c r="O1091">
        <v>4.61</v>
      </c>
      <c r="P1091">
        <v>6973</v>
      </c>
      <c r="Q1091" t="inlineStr">
        <is>
          <t>692ac83d2cf0ca000112f560</t>
        </is>
      </c>
      <c r="R1091" t="inlineStr">
        <is>
          <t>🚫重复</t>
        </is>
      </c>
      <c r="S1091" t="inlineStr">
        <is>
          <t>中小学教辅/教材</t>
        </is>
      </c>
      <c r="T1091" t="inlineStr">
        <is>
          <t>1.38</t>
        </is>
      </c>
      <c r="U1091" s="3">
        <v>46112.78107638889</v>
      </c>
      <c r="V1091" t="inlineStr">
        <is>
          <t>虚拟产品</t>
        </is>
      </c>
      <c r="W1091" s="3">
        <v>46038</v>
      </c>
      <c r="X1091" t="inlineStr">
        <is>
          <t>01</t>
        </is>
      </c>
      <c r="Y1091" t="inlineStr">
        <is>
          <t>2026-Q1</t>
        </is>
      </c>
    </row>
    <row r="1092" ht="38.25" customHeight="1">
      <c r="A1092" t="inlineStr">
        <is>
          <t>26年新年环创电子版素材（发百度网盘链接或邮箱）</t>
        </is>
      </c>
      <c r="B1092" t="inlineStr">
        <is>
          <t>recv8r6runsxZv.jpg</t>
        </is>
      </c>
      <c r="C1092" s="2" t="str">
        <f>=HYPERLINK("https://xhslink.com/m/6PH5N2E8RrG", "https://xhslink.com/m/6PH5N2E8RrG")</f>
        <v>https://xhslink.com/m/6PH5N2E8RrG</v>
      </c>
      <c r="D1092"/>
      <c r="E1092">
        <v>1630</v>
      </c>
      <c r="F1092">
        <v>6</v>
      </c>
      <c r="G1092"/>
      <c r="H1092"/>
      <c r="I1092">
        <v>1000</v>
      </c>
      <c r="J1092"/>
      <c r="K1092" t="inlineStr">
        <is>
          <t>马年新年素材</t>
        </is>
      </c>
      <c r="L1092"/>
      <c r="M1092" t="inlineStr">
        <is>
          <t>小小环创的店</t>
        </is>
      </c>
      <c r="N1092">
        <v>2795</v>
      </c>
      <c r="O1092">
        <v>4.33</v>
      </c>
      <c r="P1092">
        <v>9933</v>
      </c>
      <c r="Q1092" t="inlineStr">
        <is>
          <t>692fff88d4336a0001569e55</t>
        </is>
      </c>
      <c r="R1092"/>
      <c r="S1092" t="inlineStr">
        <is>
          <t>设计素材</t>
        </is>
      </c>
      <c r="T1092" t="inlineStr">
        <is>
          <t>0.58</t>
        </is>
      </c>
      <c r="U1092" s="3">
        <v>46112.78107638889</v>
      </c>
      <c r="V1092" t="inlineStr">
        <is>
          <t>虚拟产品</t>
        </is>
      </c>
      <c r="W1092" s="3">
        <v>46038</v>
      </c>
      <c r="X1092" t="inlineStr">
        <is>
          <t>01</t>
        </is>
      </c>
      <c r="Y1092" t="inlineStr">
        <is>
          <t>2026-Q1</t>
        </is>
      </c>
    </row>
    <row r="1093" ht="38.25" customHeight="1">
      <c r="A1093" t="inlineStr">
        <is>
          <t>2026马年展板 幼儿园简单环创</t>
        </is>
      </c>
      <c r="B1093" t="inlineStr">
        <is>
          <t>recv8r6runHO9B.jpg</t>
        </is>
      </c>
      <c r="C1093" s="2" t="str">
        <f>=HYPERLINK("https://xhslink.com/m/5V9cbbYr7ED", "https://xhslink.com/m/5V9cbbYr7ED")</f>
        <v>https://xhslink.com/m/5V9cbbYr7ED</v>
      </c>
      <c r="D1093"/>
      <c r="E1093">
        <v>517</v>
      </c>
      <c r="F1093">
        <v>6.99</v>
      </c>
      <c r="G1093"/>
      <c r="H1093"/>
      <c r="I1093">
        <v>400</v>
      </c>
      <c r="J1093"/>
      <c r="K1093" t="inlineStr">
        <is>
          <t>马年新年素材</t>
        </is>
      </c>
      <c r="L1093"/>
      <c r="M1093" t="inlineStr">
        <is>
          <t>宝藏资料库NO1的店</t>
        </is>
      </c>
      <c r="N1093">
        <v>1702</v>
      </c>
      <c r="O1093">
        <v>4.18</v>
      </c>
      <c r="P1093">
        <v>1006</v>
      </c>
      <c r="Q1093" t="inlineStr">
        <is>
          <t>693a649e266b9500011a8110</t>
        </is>
      </c>
      <c r="R1093"/>
      <c r="S1093" t="inlineStr">
        <is>
          <t>幼教资料</t>
        </is>
      </c>
      <c r="T1093" t="inlineStr">
        <is>
          <t>0.30</t>
        </is>
      </c>
      <c r="U1093" s="3">
        <v>46112.78107638889</v>
      </c>
      <c r="V1093" t="inlineStr">
        <is>
          <t>虚拟产品</t>
        </is>
      </c>
      <c r="W1093" s="3">
        <v>46038</v>
      </c>
      <c r="X1093" t="inlineStr">
        <is>
          <t>01</t>
        </is>
      </c>
      <c r="Y1093" t="inlineStr">
        <is>
          <t>2026-Q1</t>
        </is>
      </c>
    </row>
    <row r="1094" ht="38.25" customHeight="1">
      <c r="A1094" t="inlineStr">
        <is>
          <t>马年新年幼儿园抠图小人素材|高清免抠|共50个新年元素|网盘秒发</t>
        </is>
      </c>
      <c r="B1094" t="inlineStr">
        <is>
          <t>recv8r6runch2o.jpg</t>
        </is>
      </c>
      <c r="C1094" s="2" t="str">
        <f>=HYPERLINK("https://xhslink.com/m/4LgLwyXqg0t", "https://xhslink.com/m/4LgLwyXqg0t")</f>
        <v>https://xhslink.com/m/4LgLwyXqg0t</v>
      </c>
      <c r="D1094"/>
      <c r="E1094">
        <v>377</v>
      </c>
      <c r="F1094">
        <v>9.9</v>
      </c>
      <c r="G1094"/>
      <c r="H1094"/>
      <c r="I1094">
        <v>300</v>
      </c>
      <c r="J1094"/>
      <c r="K1094" t="inlineStr">
        <is>
          <t>马年新年素材</t>
        </is>
      </c>
      <c r="L1094"/>
      <c r="M1094" t="inlineStr">
        <is>
          <t>六六｜幼教大厂运营的店</t>
        </is>
      </c>
      <c r="N1094">
        <v>466</v>
      </c>
      <c r="O1094">
        <v>4.15</v>
      </c>
      <c r="P1094">
        <v>515</v>
      </c>
      <c r="Q1094" t="inlineStr">
        <is>
          <t>69364dc57a38a600017319d5</t>
        </is>
      </c>
      <c r="R1094"/>
      <c r="S1094" t="inlineStr">
        <is>
          <t>幼教资料</t>
        </is>
      </c>
      <c r="T1094" t="inlineStr">
        <is>
          <t>0.81</t>
        </is>
      </c>
      <c r="U1094" s="3">
        <v>46112.78107638889</v>
      </c>
      <c r="V1094" t="inlineStr">
        <is>
          <t>虚拟产品</t>
        </is>
      </c>
      <c r="W1094" s="3">
        <v>46038</v>
      </c>
      <c r="X1094" t="inlineStr">
        <is>
          <t>01</t>
        </is>
      </c>
      <c r="Y1094" t="inlineStr">
        <is>
          <t>2026-Q1</t>
        </is>
      </c>
    </row>
    <row r="1095" ht="38.25" customHeight="1">
      <c r="A1095" t="inlineStr">
        <is>
          <t>2026马年会背景音乐主持词领导发言稿讲话游戏节目开场视频ppt</t>
        </is>
      </c>
      <c r="B1095" t="inlineStr">
        <is>
          <t>recv8r6runu5ck.jpg</t>
        </is>
      </c>
      <c r="C1095" s="2" t="str">
        <f>=HYPERLINK("https://xhslink.com/m/SJp64OzEpa", "https://xhslink.com/m/SJp64OzEpa")</f>
        <v>https://xhslink.com/m/SJp64OzEpa</v>
      </c>
      <c r="D1095"/>
      <c r="E1095">
        <v>1469</v>
      </c>
      <c r="F1095">
        <v>2.99</v>
      </c>
      <c r="G1095"/>
      <c r="H1095"/>
      <c r="I1095">
        <v>300</v>
      </c>
      <c r="J1095"/>
      <c r="K1095" t="inlineStr">
        <is>
          <t>马年年会策划PPT</t>
        </is>
      </c>
      <c r="L1095"/>
      <c r="M1095" t="inlineStr">
        <is>
          <t>小黑天快亮的店</t>
        </is>
      </c>
      <c r="N1095">
        <v>1877</v>
      </c>
      <c r="O1095">
        <v>4.25</v>
      </c>
      <c r="P1095">
        <v>19000</v>
      </c>
      <c r="Q1095" t="inlineStr">
        <is>
          <t>690d4847a113c80001a1af10</t>
        </is>
      </c>
      <c r="R1095" t="inlineStr">
        <is>
          <t>🚫重复</t>
        </is>
      </c>
      <c r="S1095" t="inlineStr">
        <is>
          <t>PPT模板</t>
        </is>
      </c>
      <c r="T1095" t="inlineStr">
        <is>
          <t>0.78</t>
        </is>
      </c>
      <c r="U1095" s="3">
        <v>46112.78107638889</v>
      </c>
      <c r="V1095" t="inlineStr">
        <is>
          <t>虚拟产品</t>
        </is>
      </c>
      <c r="W1095" s="3">
        <v>46038</v>
      </c>
      <c r="X1095" t="inlineStr">
        <is>
          <t>01</t>
        </is>
      </c>
      <c r="Y1095" t="inlineStr">
        <is>
          <t>2026-Q1</t>
        </is>
      </c>
    </row>
    <row r="1096" ht="38.25" customHeight="1">
      <c r="A1096" t="inlineStr">
        <is>
          <t>25年12月大学英语四六级CET46高频1000单词写作模板PDF电子版</t>
        </is>
      </c>
      <c r="B1096" t="inlineStr">
        <is>
          <t>recv8x8Rj149h8.jpg</t>
        </is>
      </c>
      <c r="C1096" s="2" t="str">
        <f>=HYPERLINK("https://xhslink.com/m/uMahRDXjo9", "https://xhslink.com/m/uMahRDXjo9")</f>
        <v>https://xhslink.com/m/uMahRDXjo9</v>
      </c>
      <c r="D1096"/>
      <c r="E1096">
        <v>2465</v>
      </c>
      <c r="F1096">
        <v>0.99</v>
      </c>
      <c r="G1096"/>
      <c r="H1096"/>
      <c r="I1096">
        <v>2000</v>
      </c>
      <c r="J1096"/>
      <c r="K1096" t="inlineStr">
        <is>
          <t>四六级高频词汇速记手册</t>
        </is>
      </c>
      <c r="L1096" t="inlineStr">
        <is>
          <t>🔥低粉爆款</t>
        </is>
      </c>
      <c r="M1096" t="inlineStr">
        <is>
          <t>星蝶学姐的店</t>
        </is>
      </c>
      <c r="N1096">
        <v>221</v>
      </c>
      <c r="O1096">
        <v>4.22</v>
      </c>
      <c r="P1096">
        <v>4422</v>
      </c>
      <c r="Q1096" t="inlineStr">
        <is>
          <t>691c1f0b14b5260001b4a454</t>
        </is>
      </c>
      <c r="R1096" t="inlineStr">
        <is>
          <t>🚫重复</t>
        </is>
      </c>
      <c r="S1096" t="inlineStr">
        <is>
          <t>英语资料</t>
        </is>
      </c>
      <c r="T1096" t="inlineStr">
        <is>
          <t>11.15</t>
        </is>
      </c>
      <c r="U1096" s="3">
        <v>46112.78107638889</v>
      </c>
      <c r="V1096" t="inlineStr">
        <is>
          <t>虚拟产品</t>
        </is>
      </c>
      <c r="W1096" s="3">
        <v>46039</v>
      </c>
      <c r="X1096" t="inlineStr">
        <is>
          <t>01</t>
        </is>
      </c>
      <c r="Y1096" t="inlineStr">
        <is>
          <t>2026-Q1</t>
        </is>
      </c>
    </row>
    <row r="1097" ht="38.25" customHeight="1">
      <c r="A1097" t="inlineStr">
        <is>
          <t>卓越课程•优质•精美•教学ppt</t>
        </is>
      </c>
      <c r="B1097" t="inlineStr">
        <is>
          <t>recv8x8Rj1Ou8O.jpg</t>
        </is>
      </c>
      <c r="C1097" s="2" t="str">
        <f>=HYPERLINK("https://xhslink.com/m/5C7z4jEfQ0I", "https://xhslink.com/m/5C7z4jEfQ0I")</f>
        <v>https://xhslink.com/m/5C7z4jEfQ0I</v>
      </c>
      <c r="D1097"/>
      <c r="E1097">
        <v>6378</v>
      </c>
      <c r="F1097">
        <v>119.99</v>
      </c>
      <c r="G1097"/>
      <c r="H1097"/>
      <c r="I1097">
        <v>2000</v>
      </c>
      <c r="J1097"/>
      <c r="K1097" t="inlineStr">
        <is>
          <t>PPT模板</t>
        </is>
      </c>
      <c r="L1097"/>
      <c r="M1097" t="inlineStr">
        <is>
          <t>万能口袋的的店</t>
        </is>
      </c>
      <c r="N1097">
        <v>2715</v>
      </c>
      <c r="O1097">
        <v>4.44</v>
      </c>
      <c r="P1097">
        <v>11000</v>
      </c>
      <c r="Q1097" t="inlineStr">
        <is>
          <t>688c10010e13d500013a86c0</t>
        </is>
      </c>
      <c r="R1097" t="inlineStr">
        <is>
          <t>🚫重复</t>
        </is>
      </c>
      <c r="S1097" t="inlineStr">
        <is>
          <t>PPT模板</t>
        </is>
      </c>
      <c r="T1097" t="inlineStr">
        <is>
          <t>2.35</t>
        </is>
      </c>
      <c r="U1097" s="3">
        <v>46112.78107638889</v>
      </c>
      <c r="V1097" t="inlineStr">
        <is>
          <t>虚拟产品</t>
        </is>
      </c>
      <c r="W1097" s="3">
        <v>46039</v>
      </c>
      <c r="X1097" t="inlineStr">
        <is>
          <t>01</t>
        </is>
      </c>
      <c r="Y1097" t="inlineStr">
        <is>
          <t>2026-Q1</t>
        </is>
      </c>
    </row>
    <row r="1098" ht="38.25" customHeight="1">
      <c r="A1098" t="inlineStr">
        <is>
          <t>大学生研究生国家奖学金十佳三好学生PPT模板</t>
        </is>
      </c>
      <c r="B1098" t="inlineStr">
        <is>
          <t>recv8x8Rj1SEYw.jpg</t>
        </is>
      </c>
      <c r="C1098" s="2" t="str">
        <f>=HYPERLINK("https://xhslink.com/m/5RCoAzkWt43", "https://xhslink.com/m/5RCoAzkWt43")</f>
        <v>https://xhslink.com/m/5RCoAzkWt43</v>
      </c>
      <c r="D1098"/>
      <c r="E1098">
        <v>3913</v>
      </c>
      <c r="F1098">
        <v>1.88</v>
      </c>
      <c r="G1098"/>
      <c r="H1098"/>
      <c r="I1098">
        <v>500</v>
      </c>
      <c r="J1098"/>
      <c r="K1098" t="inlineStr">
        <is>
          <t>PPT模板</t>
        </is>
      </c>
      <c r="L1098"/>
      <c r="M1098" t="inlineStr">
        <is>
          <t>赵小小的店</t>
        </is>
      </c>
      <c r="N1098">
        <v>4362</v>
      </c>
      <c r="O1098">
        <v>4.35</v>
      </c>
      <c r="P1098">
        <v>50000</v>
      </c>
      <c r="Q1098" t="inlineStr">
        <is>
          <t>67ef03d8e8f2430001e0be3f</t>
        </is>
      </c>
      <c r="R1098" t="inlineStr">
        <is>
          <t>🚫重复</t>
        </is>
      </c>
      <c r="S1098" t="inlineStr">
        <is>
          <t>PPT模板</t>
        </is>
      </c>
      <c r="T1098" t="inlineStr">
        <is>
          <t>0.90</t>
        </is>
      </c>
      <c r="U1098" s="3">
        <v>46112.78107638889</v>
      </c>
      <c r="V1098" t="inlineStr">
        <is>
          <t>虚拟产品</t>
        </is>
      </c>
      <c r="W1098" s="3">
        <v>46039</v>
      </c>
      <c r="X1098" t="inlineStr">
        <is>
          <t>01</t>
        </is>
      </c>
      <c r="Y1098" t="inlineStr">
        <is>
          <t>2026-Q1</t>
        </is>
      </c>
    </row>
    <row r="1099" ht="38.25" customHeight="1">
      <c r="A1099" t="inlineStr">
        <is>
          <t>国家/校长奖学金答辩PPT模板 | 一键换色&amp;一键换校徽&amp;高级排版</t>
        </is>
      </c>
      <c r="B1099" t="inlineStr">
        <is>
          <t>recv8x8Rj1t5pV.jpg</t>
        </is>
      </c>
      <c r="C1099" s="2" t="str">
        <f>=HYPERLINK("https://xhslink.com/m/9axBJvCKzLh", "https://xhslink.com/m/9axBJvCKzLh")</f>
        <v>https://xhslink.com/m/9axBJvCKzLh</v>
      </c>
      <c r="D1099"/>
      <c r="E1099">
        <v>3107</v>
      </c>
      <c r="F1099">
        <v>9.9</v>
      </c>
      <c r="G1099"/>
      <c r="H1099"/>
      <c r="I1099">
        <v>1000</v>
      </c>
      <c r="J1099"/>
      <c r="K1099" t="inlineStr">
        <is>
          <t>PPT模板</t>
        </is>
      </c>
      <c r="L1099"/>
      <c r="M1099" t="inlineStr">
        <is>
          <t>校园PPT研究室的店</t>
        </is>
      </c>
      <c r="N1099">
        <v>5294</v>
      </c>
      <c r="O1099">
        <v>4.26</v>
      </c>
      <c r="P1099">
        <v>18000</v>
      </c>
      <c r="Q1099" t="inlineStr">
        <is>
          <t>68e53a0a002e7e00010e37ca</t>
        </is>
      </c>
      <c r="R1099" t="inlineStr">
        <is>
          <t>🚫重复</t>
        </is>
      </c>
      <c r="S1099" t="inlineStr">
        <is>
          <t>PPT模板</t>
        </is>
      </c>
      <c r="T1099" t="inlineStr">
        <is>
          <t>0.59</t>
        </is>
      </c>
      <c r="U1099" s="3">
        <v>46112.78107638889</v>
      </c>
      <c r="V1099" t="inlineStr">
        <is>
          <t>虚拟产品</t>
        </is>
      </c>
      <c r="W1099" s="3">
        <v>46039</v>
      </c>
      <c r="X1099" t="inlineStr">
        <is>
          <t>01</t>
        </is>
      </c>
      <c r="Y1099" t="inlineStr">
        <is>
          <t>2026-Q1</t>
        </is>
      </c>
    </row>
    <row r="1100" ht="38.25" customHeight="1">
      <c r="A1100" t="inlineStr">
        <is>
          <t>新款早读任务PPT模板早读任务打卡日日清（拍下秒发）</t>
        </is>
      </c>
      <c r="B1100" t="inlineStr">
        <is>
          <t>recv8x8Rj1755T.jpg</t>
        </is>
      </c>
      <c r="C1100" s="2" t="str">
        <f>=HYPERLINK("https://xhslink.com/m/5sJeJyXkJSY", "https://xhslink.com/m/5sJeJyXkJSY")</f>
        <v>https://xhslink.com/m/5sJeJyXkJSY</v>
      </c>
      <c r="D1100"/>
      <c r="E1100">
        <v>2465</v>
      </c>
      <c r="F1100">
        <v>5.8</v>
      </c>
      <c r="G1100"/>
      <c r="H1100"/>
      <c r="I1100">
        <v>1000</v>
      </c>
      <c r="J1100"/>
      <c r="K1100" t="inlineStr">
        <is>
          <t>PPT模板</t>
        </is>
      </c>
      <c r="L1100"/>
      <c r="M1100" t="inlineStr">
        <is>
          <t>准时关机老师的店</t>
        </is>
      </c>
      <c r="N1100">
        <v>2475</v>
      </c>
      <c r="O1100">
        <v>4.18</v>
      </c>
      <c r="P1100">
        <v>9935</v>
      </c>
      <c r="Q1100" t="inlineStr">
        <is>
          <t>68f453d5c67e470001194ae9</t>
        </is>
      </c>
      <c r="R1100" t="inlineStr">
        <is>
          <t>🚫重复</t>
        </is>
      </c>
      <c r="S1100" t="inlineStr">
        <is>
          <t>PPT模板</t>
        </is>
      </c>
      <c r="T1100" t="inlineStr">
        <is>
          <t>1.00</t>
        </is>
      </c>
      <c r="U1100" s="3">
        <v>46112.78107638889</v>
      </c>
      <c r="V1100" t="inlineStr">
        <is>
          <t>虚拟产品</t>
        </is>
      </c>
      <c r="W1100" s="3">
        <v>46039</v>
      </c>
      <c r="X1100" t="inlineStr">
        <is>
          <t>01</t>
        </is>
      </c>
      <c r="Y1100" t="inlineStr">
        <is>
          <t>2026-Q1</t>
        </is>
      </c>
    </row>
    <row r="1101" ht="38.25" customHeight="1">
      <c r="A1101" t="inlineStr">
        <is>
          <t>04大学生研究生国家奖学金省三好学生省优秀干部十佳汇报PPT模板</t>
        </is>
      </c>
      <c r="B1101" t="inlineStr">
        <is>
          <t>recv8x8Rj1BwkS.jpg</t>
        </is>
      </c>
      <c r="C1101" s="2" t="str">
        <f>=HYPERLINK("https://xhslink.com/m/AiQsIu2Dfh3", "https://xhslink.com/m/AiQsIu2Dfh3")</f>
        <v>https://xhslink.com/m/AiQsIu2Dfh3</v>
      </c>
      <c r="D1101"/>
      <c r="E1101">
        <v>2335</v>
      </c>
      <c r="F1101">
        <v>1.88</v>
      </c>
      <c r="G1101"/>
      <c r="H1101"/>
      <c r="I1101">
        <v>400</v>
      </c>
      <c r="J1101"/>
      <c r="K1101" t="inlineStr">
        <is>
          <t>PPT模板</t>
        </is>
      </c>
      <c r="L1101"/>
      <c r="M1101" t="inlineStr">
        <is>
          <t>赵小小的店</t>
        </is>
      </c>
      <c r="N1101">
        <v>4362</v>
      </c>
      <c r="O1101">
        <v>4.35</v>
      </c>
      <c r="P1101">
        <v>50000</v>
      </c>
      <c r="Q1101" t="inlineStr">
        <is>
          <t>67faec1dec1374000142b65b</t>
        </is>
      </c>
      <c r="R1101" t="inlineStr">
        <is>
          <t>🚫重复</t>
        </is>
      </c>
      <c r="S1101" t="inlineStr">
        <is>
          <t>PPT模板</t>
        </is>
      </c>
      <c r="T1101" t="inlineStr">
        <is>
          <t>0.54</t>
        </is>
      </c>
      <c r="U1101" s="3">
        <v>46112.78107638889</v>
      </c>
      <c r="V1101" t="inlineStr">
        <is>
          <t>虚拟产品</t>
        </is>
      </c>
      <c r="W1101" s="3">
        <v>46039</v>
      </c>
      <c r="X1101" t="inlineStr">
        <is>
          <t>01</t>
        </is>
      </c>
      <c r="Y1101" t="inlineStr">
        <is>
          <t>2026-Q1</t>
        </is>
      </c>
    </row>
    <row r="1102" ht="38.25" customHeight="1">
      <c r="A1102" t="inlineStr">
        <is>
          <t>自动秒发货！高级感PPT模板电子版3（版式看主页笔记，已勾选）</t>
        </is>
      </c>
      <c r="B1102" t="inlineStr">
        <is>
          <t>recv8x8Rj1Vm3O.jpg</t>
        </is>
      </c>
      <c r="C1102" s="2" t="str">
        <f>=HYPERLINK("https://xhslink.com/m/1AipEK8IrZO", "https://xhslink.com/m/1AipEK8IrZO")</f>
        <v>https://xhslink.com/m/1AipEK8IrZO</v>
      </c>
      <c r="D1102"/>
      <c r="E1102">
        <v>2152</v>
      </c>
      <c r="F1102">
        <v>4.99</v>
      </c>
      <c r="G1102"/>
      <c r="H1102"/>
      <c r="I1102">
        <v>1000</v>
      </c>
      <c r="J1102"/>
      <c r="K1102" t="inlineStr">
        <is>
          <t>PPT模板</t>
        </is>
      </c>
      <c r="L1102"/>
      <c r="M1102" t="inlineStr">
        <is>
          <t>小纸盒PPT的店</t>
        </is>
      </c>
      <c r="N1102">
        <v>11000</v>
      </c>
      <c r="O1102">
        <v>4.04</v>
      </c>
      <c r="P1102">
        <v>47000</v>
      </c>
      <c r="Q1102" t="inlineStr">
        <is>
          <t>683c294af9ad0500012dce79</t>
        </is>
      </c>
      <c r="R1102" t="inlineStr">
        <is>
          <t>🚫重复</t>
        </is>
      </c>
      <c r="S1102" t="inlineStr">
        <is>
          <t>PPT模板</t>
        </is>
      </c>
      <c r="T1102" t="inlineStr">
        <is>
          <t>0.20</t>
        </is>
      </c>
      <c r="U1102" s="3">
        <v>46112.78107638889</v>
      </c>
      <c r="V1102" t="inlineStr">
        <is>
          <t>虚拟产品</t>
        </is>
      </c>
      <c r="W1102" s="3">
        <v>46039</v>
      </c>
      <c r="X1102" t="inlineStr">
        <is>
          <t>01</t>
        </is>
      </c>
      <c r="Y1102" t="inlineStr">
        <is>
          <t>2026-Q1</t>
        </is>
      </c>
    </row>
    <row r="1103" ht="38.25" customHeight="1">
      <c r="A1103" t="inlineStr">
        <is>
          <t>各大高校答辩ppt模版（四个颜色都发）</t>
        </is>
      </c>
      <c r="B1103" t="inlineStr">
        <is>
          <t>recv8x8Rj1GWrY.jpg</t>
        </is>
      </c>
      <c r="C1103" s="2" t="str">
        <f>=HYPERLINK("https://xhslink.com/m/91bRBcJdHHj", "https://xhslink.com/m/91bRBcJdHHj")</f>
        <v>https://xhslink.com/m/91bRBcJdHHj</v>
      </c>
      <c r="D1103"/>
      <c r="E1103">
        <v>861</v>
      </c>
      <c r="F1103">
        <v>5.99</v>
      </c>
      <c r="G1103"/>
      <c r="H1103"/>
      <c r="I1103">
        <v>800</v>
      </c>
      <c r="J1103"/>
      <c r="K1103" t="inlineStr">
        <is>
          <t>PPT模板</t>
        </is>
      </c>
      <c r="L1103" t="inlineStr">
        <is>
          <t>🔥低粉爆款</t>
        </is>
      </c>
      <c r="M1103" t="inlineStr">
        <is>
          <t>钟十二PPT的店</t>
        </is>
      </c>
      <c r="N1103">
        <v>79</v>
      </c>
      <c r="O1103">
        <v>4.06</v>
      </c>
      <c r="P1103">
        <v>884</v>
      </c>
      <c r="Q1103" t="inlineStr">
        <is>
          <t>694168234423c30001468720</t>
        </is>
      </c>
      <c r="R1103"/>
      <c r="S1103" t="inlineStr">
        <is>
          <t>PPT模板</t>
        </is>
      </c>
      <c r="T1103" t="inlineStr">
        <is>
          <t>10.90</t>
        </is>
      </c>
      <c r="U1103" s="3">
        <v>46112.78107638889</v>
      </c>
      <c r="V1103" t="inlineStr">
        <is>
          <t>虚拟产品</t>
        </is>
      </c>
      <c r="W1103" s="3">
        <v>46039</v>
      </c>
      <c r="X1103" t="inlineStr">
        <is>
          <t>01</t>
        </is>
      </c>
      <c r="Y1103" t="inlineStr">
        <is>
          <t>2026-Q1</t>
        </is>
      </c>
    </row>
    <row r="1104" ht="38.25" customHeight="1">
      <c r="A1104" t="inlineStr">
        <is>
          <t>笔记中安全主题PPT模板.2</t>
        </is>
      </c>
      <c r="B1104" t="inlineStr">
        <is>
          <t>recv8x8Rj1Ws3Q.jpg</t>
        </is>
      </c>
      <c r="C1104" s="2" t="str">
        <f>=HYPERLINK("https://xhslink.com/m/3KdOIQf3CPu", "https://xhslink.com/m/3KdOIQf3CPu")</f>
        <v>https://xhslink.com/m/3KdOIQf3CPu</v>
      </c>
      <c r="D1104"/>
      <c r="E1104">
        <v>762</v>
      </c>
      <c r="F1104">
        <v>4.9</v>
      </c>
      <c r="G1104"/>
      <c r="H1104"/>
      <c r="I1104">
        <v>400</v>
      </c>
      <c r="J1104"/>
      <c r="K1104" t="inlineStr">
        <is>
          <t>PPT模板</t>
        </is>
      </c>
      <c r="L1104"/>
      <c r="M1104" t="inlineStr">
        <is>
          <t>小张老师zcx的店</t>
        </is>
      </c>
      <c r="N1104">
        <v>816</v>
      </c>
      <c r="O1104">
        <v>4.14</v>
      </c>
      <c r="P1104">
        <v>5244</v>
      </c>
      <c r="Q1104" t="inlineStr">
        <is>
          <t>68d3fb8b9176f50001c064c3</t>
        </is>
      </c>
      <c r="R1104"/>
      <c r="S1104" t="inlineStr">
        <is>
          <t>PPT模板</t>
        </is>
      </c>
      <c r="T1104" t="inlineStr">
        <is>
          <t>0.93</t>
        </is>
      </c>
      <c r="U1104" s="3">
        <v>46112.78107638889</v>
      </c>
      <c r="V1104" t="inlineStr">
        <is>
          <t>虚拟产品</t>
        </is>
      </c>
      <c r="W1104" s="3">
        <v>46039</v>
      </c>
      <c r="X1104" t="inlineStr">
        <is>
          <t>01</t>
        </is>
      </c>
      <c r="Y1104" t="inlineStr">
        <is>
          <t>2026-Q1</t>
        </is>
      </c>
    </row>
    <row r="1105" ht="38.25" customHeight="1">
      <c r="A1105" t="inlineStr">
        <is>
          <t>京剧脸谱 少儿创意美术课件ppt 23页</t>
        </is>
      </c>
      <c r="B1105" t="inlineStr">
        <is>
          <t>recv8x8Rj157zN.jpg</t>
        </is>
      </c>
      <c r="C1105" s="2" t="str">
        <f>=HYPERLINK("https://xhslink.com/m/3fCqSZZut0C", "https://xhslink.com/m/3fCqSZZut0C")</f>
        <v>https://xhslink.com/m/3fCqSZZut0C</v>
      </c>
      <c r="D1105"/>
      <c r="E1105">
        <v>680</v>
      </c>
      <c r="F1105">
        <v>2.98</v>
      </c>
      <c r="G1105"/>
      <c r="H1105"/>
      <c r="I1105">
        <v>300</v>
      </c>
      <c r="J1105"/>
      <c r="K1105" t="inlineStr">
        <is>
          <t>PPT模板</t>
        </is>
      </c>
      <c r="L1105"/>
      <c r="M1105" t="inlineStr">
        <is>
          <t>小棠教画画的店</t>
        </is>
      </c>
      <c r="N1105">
        <v>13000</v>
      </c>
      <c r="O1105">
        <v>4.25</v>
      </c>
      <c r="P1105">
        <v>77000</v>
      </c>
      <c r="Q1105" t="inlineStr">
        <is>
          <t>6899c5d04eb9910001fdf07b</t>
        </is>
      </c>
      <c r="R1105" t="inlineStr">
        <is>
          <t>🚫重复</t>
        </is>
      </c>
      <c r="S1105" t="inlineStr">
        <is>
          <t>中小学教辅/教材</t>
        </is>
      </c>
      <c r="T1105" t="inlineStr">
        <is>
          <t>0.05</t>
        </is>
      </c>
      <c r="U1105" s="3">
        <v>46112.78107638889</v>
      </c>
      <c r="V1105" t="inlineStr">
        <is>
          <t>虚拟产品</t>
        </is>
      </c>
      <c r="W1105" s="3">
        <v>46039</v>
      </c>
      <c r="X1105" t="inlineStr">
        <is>
          <t>01</t>
        </is>
      </c>
      <c r="Y1105" t="inlineStr">
        <is>
          <t>2026-Q1</t>
        </is>
      </c>
    </row>
    <row r="1106" ht="38.25" customHeight="1">
      <c r="A1106" t="inlineStr">
        <is>
          <t>骐骥驰骋2026马年元旦联欢游戏元旦班会年会PPTby修</t>
        </is>
      </c>
      <c r="B1106" t="inlineStr">
        <is>
          <t>recv8x8Rj1MBcr.jpg</t>
        </is>
      </c>
      <c r="C1106" s="2" t="str">
        <f>=HYPERLINK("https://xhslink.com/m/1vtkBxzX3Hp", "https://xhslink.com/m/1vtkBxzX3Hp")</f>
        <v>https://xhslink.com/m/1vtkBxzX3Hp</v>
      </c>
      <c r="D1106"/>
      <c r="E1106">
        <v>466</v>
      </c>
      <c r="F1106">
        <v>6.99</v>
      </c>
      <c r="G1106"/>
      <c r="H1106"/>
      <c r="I1106">
        <v>400</v>
      </c>
      <c r="J1106"/>
      <c r="K1106" t="inlineStr">
        <is>
          <t>PPT模板</t>
        </is>
      </c>
      <c r="L1106"/>
      <c r="M1106" t="inlineStr">
        <is>
          <t>修张原创PPT的店</t>
        </is>
      </c>
      <c r="N1106">
        <v>18000</v>
      </c>
      <c r="O1106">
        <v>4.26</v>
      </c>
      <c r="P1106">
        <v>26000</v>
      </c>
      <c r="Q1106" t="inlineStr">
        <is>
          <t>6940fff6bd92f500017a2b33</t>
        </is>
      </c>
      <c r="R1106" t="inlineStr">
        <is>
          <t>🚫重复</t>
        </is>
      </c>
      <c r="S1106" t="inlineStr">
        <is>
          <t>PPT模板</t>
        </is>
      </c>
      <c r="T1106" t="inlineStr">
        <is>
          <t>0.03</t>
        </is>
      </c>
      <c r="U1106" s="3">
        <v>46112.78107638889</v>
      </c>
      <c r="V1106" t="inlineStr">
        <is>
          <t>虚拟产品</t>
        </is>
      </c>
      <c r="W1106" s="3">
        <v>46039</v>
      </c>
      <c r="X1106" t="inlineStr">
        <is>
          <t>01</t>
        </is>
      </c>
      <c r="Y1106" t="inlineStr">
        <is>
          <t>2026-Q1</t>
        </is>
      </c>
    </row>
    <row r="1107" ht="38.25" customHeight="1">
      <c r="A1107" t="inlineStr">
        <is>
          <t>量子与猫 · 2026全年计划日程本|电子手账|Goodnotes模板|Notability学习笔记</t>
        </is>
      </c>
      <c r="B1107" t="inlineStr">
        <is>
          <t>recv8x8Rj1QW10.jpg</t>
        </is>
      </c>
      <c r="C1107" s="2" t="str">
        <f>=HYPERLINK("https://xhslink.com/m/WAJiTCwqDa", "https://xhslink.com/m/WAJiTCwqDa")</f>
        <v>https://xhslink.com/m/WAJiTCwqDa</v>
      </c>
      <c r="D1107"/>
      <c r="E1107">
        <v>6714</v>
      </c>
      <c r="F1107">
        <v>30.8</v>
      </c>
      <c r="G1107"/>
      <c r="H1107"/>
      <c r="I1107">
        <v>700</v>
      </c>
      <c r="J1107"/>
      <c r="K1107" t="inlineStr">
        <is>
          <t>电子手账</t>
        </is>
      </c>
      <c r="L1107"/>
      <c r="M1107" t="inlineStr">
        <is>
          <t>量子与猫的店</t>
        </is>
      </c>
      <c r="N1107">
        <v>35000</v>
      </c>
      <c r="O1107">
        <v>4.19</v>
      </c>
      <c r="P1107">
        <v>12000</v>
      </c>
      <c r="Q1107" t="inlineStr">
        <is>
          <t>64d33845929f6b0001815315</t>
        </is>
      </c>
      <c r="R1107" t="inlineStr">
        <is>
          <t>🚫重复</t>
        </is>
      </c>
      <c r="S1107" t="inlineStr">
        <is>
          <t>无匹配类别</t>
        </is>
      </c>
      <c r="T1107" t="inlineStr">
        <is>
          <t>0.19</t>
        </is>
      </c>
      <c r="U1107" s="3">
        <v>46112.78107638889</v>
      </c>
      <c r="V1107" t="inlineStr">
        <is>
          <t>虚拟产品</t>
        </is>
      </c>
      <c r="W1107" s="3">
        <v>46039</v>
      </c>
      <c r="X1107" t="inlineStr">
        <is>
          <t>01</t>
        </is>
      </c>
      <c r="Y1107" t="inlineStr">
        <is>
          <t>2026-Q1</t>
        </is>
      </c>
    </row>
    <row r="1108" ht="38.25" customHeight="1">
      <c r="A1108" t="inlineStr">
        <is>
          <t>ELEYANG · 松软铅笔手写字体教资笔记中英文ipad小语种文本框电子手帐饿了羊</t>
        </is>
      </c>
      <c r="B1108" t="inlineStr">
        <is>
          <t>recv8x8Rj1Np4s.jpg</t>
        </is>
      </c>
      <c r="C1108" s="2" t="str">
        <f>=HYPERLINK("https://xhslink.com/m/dUh4I83eL6", "https://xhslink.com/m/dUh4I83eL6")</f>
        <v>https://xhslink.com/m/dUh4I83eL6</v>
      </c>
      <c r="D1108"/>
      <c r="E1108">
        <v>1585</v>
      </c>
      <c r="F1108">
        <v>199</v>
      </c>
      <c r="G1108"/>
      <c r="H1108"/>
      <c r="I1108">
        <v>300</v>
      </c>
      <c r="J1108"/>
      <c r="K1108" t="inlineStr">
        <is>
          <t>电子手账</t>
        </is>
      </c>
      <c r="L1108"/>
      <c r="M1108" t="inlineStr">
        <is>
          <t>ELEYANG的店</t>
        </is>
      </c>
      <c r="N1108">
        <v>11000</v>
      </c>
      <c r="O1108">
        <v>4.43</v>
      </c>
      <c r="P1108">
        <v>12000</v>
      </c>
      <c r="Q1108" t="inlineStr">
        <is>
          <t>6592932c862a3a0001f3a7b7</t>
        </is>
      </c>
      <c r="R1108"/>
      <c r="S1108" t="inlineStr">
        <is>
          <t>教资资料</t>
        </is>
      </c>
      <c r="T1108" t="inlineStr">
        <is>
          <t>0.14</t>
        </is>
      </c>
      <c r="U1108" s="3">
        <v>46112.78107638889</v>
      </c>
      <c r="V1108" t="inlineStr">
        <is>
          <t>虚拟产品</t>
        </is>
      </c>
      <c r="W1108" s="3">
        <v>46039</v>
      </c>
      <c r="X1108" t="inlineStr">
        <is>
          <t>01</t>
        </is>
      </c>
      <c r="Y1108" t="inlineStr">
        <is>
          <t>2026-Q1</t>
        </is>
      </c>
    </row>
    <row r="1109" ht="38.25" customHeight="1">
      <c r="A1109" t="inlineStr">
        <is>
          <t>2025房屋租赁合同模板电子版，可编辑word文件，需自行打印</t>
        </is>
      </c>
      <c r="B1109" t="inlineStr">
        <is>
          <t>recv8x8Rj1fXzv.jpg</t>
        </is>
      </c>
      <c r="C1109" s="2" t="str">
        <f>=HYPERLINK("https://xhslink.com/m/3vAZNi0xCBR", "https://xhslink.com/m/3vAZNi0xCBR")</f>
        <v>https://xhslink.com/m/3vAZNi0xCBR</v>
      </c>
      <c r="D1109"/>
      <c r="E1109">
        <v>1626</v>
      </c>
      <c r="F1109">
        <v>2.99</v>
      </c>
      <c r="G1109"/>
      <c r="H1109"/>
      <c r="I1109">
        <v>400</v>
      </c>
      <c r="J1109"/>
      <c r="K1109" t="inlineStr">
        <is>
          <t>房屋租赁合同模板</t>
        </is>
      </c>
      <c r="L1109"/>
      <c r="M1109" t="inlineStr">
        <is>
          <t>松鼠队长的店</t>
        </is>
      </c>
      <c r="N1109">
        <v>5747</v>
      </c>
      <c r="O1109">
        <v>4.28</v>
      </c>
      <c r="P1109">
        <v>60000</v>
      </c>
      <c r="Q1109" t="inlineStr">
        <is>
          <t>68638d3e8b7d6f0001833c9e</t>
        </is>
      </c>
      <c r="R1109"/>
      <c r="S1109" t="inlineStr">
        <is>
          <t>无匹配类别</t>
        </is>
      </c>
      <c r="T1109" t="inlineStr">
        <is>
          <t>0.28</t>
        </is>
      </c>
      <c r="U1109" s="3">
        <v>46112.78107638889</v>
      </c>
      <c r="V1109" t="inlineStr">
        <is>
          <t>虚拟产品</t>
        </is>
      </c>
      <c r="W1109" s="3">
        <v>46039</v>
      </c>
      <c r="X1109" t="inlineStr">
        <is>
          <t>01</t>
        </is>
      </c>
      <c r="Y1109" t="inlineStr">
        <is>
          <t>2026-Q1</t>
        </is>
      </c>
    </row>
    <row r="1110" ht="38.25" customHeight="1">
      <c r="A1110" t="inlineStr">
        <is>
          <t>版本3元旦2026马年元旦联欢会28随机抽年会游戏PPT30页赠送快闪</t>
        </is>
      </c>
      <c r="B1110" t="inlineStr">
        <is>
          <t>recv8x8Rj1zRQH.jpg</t>
        </is>
      </c>
      <c r="C1110" s="2" t="str">
        <f>=HYPERLINK("https://xhslink.com/m/1Xlafa8X9e2", "https://xhslink.com/m/1Xlafa8X9e2")</f>
        <v>https://xhslink.com/m/1Xlafa8X9e2</v>
      </c>
      <c r="D1110"/>
      <c r="E1110">
        <v>2686</v>
      </c>
      <c r="F1110">
        <v>8.8</v>
      </c>
      <c r="G1110"/>
      <c r="H1110"/>
      <c r="I1110">
        <v>2000</v>
      </c>
      <c r="J1110"/>
      <c r="K1110" t="inlineStr">
        <is>
          <t>年会PPT</t>
        </is>
      </c>
      <c r="L1110"/>
      <c r="M1110" t="inlineStr">
        <is>
          <t>修张原创PPT的店</t>
        </is>
      </c>
      <c r="N1110">
        <v>18000</v>
      </c>
      <c r="O1110">
        <v>4.26</v>
      </c>
      <c r="P1110">
        <v>26000</v>
      </c>
      <c r="Q1110" t="inlineStr">
        <is>
          <t>694109cf4b4ce10001ee3437</t>
        </is>
      </c>
      <c r="R1110" t="inlineStr">
        <is>
          <t>🚫重复</t>
        </is>
      </c>
      <c r="S1110" t="inlineStr">
        <is>
          <t>PPT模板</t>
        </is>
      </c>
      <c r="T1110" t="inlineStr">
        <is>
          <t>0.15</t>
        </is>
      </c>
      <c r="U1110" s="3">
        <v>46112.78107638889</v>
      </c>
      <c r="V1110" t="inlineStr">
        <is>
          <t>虚拟产品</t>
        </is>
      </c>
      <c r="W1110" s="3">
        <v>46039</v>
      </c>
      <c r="X1110" t="inlineStr">
        <is>
          <t>01</t>
        </is>
      </c>
      <c r="Y1110" t="inlineStr">
        <is>
          <t>2026-Q1</t>
        </is>
      </c>
    </row>
    <row r="1111" ht="38.25" customHeight="1">
      <c r="A1111" t="inlineStr">
        <is>
          <t>2026马年元旦联欢会闯关PPT喜庆新年新春年会课件</t>
        </is>
      </c>
      <c r="B1111" t="inlineStr">
        <is>
          <t>recv8x8Rj15vEL.jpg</t>
        </is>
      </c>
      <c r="C1111" s="2" t="str">
        <f>=HYPERLINK("https://xhslink.com/m/6CVDAit5z1G", "https://xhslink.com/m/6CVDAit5z1G")</f>
        <v>https://xhslink.com/m/6CVDAit5z1G</v>
      </c>
      <c r="D1111"/>
      <c r="E1111">
        <v>1355</v>
      </c>
      <c r="F1111">
        <v>9.99</v>
      </c>
      <c r="G1111"/>
      <c r="H1111"/>
      <c r="I1111">
        <v>1000</v>
      </c>
      <c r="J1111"/>
      <c r="K1111" t="inlineStr">
        <is>
          <t>年会PPT</t>
        </is>
      </c>
      <c r="L1111"/>
      <c r="M1111" t="inlineStr">
        <is>
          <t>小糖工作室的店</t>
        </is>
      </c>
      <c r="N1111">
        <v>1910</v>
      </c>
      <c r="O1111">
        <v>4</v>
      </c>
      <c r="P1111">
        <v>10000</v>
      </c>
      <c r="Q1111" t="inlineStr">
        <is>
          <t>694abb40e935e90001bdca79</t>
        </is>
      </c>
      <c r="R1111"/>
      <c r="S1111" t="inlineStr">
        <is>
          <t>PPT模板</t>
        </is>
      </c>
      <c r="T1111" t="inlineStr">
        <is>
          <t>0.71</t>
        </is>
      </c>
      <c r="U1111" s="3">
        <v>46112.78107638889</v>
      </c>
      <c r="V1111" t="inlineStr">
        <is>
          <t>虚拟产品</t>
        </is>
      </c>
      <c r="W1111" s="3">
        <v>46039</v>
      </c>
      <c r="X1111" t="inlineStr">
        <is>
          <t>01</t>
        </is>
      </c>
      <c r="Y1111" t="inlineStr">
        <is>
          <t>2026-Q1</t>
        </is>
      </c>
    </row>
    <row r="1112" ht="38.25" customHeight="1">
      <c r="A1112" t="inlineStr">
        <is>
          <t>【马年】晚会年会搞笑开场快闪PPT模板/emoji猜成语/谐音等游戏</t>
        </is>
      </c>
      <c r="B1112" t="inlineStr">
        <is>
          <t>recv8x8Rj1V6Ke.jpg</t>
        </is>
      </c>
      <c r="C1112" s="2" t="str">
        <f>=HYPERLINK("https://xhslink.com/m/8GQ15lxW8D3", "https://xhslink.com/m/8GQ15lxW8D3")</f>
        <v>https://xhslink.com/m/8GQ15lxW8D3</v>
      </c>
      <c r="D1112"/>
      <c r="E1112">
        <v>1582</v>
      </c>
      <c r="F1112">
        <v>6.66</v>
      </c>
      <c r="G1112"/>
      <c r="H1112"/>
      <c r="I1112">
        <v>1000</v>
      </c>
      <c r="J1112"/>
      <c r="K1112" t="inlineStr">
        <is>
          <t>年会PPT</t>
        </is>
      </c>
      <c r="L1112"/>
      <c r="M1112" t="inlineStr">
        <is>
          <t>金老师PPT的店</t>
        </is>
      </c>
      <c r="N1112">
        <v>11000</v>
      </c>
      <c r="O1112">
        <v>4.22</v>
      </c>
      <c r="P1112">
        <v>51000</v>
      </c>
      <c r="Q1112" t="inlineStr">
        <is>
          <t>691d361252eecb000132bd35</t>
        </is>
      </c>
      <c r="R1112" t="inlineStr">
        <is>
          <t>🚫重复</t>
        </is>
      </c>
      <c r="S1112" t="inlineStr">
        <is>
          <t>PPT模板</t>
        </is>
      </c>
      <c r="T1112" t="inlineStr">
        <is>
          <t>0.14</t>
        </is>
      </c>
      <c r="U1112" s="3">
        <v>46112.78107638889</v>
      </c>
      <c r="V1112" t="inlineStr">
        <is>
          <t>虚拟产品</t>
        </is>
      </c>
      <c r="W1112" s="3">
        <v>46039</v>
      </c>
      <c r="X1112" t="inlineStr">
        <is>
          <t>01</t>
        </is>
      </c>
      <c r="Y1112" t="inlineStr">
        <is>
          <t>2026-Q1</t>
        </is>
      </c>
    </row>
    <row r="1113" ht="38.25" customHeight="1">
      <c r="A1113" t="inlineStr">
        <is>
          <t>年会颁奖典礼ppt模板-含黑金/红金两个版本，需使用Windows系统</t>
        </is>
      </c>
      <c r="B1113" t="inlineStr">
        <is>
          <t>recv8x8Rj1LKC9.jpg</t>
        </is>
      </c>
      <c r="C1113" s="2" t="str">
        <f>=HYPERLINK("https://xhslink.com/m/A6n2YewqkR", "https://xhslink.com/m/A6n2YewqkR")</f>
        <v>https://xhslink.com/m/A6n2YewqkR</v>
      </c>
      <c r="D1113"/>
      <c r="E1113">
        <v>675</v>
      </c>
      <c r="F1113">
        <v>9.9</v>
      </c>
      <c r="G1113"/>
      <c r="H1113"/>
      <c r="I1113">
        <v>400</v>
      </c>
      <c r="J1113"/>
      <c r="K1113" t="inlineStr">
        <is>
          <t>年会PPT</t>
        </is>
      </c>
      <c r="L1113"/>
      <c r="M1113" t="inlineStr">
        <is>
          <t>莲小蓬PPT的店</t>
        </is>
      </c>
      <c r="N1113">
        <v>12000</v>
      </c>
      <c r="O1113">
        <v>4.22</v>
      </c>
      <c r="P1113">
        <v>17000</v>
      </c>
      <c r="Q1113" t="inlineStr">
        <is>
          <t>685267f7ea2a8100018e1b5b</t>
        </is>
      </c>
      <c r="R1113" t="inlineStr">
        <is>
          <t>🚫重复</t>
        </is>
      </c>
      <c r="S1113" t="inlineStr">
        <is>
          <t>PPT模板</t>
        </is>
      </c>
      <c r="T1113" t="inlineStr">
        <is>
          <t>0.06</t>
        </is>
      </c>
      <c r="U1113" s="3">
        <v>46112.78107638889</v>
      </c>
      <c r="V1113" t="inlineStr">
        <is>
          <t>虚拟产品</t>
        </is>
      </c>
      <c r="W1113" s="3">
        <v>46039</v>
      </c>
      <c r="X1113" t="inlineStr">
        <is>
          <t>01</t>
        </is>
      </c>
      <c r="Y1113" t="inlineStr">
        <is>
          <t>2026-Q1</t>
        </is>
      </c>
    </row>
    <row r="1114" ht="38.25" customHeight="1">
      <c r="A1114" t="inlineStr">
        <is>
          <t>2026马年新春年会颁奖活动策划方案PPT模板 | 58p</t>
        </is>
      </c>
      <c r="B1114" t="inlineStr">
        <is>
          <t>recv8x8Rj15RV6.jpg</t>
        </is>
      </c>
      <c r="C1114" s="2" t="str">
        <f>=HYPERLINK("https://xhslink.com/m/9e52A3C22mO", "https://xhslink.com/m/9e52A3C22mO")</f>
        <v>https://xhslink.com/m/9e52A3C22mO</v>
      </c>
      <c r="D1114"/>
      <c r="E1114">
        <v>453</v>
      </c>
      <c r="F1114">
        <v>7.99</v>
      </c>
      <c r="G1114"/>
      <c r="H1114"/>
      <c r="I1114">
        <v>400</v>
      </c>
      <c r="J1114"/>
      <c r="K1114" t="inlineStr">
        <is>
          <t>年会PPT</t>
        </is>
      </c>
      <c r="L1114"/>
      <c r="M1114" t="inlineStr">
        <is>
          <t>允Design的店</t>
        </is>
      </c>
      <c r="N1114">
        <v>560</v>
      </c>
      <c r="O1114">
        <v>4.03</v>
      </c>
      <c r="P1114">
        <v>3307</v>
      </c>
      <c r="Q1114" t="inlineStr">
        <is>
          <t>6942461a0a90060001af33c6</t>
        </is>
      </c>
      <c r="R1114"/>
      <c r="S1114" t="inlineStr">
        <is>
          <t>PPT模板</t>
        </is>
      </c>
      <c r="T1114" t="inlineStr">
        <is>
          <t>0.81</t>
        </is>
      </c>
      <c r="U1114" s="3">
        <v>46112.78107638889</v>
      </c>
      <c r="V1114" t="inlineStr">
        <is>
          <t>虚拟产品</t>
        </is>
      </c>
      <c r="W1114" s="3">
        <v>46039</v>
      </c>
      <c r="X1114" t="inlineStr">
        <is>
          <t>01</t>
        </is>
      </c>
      <c r="Y1114" t="inlineStr">
        <is>
          <t>2026-Q1</t>
        </is>
      </c>
    </row>
    <row r="1115" ht="38.25" customHeight="1">
      <c r="A1115" t="inlineStr">
        <is>
          <t>自动发货-2026马年相关相关PPT模板（详情看主页笔记图文）</t>
        </is>
      </c>
      <c r="B1115" t="inlineStr">
        <is>
          <t>recv8x8Rj1C58J.jpg</t>
        </is>
      </c>
      <c r="C1115" s="2" t="str">
        <f>=HYPERLINK("https://xhslink.com/m/QM5Blsncaj", "https://xhslink.com/m/QM5Blsncaj")</f>
        <v>https://xhslink.com/m/QM5Blsncaj</v>
      </c>
      <c r="D1115"/>
      <c r="E1115">
        <v>637</v>
      </c>
      <c r="F1115">
        <v>3.99</v>
      </c>
      <c r="G1115"/>
      <c r="H1115"/>
      <c r="I1115">
        <v>600</v>
      </c>
      <c r="J1115"/>
      <c r="K1115" t="inlineStr">
        <is>
          <t>年会PPT</t>
        </is>
      </c>
      <c r="L1115"/>
      <c r="M1115" t="inlineStr">
        <is>
          <t>糖宝ppt的店</t>
        </is>
      </c>
      <c r="N1115">
        <v>843</v>
      </c>
      <c r="O1115">
        <v>4.02</v>
      </c>
      <c r="P1115">
        <v>3531</v>
      </c>
      <c r="Q1115" t="inlineStr">
        <is>
          <t>69415d4cae586c0001a1c794</t>
        </is>
      </c>
      <c r="R1115" t="inlineStr">
        <is>
          <t>🚫重复</t>
        </is>
      </c>
      <c r="S1115" t="inlineStr">
        <is>
          <t>PPT模板</t>
        </is>
      </c>
      <c r="T1115" t="inlineStr">
        <is>
          <t>0.76</t>
        </is>
      </c>
      <c r="U1115" s="3">
        <v>46112.78107638889</v>
      </c>
      <c r="V1115" t="inlineStr">
        <is>
          <t>虚拟产品</t>
        </is>
      </c>
      <c r="W1115" s="3">
        <v>46039</v>
      </c>
      <c r="X1115" t="inlineStr">
        <is>
          <t>01</t>
        </is>
      </c>
      <c r="Y1115" t="inlineStr">
        <is>
          <t>2026-Q1</t>
        </is>
      </c>
    </row>
    <row r="1116" ht="38.25" customHeight="1">
      <c r="A1116" t="inlineStr">
        <is>
          <t>2026创意期末评语word电子版多款可选内容不重复</t>
        </is>
      </c>
      <c r="B1116" t="inlineStr">
        <is>
          <t>recv8x8Rj1nREP.jpg</t>
        </is>
      </c>
      <c r="C1116" s="2" t="str">
        <f>=HYPERLINK("https://xhslink.com/m/5bg7QPnv9zr", "https://xhslink.com/m/5bg7QPnv9zr")</f>
        <v>https://xhslink.com/m/5bg7QPnv9zr</v>
      </c>
      <c r="D1116"/>
      <c r="E1116">
        <v>547</v>
      </c>
      <c r="F1116">
        <v>9.9</v>
      </c>
      <c r="G1116"/>
      <c r="H1116"/>
      <c r="I1116">
        <v>500</v>
      </c>
      <c r="J1116"/>
      <c r="K1116" t="inlineStr">
        <is>
          <t>期末评语</t>
        </is>
      </c>
      <c r="L1116"/>
      <c r="M1116" t="inlineStr">
        <is>
          <t>小瑜爱学习的店</t>
        </is>
      </c>
      <c r="N1116">
        <v>2679</v>
      </c>
      <c r="O1116">
        <v>3.89</v>
      </c>
      <c r="P1116">
        <v>3828</v>
      </c>
      <c r="Q1116" t="inlineStr">
        <is>
          <t>693a7a014d53380001fc01a1</t>
        </is>
      </c>
      <c r="R1116"/>
      <c r="S1116" t="inlineStr">
        <is>
          <t>老师资料</t>
        </is>
      </c>
      <c r="T1116" t="inlineStr">
        <is>
          <t>0.20</t>
        </is>
      </c>
      <c r="U1116" s="3">
        <v>46112.78107638889</v>
      </c>
      <c r="V1116" t="inlineStr">
        <is>
          <t>虚拟产品</t>
        </is>
      </c>
      <c r="W1116" s="3">
        <v>46039</v>
      </c>
      <c r="X1116" t="inlineStr">
        <is>
          <t>01</t>
        </is>
      </c>
      <c r="Y1116" t="inlineStr">
        <is>
          <t>2026-Q1</t>
        </is>
      </c>
    </row>
    <row r="1117" ht="38.25" customHeight="1">
      <c r="A1117" t="inlineStr">
        <is>
          <t>合集丨医生胸针白大褂配饰护士服装饰医学生个性佩戴口腔医院礼品</t>
        </is>
      </c>
      <c r="B1117" t="inlineStr">
        <is>
          <t>recv8x8Rj1MggH.jpg</t>
        </is>
      </c>
      <c r="C1117" s="2" t="str">
        <f>=HYPERLINK("https://xhslink.com/m/23SV82XhkK3", "https://xhslink.com/m/23SV82XhkK3")</f>
        <v>https://xhslink.com/m/23SV82XhkK3</v>
      </c>
      <c r="D1117"/>
      <c r="E1117">
        <v>20000</v>
      </c>
      <c r="F1117">
        <v>8.6</v>
      </c>
      <c r="G1117"/>
      <c r="H1117"/>
      <c r="I1117">
        <v>700</v>
      </c>
      <c r="J1117"/>
      <c r="K1117" t="inlineStr">
        <is>
          <t>医学</t>
        </is>
      </c>
      <c r="L1117" t="inlineStr">
        <is>
          <t>🔥低粉爆款</t>
        </is>
      </c>
      <c r="M1117" t="inlineStr">
        <is>
          <t>氧气绿hi的店</t>
        </is>
      </c>
      <c r="N1117">
        <v>4912</v>
      </c>
      <c r="O1117">
        <v>4.73</v>
      </c>
      <c r="P1117">
        <v>44000</v>
      </c>
      <c r="Q1117" t="inlineStr">
        <is>
          <t>674e7d7abdb590000180fc32</t>
        </is>
      </c>
      <c r="R1117"/>
      <c r="S1117" t="inlineStr">
        <is>
          <t>无匹配类别</t>
        </is>
      </c>
      <c r="T1117" t="inlineStr">
        <is>
          <t>4.07</t>
        </is>
      </c>
      <c r="U1117" s="3">
        <v>46112.78107638889</v>
      </c>
      <c r="V1117" t="inlineStr">
        <is>
          <t>虚拟产品</t>
        </is>
      </c>
      <c r="W1117" s="3">
        <v>46039</v>
      </c>
      <c r="X1117" t="inlineStr">
        <is>
          <t>01</t>
        </is>
      </c>
      <c r="Y1117" t="inlineStr">
        <is>
          <t>2026-Q1</t>
        </is>
      </c>
    </row>
    <row r="1118" ht="38.25" customHeight="1">
      <c r="A1118" t="inlineStr">
        <is>
          <t>卫生系统招聘卫健委事业编题库app</t>
        </is>
      </c>
      <c r="B1118" t="inlineStr">
        <is>
          <t>recv8x8Rj1vGiR.jpg</t>
        </is>
      </c>
      <c r="C1118" s="2" t="str">
        <f>=HYPERLINK("https://xhslink.com/m/8IGCptxndtt", "https://xhslink.com/m/8IGCptxndtt")</f>
        <v>https://xhslink.com/m/8IGCptxndtt</v>
      </c>
      <c r="D1118"/>
      <c r="E1118">
        <v>18000</v>
      </c>
      <c r="F1118">
        <v>18.9</v>
      </c>
      <c r="G1118"/>
      <c r="H1118"/>
      <c r="I1118">
        <v>2000</v>
      </c>
      <c r="J1118"/>
      <c r="K1118" t="inlineStr">
        <is>
          <t>医学</t>
        </is>
      </c>
      <c r="L1118" t="inlineStr">
        <is>
          <t>🔥低粉爆款</t>
        </is>
      </c>
      <c r="M1118" t="inlineStr">
        <is>
          <t>小倩学姐教育咨询的店</t>
        </is>
      </c>
      <c r="N1118">
        <v>3717</v>
      </c>
      <c r="O1118">
        <v>4.21</v>
      </c>
      <c r="P1118">
        <v>21000</v>
      </c>
      <c r="Q1118" t="inlineStr">
        <is>
          <t>6741a874008284000163b095</t>
        </is>
      </c>
      <c r="R1118" t="inlineStr">
        <is>
          <t>🚫重复</t>
        </is>
      </c>
      <c r="S1118" t="inlineStr">
        <is>
          <t>软件应用</t>
        </is>
      </c>
      <c r="T1118" t="inlineStr">
        <is>
          <t>4.84</t>
        </is>
      </c>
      <c r="U1118" s="3">
        <v>46112.78107638889</v>
      </c>
      <c r="V1118" t="inlineStr">
        <is>
          <t>虚拟产品</t>
        </is>
      </c>
      <c r="W1118" s="3">
        <v>46039</v>
      </c>
      <c r="X1118" t="inlineStr">
        <is>
          <t>01</t>
        </is>
      </c>
      <c r="Y1118" t="inlineStr">
        <is>
          <t>2026-Q1</t>
        </is>
      </c>
    </row>
    <row r="1119" ht="38.25" customHeight="1">
      <c r="A1119" t="inlineStr">
        <is>
          <t>大学生职业生涯规划书《word》完整版电子文档可编辑</t>
        </is>
      </c>
      <c r="B1119" t="inlineStr">
        <is>
          <t>recv8x8Rj1lkSA.jpg</t>
        </is>
      </c>
      <c r="C1119" s="2" t="str">
        <f>=HYPERLINK("https://xhslink.com/m/ordUGtYLJs", "https://xhslink.com/m/ordUGtYLJs")</f>
        <v>https://xhslink.com/m/ordUGtYLJs</v>
      </c>
      <c r="D1119"/>
      <c r="E1119">
        <v>3803</v>
      </c>
      <c r="F1119">
        <v>9.9</v>
      </c>
      <c r="G1119"/>
      <c r="H1119"/>
      <c r="I1119">
        <v>700</v>
      </c>
      <c r="J1119"/>
      <c r="K1119" t="inlineStr">
        <is>
          <t>医学</t>
        </is>
      </c>
      <c r="L1119"/>
      <c r="M1119" t="inlineStr">
        <is>
          <t>洋洋学姐🧚（规划书）的店</t>
        </is>
      </c>
      <c r="N1119">
        <v>10000</v>
      </c>
      <c r="O1119">
        <v>4.09</v>
      </c>
      <c r="P1119">
        <v>5026</v>
      </c>
      <c r="Q1119" t="inlineStr">
        <is>
          <t>67a1d2f875ca3a00015d3adc</t>
        </is>
      </c>
      <c r="R1119" t="inlineStr">
        <is>
          <t>🚫重复</t>
        </is>
      </c>
      <c r="S1119" t="inlineStr">
        <is>
          <t>求职面试/职场</t>
        </is>
      </c>
      <c r="T1119" t="inlineStr">
        <is>
          <t>0.38</t>
        </is>
      </c>
      <c r="U1119" s="3">
        <v>46112.78107638889</v>
      </c>
      <c r="V1119" t="inlineStr">
        <is>
          <t>虚拟产品</t>
        </is>
      </c>
      <c r="W1119" s="3">
        <v>46039</v>
      </c>
      <c r="X1119" t="inlineStr">
        <is>
          <t>01</t>
        </is>
      </c>
      <c r="Y1119" t="inlineStr">
        <is>
          <t>2026-Q1</t>
        </is>
      </c>
    </row>
    <row r="1120" ht="38.25" customHeight="1">
      <c r="A1120" t="inlineStr">
        <is>
          <t>【1-4月】JoJo雅思口语抖机灵Part123语料｜包更新到26年4月底</t>
        </is>
      </c>
      <c r="B1120" t="inlineStr">
        <is>
          <t>recv8x8Rj1pyv3.jpg</t>
        </is>
      </c>
      <c r="C1120" s="2" t="str">
        <f>=HYPERLINK("https://xhslink.com/m/5m1U71jwi5x", "https://xhslink.com/m/5m1U71jwi5x")</f>
        <v>https://xhslink.com/m/5m1U71jwi5x</v>
      </c>
      <c r="D1120"/>
      <c r="E1120">
        <v>13000</v>
      </c>
      <c r="F1120">
        <v>279</v>
      </c>
      <c r="G1120"/>
      <c r="H1120"/>
      <c r="I1120">
        <v>1000</v>
      </c>
      <c r="J1120"/>
      <c r="K1120" t="inlineStr">
        <is>
          <t>考试</t>
        </is>
      </c>
      <c r="L1120"/>
      <c r="M1120" t="inlineStr">
        <is>
          <t>JoJo学英语【抖机灵版】的店</t>
        </is>
      </c>
      <c r="N1120">
        <v>24000</v>
      </c>
      <c r="O1120">
        <v>4.61</v>
      </c>
      <c r="P1120">
        <v>18000</v>
      </c>
      <c r="Q1120" t="inlineStr">
        <is>
          <t>691eca85ce3eb500017b382d</t>
        </is>
      </c>
      <c r="R1120" t="inlineStr">
        <is>
          <t>🚫重复</t>
        </is>
      </c>
      <c r="S1120" t="inlineStr">
        <is>
          <t>英语资料</t>
        </is>
      </c>
      <c r="T1120" t="inlineStr">
        <is>
          <t>0.54</t>
        </is>
      </c>
      <c r="U1120" s="3">
        <v>46112.78107638889</v>
      </c>
      <c r="V1120" t="inlineStr">
        <is>
          <t>虚拟产品</t>
        </is>
      </c>
      <c r="W1120" s="3">
        <v>46039</v>
      </c>
      <c r="X1120" t="inlineStr">
        <is>
          <t>01</t>
        </is>
      </c>
      <c r="Y1120" t="inlineStr">
        <is>
          <t>2026-Q1</t>
        </is>
      </c>
    </row>
    <row r="1121" ht="38.25" customHeight="1">
      <c r="A1121" t="inlineStr">
        <is>
          <t>睡眠密码 · 静电敷贴学生考试贴改善缓解失眠助眠初高中备考提深睡时长深睡贴</t>
        </is>
      </c>
      <c r="B1121" t="inlineStr">
        <is>
          <t>recv8x8Rj1rwWG.jpg</t>
        </is>
      </c>
      <c r="C1121" s="2" t="str">
        <f>=HYPERLINK("https://xhslink.com/m/5w3DqCKjQot", "https://xhslink.com/m/5w3DqCKjQot")</f>
        <v>https://xhslink.com/m/5w3DqCKjQot</v>
      </c>
      <c r="D1121"/>
      <c r="E1121">
        <v>8276</v>
      </c>
      <c r="F1121">
        <v>199</v>
      </c>
      <c r="G1121"/>
      <c r="H1121"/>
      <c r="I1121">
        <v>900</v>
      </c>
      <c r="J1121"/>
      <c r="K1121" t="inlineStr">
        <is>
          <t>考试</t>
        </is>
      </c>
      <c r="L1121" t="inlineStr">
        <is>
          <t>🔥低粉爆款</t>
        </is>
      </c>
      <c r="M1121" t="inlineStr">
        <is>
          <t>睡眠密码旗舰店</t>
        </is>
      </c>
      <c r="N1121">
        <v>706</v>
      </c>
      <c r="O1121">
        <v>4.66</v>
      </c>
      <c r="P1121">
        <v>10000</v>
      </c>
      <c r="Q1121" t="inlineStr">
        <is>
          <t>65fe2c49e21a000001de7e9b</t>
        </is>
      </c>
      <c r="R1121"/>
      <c r="S1121" t="inlineStr">
        <is>
          <t>高中/高考资料</t>
        </is>
      </c>
      <c r="T1121" t="inlineStr">
        <is>
          <t>11.72</t>
        </is>
      </c>
      <c r="U1121" s="3">
        <v>46112.78107638889</v>
      </c>
      <c r="V1121" t="inlineStr">
        <is>
          <t>虚拟产品</t>
        </is>
      </c>
      <c r="W1121" s="3">
        <v>46039</v>
      </c>
      <c r="X1121" t="inlineStr">
        <is>
          <t>01</t>
        </is>
      </c>
      <c r="Y1121" t="inlineStr">
        <is>
          <t>2026-Q1</t>
        </is>
      </c>
    </row>
    <row r="1122" ht="38.25" customHeight="1">
      <c r="A1122" t="inlineStr">
        <is>
          <t>2025年高考语文数学英语物理化学历史地理政治真题分类汇编电子版</t>
        </is>
      </c>
      <c r="B1122" t="inlineStr">
        <is>
          <t>recv8x8Rj1qh9d.jpg</t>
        </is>
      </c>
      <c r="C1122" s="2" t="str">
        <f>=HYPERLINK("https://xhslink.com/m/UuiHKk8nV8", "https://xhslink.com/m/UuiHKk8nV8")</f>
        <v>https://xhslink.com/m/UuiHKk8nV8</v>
      </c>
      <c r="D1122"/>
      <c r="E1122">
        <v>7161</v>
      </c>
      <c r="F1122">
        <v>35.8</v>
      </c>
      <c r="G1122"/>
      <c r="H1122"/>
      <c r="I1122">
        <v>500</v>
      </c>
      <c r="J1122"/>
      <c r="K1122" t="inlineStr">
        <is>
          <t>考试</t>
        </is>
      </c>
      <c r="L1122"/>
      <c r="M1122" t="inlineStr">
        <is>
          <t>发发的高中资料库的店</t>
        </is>
      </c>
      <c r="N1122">
        <v>16000</v>
      </c>
      <c r="O1122">
        <v>4.45</v>
      </c>
      <c r="P1122">
        <v>51000</v>
      </c>
      <c r="Q1122" t="inlineStr">
        <is>
          <t>678f061e96b36c0001e7844c</t>
        </is>
      </c>
      <c r="R1122" t="inlineStr">
        <is>
          <t>🚫重复</t>
        </is>
      </c>
      <c r="S1122" t="inlineStr">
        <is>
          <t>高中/高考资料</t>
        </is>
      </c>
      <c r="T1122" t="inlineStr">
        <is>
          <t>0.45</t>
        </is>
      </c>
      <c r="U1122" s="3">
        <v>46112.78107638889</v>
      </c>
      <c r="V1122" t="inlineStr">
        <is>
          <t>虚拟产品</t>
        </is>
      </c>
      <c r="W1122" s="3">
        <v>46039</v>
      </c>
      <c r="X1122" t="inlineStr">
        <is>
          <t>01</t>
        </is>
      </c>
      <c r="Y1122" t="inlineStr">
        <is>
          <t>2026-Q1</t>
        </is>
      </c>
    </row>
    <row r="1123" ht="38.25" customHeight="1">
      <c r="A1123" t="inlineStr">
        <is>
          <t>【只发电子版】高考读后续写资料</t>
        </is>
      </c>
      <c r="B1123" t="inlineStr">
        <is>
          <t>recv8x8Rj1w1h8.jpg</t>
        </is>
      </c>
      <c r="C1123" s="2" t="str">
        <f>=HYPERLINK("https://xhslink.com/m/3IaPwUbtAO1", "https://xhslink.com/m/3IaPwUbtAO1")</f>
        <v>https://xhslink.com/m/3IaPwUbtAO1</v>
      </c>
      <c r="D1123"/>
      <c r="E1123">
        <v>6621</v>
      </c>
      <c r="F1123">
        <v>88</v>
      </c>
      <c r="G1123"/>
      <c r="H1123"/>
      <c r="I1123">
        <v>500</v>
      </c>
      <c r="J1123"/>
      <c r="K1123" t="inlineStr">
        <is>
          <t>考试</t>
        </is>
      </c>
      <c r="L1123"/>
      <c r="M1123" t="inlineStr">
        <is>
          <t>空阶听雨声的店</t>
        </is>
      </c>
      <c r="N1123">
        <v>43000</v>
      </c>
      <c r="O1123">
        <v>4.22</v>
      </c>
      <c r="P1123">
        <v>16000</v>
      </c>
      <c r="Q1123" t="inlineStr">
        <is>
          <t>67ea091ec90d830001d07744</t>
        </is>
      </c>
      <c r="R1123" t="inlineStr">
        <is>
          <t>🚫重复</t>
        </is>
      </c>
      <c r="S1123" t="inlineStr">
        <is>
          <t>高中/高考资料</t>
        </is>
      </c>
      <c r="T1123" t="inlineStr">
        <is>
          <t>0.15</t>
        </is>
      </c>
      <c r="U1123" s="3">
        <v>46112.78107638889</v>
      </c>
      <c r="V1123" t="inlineStr">
        <is>
          <t>虚拟产品</t>
        </is>
      </c>
      <c r="W1123" s="3">
        <v>46039</v>
      </c>
      <c r="X1123" t="inlineStr">
        <is>
          <t>01</t>
        </is>
      </c>
      <c r="Y1123" t="inlineStr">
        <is>
          <t>2026-Q1</t>
        </is>
      </c>
    </row>
    <row r="1124" ht="38.25" customHeight="1">
      <c r="A1124" t="inlineStr">
        <is>
          <t>百度输入法仿iOS26键盘皮肤 | 智能深色 | 仅iOS | 自动发货</t>
        </is>
      </c>
      <c r="B1124" t="inlineStr">
        <is>
          <t>recv8x8Rj1oxuM.jpg</t>
        </is>
      </c>
      <c r="C1124" s="2" t="str">
        <f>=HYPERLINK("https://xhslink.com/m/4hfu0VC1pLe", "https://xhslink.com/m/4hfu0VC1pLe")</f>
        <v>https://xhslink.com/m/4hfu0VC1pLe</v>
      </c>
      <c r="D1124"/>
      <c r="E1124">
        <v>4048</v>
      </c>
      <c r="F1124">
        <v>30</v>
      </c>
      <c r="G1124"/>
      <c r="H1124"/>
      <c r="I1124">
        <v>1000</v>
      </c>
      <c r="J1124"/>
      <c r="K1124" t="inlineStr">
        <is>
          <t>键盘皮肤</t>
        </is>
      </c>
      <c r="L1124" t="inlineStr">
        <is>
          <t>🔥低粉爆款</t>
        </is>
      </c>
      <c r="M1124" t="inlineStr">
        <is>
          <t>Micky-的店</t>
        </is>
      </c>
      <c r="N1124">
        <v>376</v>
      </c>
      <c r="O1124">
        <v>3.96</v>
      </c>
      <c r="P1124">
        <v>4466</v>
      </c>
      <c r="Q1124" t="inlineStr">
        <is>
          <t>68d01488287c750001e1e94a</t>
        </is>
      </c>
      <c r="R1124" t="inlineStr">
        <is>
          <t>🚫重复</t>
        </is>
      </c>
      <c r="S1124" t="inlineStr">
        <is>
          <t>无匹配类别</t>
        </is>
      </c>
      <c r="T1124" t="inlineStr">
        <is>
          <t>10.77</t>
        </is>
      </c>
      <c r="U1124" s="3">
        <v>46112.78107638889</v>
      </c>
      <c r="V1124" t="inlineStr">
        <is>
          <t>虚拟产品</t>
        </is>
      </c>
      <c r="W1124" s="3">
        <v>46039</v>
      </c>
      <c r="X1124" t="inlineStr">
        <is>
          <t>01</t>
        </is>
      </c>
      <c r="Y1124" t="inlineStr">
        <is>
          <t>2026-Q1</t>
        </is>
      </c>
    </row>
    <row r="1125" ht="38.25" customHeight="1">
      <c r="A1125" t="inlineStr">
        <is>
          <t>Qi某某の十一阶 哥特键盘｜会用再拍 虚拟产品不退不换</t>
        </is>
      </c>
      <c r="B1125" t="inlineStr">
        <is>
          <t>recv8x8Rj1XQ5h.jpg</t>
        </is>
      </c>
      <c r="C1125" s="2" t="str">
        <f>=HYPERLINK("https://xhslink.com/m/8pmi9cuKbUq", "https://xhslink.com/m/8pmi9cuKbUq")</f>
        <v>https://xhslink.com/m/8pmi9cuKbUq</v>
      </c>
      <c r="D1125"/>
      <c r="E1125">
        <v>1417</v>
      </c>
      <c r="F1125">
        <v>3.2</v>
      </c>
      <c r="G1125"/>
      <c r="H1125"/>
      <c r="I1125">
        <v>1000</v>
      </c>
      <c r="J1125"/>
      <c r="K1125" t="inlineStr">
        <is>
          <t>键盘皮肤</t>
        </is>
      </c>
      <c r="L1125"/>
      <c r="M1125" t="inlineStr">
        <is>
          <t>Qi某某的店</t>
        </is>
      </c>
      <c r="N1125">
        <v>11000</v>
      </c>
      <c r="O1125">
        <v>4.45</v>
      </c>
      <c r="P1125">
        <v>9760</v>
      </c>
      <c r="Q1125" t="inlineStr">
        <is>
          <t>6919ccf2b4ceb50001a21472</t>
        </is>
      </c>
      <c r="R1125"/>
      <c r="S1125" t="inlineStr">
        <is>
          <t>无匹配类别</t>
        </is>
      </c>
      <c r="T1125" t="inlineStr">
        <is>
          <t>0.13</t>
        </is>
      </c>
      <c r="U1125" s="3">
        <v>46112.78107638889</v>
      </c>
      <c r="V1125" t="inlineStr">
        <is>
          <t>虚拟产品</t>
        </is>
      </c>
      <c r="W1125" s="3">
        <v>46039</v>
      </c>
      <c r="X1125" t="inlineStr">
        <is>
          <t>01</t>
        </is>
      </c>
      <c r="Y1125" t="inlineStr">
        <is>
          <t>2026-Q1</t>
        </is>
      </c>
    </row>
    <row r="1126" ht="38.25" customHeight="1">
      <c r="A1126" t="inlineStr">
        <is>
          <t>2万套手机键盘皮肤 百度输入法 双系统 附教程（看好下单）</t>
        </is>
      </c>
      <c r="B1126" t="inlineStr">
        <is>
          <t>recv8x8Rj1fPSh.jpg</t>
        </is>
      </c>
      <c r="C1126" s="2" t="str">
        <f>=HYPERLINK("https://xhslink.com/m/4qLgzM4VxCD", "https://xhslink.com/m/4qLgzM4VxCD")</f>
        <v>https://xhslink.com/m/4qLgzM4VxCD</v>
      </c>
      <c r="D1126"/>
      <c r="E1126">
        <v>996</v>
      </c>
      <c r="F1126">
        <v>3.99</v>
      </c>
      <c r="G1126"/>
      <c r="H1126"/>
      <c r="I1126">
        <v>400</v>
      </c>
      <c r="J1126"/>
      <c r="K1126" t="inlineStr">
        <is>
          <t>键盘皮肤</t>
        </is>
      </c>
      <c r="L1126" t="inlineStr">
        <is>
          <t>🔥低粉爆款</t>
        </is>
      </c>
      <c r="M1126" t="inlineStr">
        <is>
          <t>软件猫的店</t>
        </is>
      </c>
      <c r="N1126">
        <v>329</v>
      </c>
      <c r="O1126">
        <v>4</v>
      </c>
      <c r="P1126">
        <v>1996</v>
      </c>
      <c r="Q1126" t="inlineStr">
        <is>
          <t>68cf8d99bf5d36000109e6d1</t>
        </is>
      </c>
      <c r="R1126"/>
      <c r="S1126" t="inlineStr">
        <is>
          <t>无匹配类别</t>
        </is>
      </c>
      <c r="T1126" t="inlineStr">
        <is>
          <t>3.03</t>
        </is>
      </c>
      <c r="U1126" s="3">
        <v>46112.78107638889</v>
      </c>
      <c r="V1126" t="inlineStr">
        <is>
          <t>虚拟产品</t>
        </is>
      </c>
      <c r="W1126" s="3">
        <v>46039</v>
      </c>
      <c r="X1126" t="inlineStr">
        <is>
          <t>01</t>
        </is>
      </c>
      <c r="Y1126" t="inlineStr">
        <is>
          <t>2026-Q1</t>
        </is>
      </c>
    </row>
    <row r="1127" ht="38.25" customHeight="1">
      <c r="A1127" t="inlineStr">
        <is>
          <t>「韩系波点」仿iOS韩文盲打双系统百度键盘｜打标发货不退不换</t>
        </is>
      </c>
      <c r="B1127" t="inlineStr">
        <is>
          <t>recv8x8Rj1iJHq.jpg</t>
        </is>
      </c>
      <c r="C1127" s="2" t="str">
        <f>=HYPERLINK("https://xhslink.com/m/4ZifnouKX7E", "https://xhslink.com/m/4ZifnouKX7E")</f>
        <v>https://xhslink.com/m/4ZifnouKX7E</v>
      </c>
      <c r="D1127"/>
      <c r="E1127">
        <v>1060</v>
      </c>
      <c r="F1127">
        <v>3.88</v>
      </c>
      <c r="G1127"/>
      <c r="H1127"/>
      <c r="I1127">
        <v>1000</v>
      </c>
      <c r="J1127"/>
      <c r="K1127" t="inlineStr">
        <is>
          <t>键盘皮肤</t>
        </is>
      </c>
      <c r="L1127"/>
      <c r="M1127" t="inlineStr">
        <is>
          <t>乱记的店</t>
        </is>
      </c>
      <c r="N1127">
        <v>737</v>
      </c>
      <c r="O1127">
        <v>3.73</v>
      </c>
      <c r="P1127">
        <v>3858</v>
      </c>
      <c r="Q1127" t="inlineStr">
        <is>
          <t>6915f8ab390e4c000172319d</t>
        </is>
      </c>
      <c r="R1127"/>
      <c r="S1127" t="inlineStr">
        <is>
          <t>软件应用</t>
        </is>
      </c>
      <c r="T1127" t="inlineStr">
        <is>
          <t>1.44</t>
        </is>
      </c>
      <c r="U1127" s="3">
        <v>46112.78107638889</v>
      </c>
      <c r="V1127" t="inlineStr">
        <is>
          <t>虚拟产品</t>
        </is>
      </c>
      <c r="W1127" s="3">
        <v>46039</v>
      </c>
      <c r="X1127" t="inlineStr">
        <is>
          <t>01</t>
        </is>
      </c>
      <c r="Y1127" t="inlineStr">
        <is>
          <t>2026-Q1</t>
        </is>
      </c>
    </row>
    <row r="1128" ht="38.25" customHeight="1">
      <c r="A1128" t="inlineStr">
        <is>
          <t>[不会用请勿下单]自动发货 miya的绒指數百度键盘皮肤 不退不换</t>
        </is>
      </c>
      <c r="B1128" t="inlineStr">
        <is>
          <t>recv8x8Rj1qEeF.jpg</t>
        </is>
      </c>
      <c r="C1128" s="2" t="str">
        <f>=HYPERLINK("https://xhslink.com/m/2BeM3W4dSMb", "https://xhslink.com/m/2BeM3W4dSMb")</f>
        <v>https://xhslink.com/m/2BeM3W4dSMb</v>
      </c>
      <c r="D1128"/>
      <c r="E1128">
        <v>506</v>
      </c>
      <c r="F1128">
        <v>3.88</v>
      </c>
      <c r="G1128"/>
      <c r="H1128"/>
      <c r="I1128">
        <v>500</v>
      </c>
      <c r="J1128"/>
      <c r="K1128" t="inlineStr">
        <is>
          <t>键盘皮肤</t>
        </is>
      </c>
      <c r="L1128"/>
      <c r="M1128" t="inlineStr">
        <is>
          <t>miya的店</t>
        </is>
      </c>
      <c r="N1128">
        <v>3407</v>
      </c>
      <c r="O1128">
        <v>4.16</v>
      </c>
      <c r="P1128">
        <v>11000</v>
      </c>
      <c r="Q1128" t="inlineStr">
        <is>
          <t>69199cc8d4669a00018aac93</t>
        </is>
      </c>
      <c r="R1128"/>
      <c r="S1128" t="inlineStr">
        <is>
          <t>头像壁纸</t>
        </is>
      </c>
      <c r="T1128" t="inlineStr">
        <is>
          <t>0.15</t>
        </is>
      </c>
      <c r="U1128" s="3">
        <v>46112.78107638889</v>
      </c>
      <c r="V1128" t="inlineStr">
        <is>
          <t>虚拟产品</t>
        </is>
      </c>
      <c r="W1128" s="3">
        <v>46039</v>
      </c>
      <c r="X1128" t="inlineStr">
        <is>
          <t>01</t>
        </is>
      </c>
      <c r="Y1128" t="inlineStr">
        <is>
          <t>2026-Q1</t>
        </is>
      </c>
    </row>
    <row r="1129" ht="38.25" customHeight="1">
      <c r="A1129" t="inlineStr">
        <is>
          <t>百度输入法iOS26键盘主题色皮肤 | 智能深色 | 仅iOS</t>
        </is>
      </c>
      <c r="B1129" t="inlineStr">
        <is>
          <t>recv8x8Rj12xt2.jpg</t>
        </is>
      </c>
      <c r="C1129" s="2" t="str">
        <f>=HYPERLINK("https://xhslink.com/m/3ti2igY7Ijy", "https://xhslink.com/m/3ti2igY7Ijy")</f>
        <v>https://xhslink.com/m/3ti2igY7Ijy</v>
      </c>
      <c r="D1129"/>
      <c r="E1129">
        <v>418</v>
      </c>
      <c r="F1129">
        <v>30</v>
      </c>
      <c r="G1129"/>
      <c r="H1129"/>
      <c r="I1129">
        <v>300</v>
      </c>
      <c r="J1129"/>
      <c r="K1129" t="inlineStr">
        <is>
          <t>键盘皮肤</t>
        </is>
      </c>
      <c r="L1129"/>
      <c r="M1129" t="inlineStr">
        <is>
          <t>Micky-的店</t>
        </is>
      </c>
      <c r="N1129">
        <v>376</v>
      </c>
      <c r="O1129">
        <v>3.96</v>
      </c>
      <c r="P1129">
        <v>4466</v>
      </c>
      <c r="Q1129" t="inlineStr">
        <is>
          <t>68f2244d4a000000014f6d67</t>
        </is>
      </c>
      <c r="R1129" t="inlineStr">
        <is>
          <t>🚫重复</t>
        </is>
      </c>
      <c r="S1129" t="inlineStr">
        <is>
          <t>软件应用</t>
        </is>
      </c>
      <c r="T1129" t="inlineStr">
        <is>
          <t>1.11</t>
        </is>
      </c>
      <c r="U1129" s="3">
        <v>46112.78107638889</v>
      </c>
      <c r="V1129" t="inlineStr">
        <is>
          <t>虚拟产品</t>
        </is>
      </c>
      <c r="W1129" s="3">
        <v>46039</v>
      </c>
      <c r="X1129" t="inlineStr">
        <is>
          <t>01</t>
        </is>
      </c>
      <c r="Y1129" t="inlineStr">
        <is>
          <t>2026-Q1</t>
        </is>
      </c>
    </row>
    <row r="1130" ht="38.25" customHeight="1">
      <c r="A1130" t="inlineStr">
        <is>
          <t>备考26年初级中级社会工作者网课视频题库王小兰社工课程精讲课程</t>
        </is>
      </c>
      <c r="B1130" t="inlineStr">
        <is>
          <t>recv8x8Rj1TIuQ.jpg</t>
        </is>
      </c>
      <c r="C1130" s="2" t="str">
        <f>=HYPERLINK("https://xhslink.com/m/8GsMk2lK9J0", "https://xhslink.com/m/8GsMk2lK9J0")</f>
        <v>https://xhslink.com/m/8GsMk2lK9J0</v>
      </c>
      <c r="D1130"/>
      <c r="E1130">
        <v>11000</v>
      </c>
      <c r="F1130">
        <v>128.6</v>
      </c>
      <c r="G1130"/>
      <c r="H1130"/>
      <c r="I1130">
        <v>700</v>
      </c>
      <c r="J1130"/>
      <c r="K1130" t="inlineStr">
        <is>
          <t>教辅资料</t>
        </is>
      </c>
      <c r="L1130"/>
      <c r="M1130" t="inlineStr">
        <is>
          <t>乐X峰题库I星途的店</t>
        </is>
      </c>
      <c r="N1130">
        <v>12000</v>
      </c>
      <c r="O1130">
        <v>4.52</v>
      </c>
      <c r="P1130">
        <v>77000</v>
      </c>
      <c r="Q1130" t="inlineStr">
        <is>
          <t>67a0cc1596b36c000112708f</t>
        </is>
      </c>
      <c r="R1130" t="inlineStr">
        <is>
          <t>🚫重复</t>
        </is>
      </c>
      <c r="S1130" t="inlineStr">
        <is>
          <t>生活成长</t>
        </is>
      </c>
      <c r="T1130" t="inlineStr">
        <is>
          <t>0.92</t>
        </is>
      </c>
      <c r="U1130" s="3">
        <v>46112.78107638889</v>
      </c>
      <c r="V1130" t="inlineStr">
        <is>
          <t>虚拟产品</t>
        </is>
      </c>
      <c r="W1130" s="3">
        <v>46039</v>
      </c>
      <c r="X1130" t="inlineStr">
        <is>
          <t>01</t>
        </is>
      </c>
      <c r="Y1130" t="inlineStr">
        <is>
          <t>2026-Q1</t>
        </is>
      </c>
    </row>
    <row r="1131" ht="38.25" customHeight="1">
      <c r="A1131" t="inlineStr">
        <is>
          <t>【学习卡+工具】哈佛爸爸给孩子的心理成长必修课</t>
        </is>
      </c>
      <c r="B1131" t="inlineStr">
        <is>
          <t>recv8x8Rj1g5Py.jpg</t>
        </is>
      </c>
      <c r="C1131" s="2" t="str">
        <f>=HYPERLINK("https://xhslink.com/m/9ljziz1I7Uu", "https://xhslink.com/m/9ljziz1I7Uu")</f>
        <v>https://xhslink.com/m/9ljziz1I7Uu</v>
      </c>
      <c r="D1131"/>
      <c r="E1131">
        <v>10000</v>
      </c>
      <c r="F1131">
        <v>559</v>
      </c>
      <c r="G1131"/>
      <c r="H1131"/>
      <c r="I1131">
        <v>500</v>
      </c>
      <c r="J1131"/>
      <c r="K1131" t="inlineStr">
        <is>
          <t>教辅资料</t>
        </is>
      </c>
      <c r="L1131"/>
      <c r="M1131" t="inlineStr">
        <is>
          <t>小学者的店</t>
        </is>
      </c>
      <c r="N1131">
        <v>84000</v>
      </c>
      <c r="O1131">
        <v>4.72</v>
      </c>
      <c r="P1131">
        <v>178000</v>
      </c>
      <c r="Q1131" t="inlineStr">
        <is>
          <t>67ff440aa7524b0001d7dea9</t>
        </is>
      </c>
      <c r="R1131" t="inlineStr">
        <is>
          <t>🚫重复</t>
        </is>
      </c>
      <c r="S1131" t="inlineStr">
        <is>
          <t>生活成长</t>
        </is>
      </c>
      <c r="T1131" t="inlineStr">
        <is>
          <t>0.12</t>
        </is>
      </c>
      <c r="U1131" s="3">
        <v>46112.78107638889</v>
      </c>
      <c r="V1131" t="inlineStr">
        <is>
          <t>虚拟产品</t>
        </is>
      </c>
      <c r="W1131" s="3">
        <v>46039</v>
      </c>
      <c r="X1131" t="inlineStr">
        <is>
          <t>01</t>
        </is>
      </c>
      <c r="Y1131" t="inlineStr">
        <is>
          <t>2026-Q1</t>
        </is>
      </c>
    </row>
    <row r="1132" ht="38.25" customHeight="1">
      <c r="A1132" t="inlineStr">
        <is>
          <t>Skye的雅思大小作文全家桶_26年已更新</t>
        </is>
      </c>
      <c r="B1132" t="inlineStr">
        <is>
          <t>recv8x8Rj19evw.jpg</t>
        </is>
      </c>
      <c r="C1132" s="2" t="str">
        <f>=HYPERLINK("https://xhslink.com/m/1Cp2zUyFgel", "https://xhslink.com/m/1Cp2zUyFgel")</f>
        <v>https://xhslink.com/m/1Cp2zUyFgel</v>
      </c>
      <c r="D1132"/>
      <c r="E1132">
        <v>8492</v>
      </c>
      <c r="F1132">
        <v>89</v>
      </c>
      <c r="G1132"/>
      <c r="H1132"/>
      <c r="I1132">
        <v>1000</v>
      </c>
      <c r="J1132"/>
      <c r="K1132" t="inlineStr">
        <is>
          <t>教辅资料</t>
        </is>
      </c>
      <c r="L1132"/>
      <c r="M1132" t="inlineStr">
        <is>
          <t>Skye学英语【全家桶版】的店</t>
        </is>
      </c>
      <c r="N1132">
        <v>19000</v>
      </c>
      <c r="O1132">
        <v>4.59</v>
      </c>
      <c r="P1132">
        <v>15000</v>
      </c>
      <c r="Q1132" t="inlineStr">
        <is>
          <t>675c6455faaaf300016db7eb</t>
        </is>
      </c>
      <c r="R1132" t="inlineStr">
        <is>
          <t>🚫重复</t>
        </is>
      </c>
      <c r="S1132" t="inlineStr">
        <is>
          <t>英语资料</t>
        </is>
      </c>
      <c r="T1132" t="inlineStr">
        <is>
          <t>0.45</t>
        </is>
      </c>
      <c r="U1132" s="3">
        <v>46112.78107638889</v>
      </c>
      <c r="V1132" t="inlineStr">
        <is>
          <t>虚拟产品</t>
        </is>
      </c>
      <c r="W1132" s="3">
        <v>46039</v>
      </c>
      <c r="X1132" t="inlineStr">
        <is>
          <t>01</t>
        </is>
      </c>
      <c r="Y1132" t="inlineStr">
        <is>
          <t>2026-Q1</t>
        </is>
      </c>
    </row>
    <row r="1133" ht="38.25" customHeight="1">
      <c r="A1133" t="inlineStr">
        <is>
          <t>小学一二三年级上下册口算题卡每天100道数学题口算速算天天练XLR</t>
        </is>
      </c>
      <c r="B1133" t="inlineStr">
        <is>
          <t>recv8x8Rj1nWpX.jpg</t>
        </is>
      </c>
      <c r="C1133" s="2" t="str">
        <f>=HYPERLINK("https://xhslink.com/m/5TxH0aDOuOt", "https://xhslink.com/m/5TxH0aDOuOt")</f>
        <v>https://xhslink.com/m/5TxH0aDOuOt</v>
      </c>
      <c r="D1133"/>
      <c r="E1133">
        <v>8229</v>
      </c>
      <c r="F1133">
        <v>8.8</v>
      </c>
      <c r="G1133"/>
      <c r="H1133"/>
      <c r="I1133">
        <v>1000</v>
      </c>
      <c r="J1133"/>
      <c r="K1133" t="inlineStr">
        <is>
          <t>教辅资料</t>
        </is>
      </c>
      <c r="L1133" t="inlineStr">
        <is>
          <t>🔥低粉爆款</t>
        </is>
      </c>
      <c r="M1133" t="inlineStr">
        <is>
          <t>未雨童书的店</t>
        </is>
      </c>
      <c r="N1133">
        <v>278</v>
      </c>
      <c r="O1133">
        <v>4.53</v>
      </c>
      <c r="P1133">
        <v>10000</v>
      </c>
      <c r="Q1133" t="inlineStr">
        <is>
          <t>65031abcec7415000196c0dd</t>
        </is>
      </c>
      <c r="R1133"/>
      <c r="S1133" t="inlineStr">
        <is>
          <t>中小学教辅/教材</t>
        </is>
      </c>
      <c r="T1133" t="inlineStr">
        <is>
          <t>29.60</t>
        </is>
      </c>
      <c r="U1133" s="3">
        <v>46112.78107638889</v>
      </c>
      <c r="V1133" t="inlineStr">
        <is>
          <t>虚拟产品</t>
        </is>
      </c>
      <c r="W1133" s="3">
        <v>46039</v>
      </c>
      <c r="X1133" t="inlineStr">
        <is>
          <t>01</t>
        </is>
      </c>
      <c r="Y1133" t="inlineStr">
        <is>
          <t>2026-Q1</t>
        </is>
      </c>
    </row>
    <row r="1134" ht="38.25" customHeight="1">
      <c r="A1134" t="inlineStr">
        <is>
          <t>ppt · 小学生主题班会PPT模板</t>
        </is>
      </c>
      <c r="B1134" t="inlineStr">
        <is>
          <t>recv8x8Rj1CGAG.jpg</t>
        </is>
      </c>
      <c r="C1134" s="2" t="str">
        <f>=HYPERLINK("https://xhslink.com/m/7eirps8nUwV", "https://xhslink.com/m/7eirps8nUwV")</f>
        <v>https://xhslink.com/m/7eirps8nUwV</v>
      </c>
      <c r="D1134"/>
      <c r="E1134">
        <v>6055</v>
      </c>
      <c r="F1134">
        <v>9.9</v>
      </c>
      <c r="G1134"/>
      <c r="H1134"/>
      <c r="I1134">
        <v>700</v>
      </c>
      <c r="J1134"/>
      <c r="K1134" t="inlineStr">
        <is>
          <t>主题班会PPT</t>
        </is>
      </c>
      <c r="L1134"/>
      <c r="M1134" t="inlineStr">
        <is>
          <t>五灵威力豆豆妈的店</t>
        </is>
      </c>
      <c r="N1134">
        <v>5731</v>
      </c>
      <c r="O1134">
        <v>4.49</v>
      </c>
      <c r="P1134">
        <v>6074</v>
      </c>
      <c r="Q1134" t="inlineStr">
        <is>
          <t>64831096aabba500019a324e</t>
        </is>
      </c>
      <c r="R1134"/>
      <c r="S1134" t="inlineStr">
        <is>
          <t>PPT模板</t>
        </is>
      </c>
      <c r="T1134" t="inlineStr">
        <is>
          <t>1.06</t>
        </is>
      </c>
      <c r="U1134" s="3">
        <v>46112.78107638889</v>
      </c>
      <c r="V1134" t="inlineStr">
        <is>
          <t>虚拟产品</t>
        </is>
      </c>
      <c r="W1134" s="3">
        <v>46039</v>
      </c>
      <c r="X1134" t="inlineStr">
        <is>
          <t>01</t>
        </is>
      </c>
      <c r="Y1134" t="inlineStr">
        <is>
          <t>2026-Q1</t>
        </is>
      </c>
    </row>
    <row r="1135" ht="38.25" customHeight="1">
      <c r="A1135" t="inlineStr">
        <is>
          <t>人生拍卖会班会PPT课件+教案+逐字稿</t>
        </is>
      </c>
      <c r="B1135" t="inlineStr">
        <is>
          <t>recv8x8Rj1n2bu.jpg</t>
        </is>
      </c>
      <c r="C1135" s="2" t="str">
        <f>=HYPERLINK("https://xhslink.com/m/6Ja7XZRXqvM", "https://xhslink.com/m/6Ja7XZRXqvM")</f>
        <v>https://xhslink.com/m/6Ja7XZRXqvM</v>
      </c>
      <c r="D1135"/>
      <c r="E1135">
        <v>1743</v>
      </c>
      <c r="F1135">
        <v>12.9</v>
      </c>
      <c r="G1135"/>
      <c r="H1135"/>
      <c r="I1135">
        <v>400</v>
      </c>
      <c r="J1135"/>
      <c r="K1135" t="inlineStr">
        <is>
          <t>主题班会PPT</t>
        </is>
      </c>
      <c r="L1135"/>
      <c r="M1135" t="inlineStr">
        <is>
          <t>黑猫老师原创课件的店</t>
        </is>
      </c>
      <c r="N1135">
        <v>27000</v>
      </c>
      <c r="O1135">
        <v>4.26</v>
      </c>
      <c r="P1135">
        <v>39000</v>
      </c>
      <c r="Q1135" t="inlineStr">
        <is>
          <t>678cfcd875ca3a0001274fb6</t>
        </is>
      </c>
      <c r="R1135"/>
      <c r="S1135" t="inlineStr">
        <is>
          <t>PPT模板</t>
        </is>
      </c>
      <c r="T1135" t="inlineStr">
        <is>
          <t>0.06</t>
        </is>
      </c>
      <c r="U1135" s="3">
        <v>46112.78107638889</v>
      </c>
      <c r="V1135" t="inlineStr">
        <is>
          <t>虚拟产品</t>
        </is>
      </c>
      <c r="W1135" s="3">
        <v>46039</v>
      </c>
      <c r="X1135" t="inlineStr">
        <is>
          <t>01</t>
        </is>
      </c>
      <c r="Y1135" t="inlineStr">
        <is>
          <t>2026-Q1</t>
        </is>
      </c>
    </row>
    <row r="1136" ht="38.25" customHeight="1">
      <c r="A1136" t="inlineStr">
        <is>
          <t>凝聚力团结主题班会PPT公开课课件(配教案、逐字稿)</t>
        </is>
      </c>
      <c r="B1136" t="inlineStr">
        <is>
          <t>recv8x8Rj1ApZc.jpg</t>
        </is>
      </c>
      <c r="C1136" s="2" t="str">
        <f>=HYPERLINK("https://xhslink.com/m/7t84GdwNu57", "https://xhslink.com/m/7t84GdwNu57")</f>
        <v>https://xhslink.com/m/7t84GdwNu57</v>
      </c>
      <c r="D1136"/>
      <c r="E1136">
        <v>1763</v>
      </c>
      <c r="F1136">
        <v>12.99</v>
      </c>
      <c r="G1136"/>
      <c r="H1136"/>
      <c r="I1136">
        <v>300</v>
      </c>
      <c r="J1136"/>
      <c r="K1136" t="inlineStr">
        <is>
          <t>主题班会PPT</t>
        </is>
      </c>
      <c r="L1136"/>
      <c r="M1136" t="inlineStr">
        <is>
          <t>三知老师的店</t>
        </is>
      </c>
      <c r="N1136">
        <v>6942</v>
      </c>
      <c r="O1136">
        <v>4.04</v>
      </c>
      <c r="P1136">
        <v>21000</v>
      </c>
      <c r="Q1136" t="inlineStr">
        <is>
          <t>65cb2a4837ae240001c397a4</t>
        </is>
      </c>
      <c r="R1136"/>
      <c r="S1136" t="inlineStr">
        <is>
          <t>PPT模板</t>
        </is>
      </c>
      <c r="T1136" t="inlineStr">
        <is>
          <t>0.25</t>
        </is>
      </c>
      <c r="U1136" s="3">
        <v>46112.78107638889</v>
      </c>
      <c r="V1136" t="inlineStr">
        <is>
          <t>虚拟产品</t>
        </is>
      </c>
      <c r="W1136" s="3">
        <v>46039</v>
      </c>
      <c r="X1136" t="inlineStr">
        <is>
          <t>01</t>
        </is>
      </c>
      <c r="Y1136" t="inlineStr">
        <is>
          <t>2026-Q1</t>
        </is>
      </c>
    </row>
    <row r="1137" ht="38.25" customHeight="1">
      <c r="A1137" t="inlineStr">
        <is>
          <t>愿我们都有被讨厌的勇气ppt  被讨厌的勇气 心理演讲 班会课 ppt</t>
        </is>
      </c>
      <c r="B1137" t="inlineStr">
        <is>
          <t>recv8x8Rj1GKiX.jpg</t>
        </is>
      </c>
      <c r="C1137" s="2" t="str">
        <f>=HYPERLINK("https://xhslink.com/m/15xGUXOknK5", "https://xhslink.com/m/15xGUXOknK5")</f>
        <v>https://xhslink.com/m/15xGUXOknK5</v>
      </c>
      <c r="D1137"/>
      <c r="E1137">
        <v>1422</v>
      </c>
      <c r="F1137">
        <v>5.9</v>
      </c>
      <c r="G1137"/>
      <c r="H1137"/>
      <c r="I1137">
        <v>1000</v>
      </c>
      <c r="J1137"/>
      <c r="K1137" t="inlineStr">
        <is>
          <t>主题班会PPT</t>
        </is>
      </c>
      <c r="L1137"/>
      <c r="M1137" t="inlineStr">
        <is>
          <t>泡泡奶酱的店</t>
        </is>
      </c>
      <c r="N1137">
        <v>5947</v>
      </c>
      <c r="O1137">
        <v>4.04</v>
      </c>
      <c r="P1137">
        <v>8912</v>
      </c>
      <c r="Q1137" t="inlineStr">
        <is>
          <t>68ce6c4bc72840000111f53b</t>
        </is>
      </c>
      <c r="R1137" t="inlineStr">
        <is>
          <t>🚫重复</t>
        </is>
      </c>
      <c r="S1137" t="inlineStr">
        <is>
          <t>PPT模板</t>
        </is>
      </c>
      <c r="T1137" t="inlineStr">
        <is>
          <t>0.24</t>
        </is>
      </c>
      <c r="U1137" s="3">
        <v>46112.78107638889</v>
      </c>
      <c r="V1137" t="inlineStr">
        <is>
          <t>虚拟产品</t>
        </is>
      </c>
      <c r="W1137" s="3">
        <v>46039</v>
      </c>
      <c r="X1137" t="inlineStr">
        <is>
          <t>01</t>
        </is>
      </c>
      <c r="Y1137" t="inlineStr">
        <is>
          <t>2026-Q1</t>
        </is>
      </c>
    </row>
    <row r="1138" ht="38.25" customHeight="1">
      <c r="A1138" t="inlineStr">
        <is>
          <t>中小学主题班会PPT【自选主题秒发】</t>
        </is>
      </c>
      <c r="B1138" t="inlineStr">
        <is>
          <t>recv8x8Rj1bwMP.jpg</t>
        </is>
      </c>
      <c r="C1138" s="2" t="str">
        <f>=HYPERLINK("https://xhslink.com/m/254mF6exBsT", "https://xhslink.com/m/254mF6exBsT")</f>
        <v>https://xhslink.com/m/254mF6exBsT</v>
      </c>
      <c r="D1138"/>
      <c r="E1138">
        <v>987</v>
      </c>
      <c r="F1138">
        <v>9.8</v>
      </c>
      <c r="G1138"/>
      <c r="H1138"/>
      <c r="I1138">
        <v>900</v>
      </c>
      <c r="J1138"/>
      <c r="K1138" t="inlineStr">
        <is>
          <t>主题班会PPT</t>
        </is>
      </c>
      <c r="L1138" t="inlineStr">
        <is>
          <t>🔥低粉爆款</t>
        </is>
      </c>
      <c r="M1138" t="inlineStr">
        <is>
          <t>赵老师教务PPT的店</t>
        </is>
      </c>
      <c r="N1138">
        <v>326</v>
      </c>
      <c r="O1138">
        <v>4.03</v>
      </c>
      <c r="P1138">
        <v>1666</v>
      </c>
      <c r="Q1138" t="inlineStr">
        <is>
          <t>694386694d11d7000158407a</t>
        </is>
      </c>
      <c r="R1138" t="inlineStr">
        <is>
          <t>🚫重复</t>
        </is>
      </c>
      <c r="S1138" t="inlineStr">
        <is>
          <t>PPT模板</t>
        </is>
      </c>
      <c r="T1138" t="inlineStr">
        <is>
          <t>3.03</t>
        </is>
      </c>
      <c r="U1138" s="3">
        <v>46112.78107638889</v>
      </c>
      <c r="V1138" t="inlineStr">
        <is>
          <t>虚拟产品</t>
        </is>
      </c>
      <c r="W1138" s="3">
        <v>46039</v>
      </c>
      <c r="X1138" t="inlineStr">
        <is>
          <t>01</t>
        </is>
      </c>
      <c r="Y1138" t="inlineStr">
        <is>
          <t>2026-Q1</t>
        </is>
      </c>
    </row>
    <row r="1139" ht="38.25" customHeight="1">
      <c r="A1139" t="inlineStr">
        <is>
          <t>文明礼仪主题班会｜ppt+配套逐字稿 教学设计</t>
        </is>
      </c>
      <c r="B1139" t="inlineStr">
        <is>
          <t>recv8x8Rj1PhSN.jpg</t>
        </is>
      </c>
      <c r="C1139" s="2" t="str">
        <f>=HYPERLINK("https://xhslink.com/m/20sZRJTAr2A", "https://xhslink.com/m/20sZRJTAr2A")</f>
        <v>https://xhslink.com/m/20sZRJTAr2A</v>
      </c>
      <c r="D1139"/>
      <c r="E1139">
        <v>866</v>
      </c>
      <c r="F1139">
        <v>12.8</v>
      </c>
      <c r="G1139"/>
      <c r="H1139"/>
      <c r="I1139">
        <v>400</v>
      </c>
      <c r="J1139"/>
      <c r="K1139" t="inlineStr">
        <is>
          <t>主题班会PPT</t>
        </is>
      </c>
      <c r="L1139"/>
      <c r="M1139" t="inlineStr">
        <is>
          <t>松子老师🌰 备课铺的店</t>
        </is>
      </c>
      <c r="N1139">
        <v>7749</v>
      </c>
      <c r="O1139">
        <v>4.24</v>
      </c>
      <c r="P1139">
        <v>29000</v>
      </c>
      <c r="Q1139" t="inlineStr">
        <is>
          <t>6857da99835e250001149083</t>
        </is>
      </c>
      <c r="R1139"/>
      <c r="S1139" t="inlineStr">
        <is>
          <t>PPT模板</t>
        </is>
      </c>
      <c r="T1139" t="inlineStr">
        <is>
          <t>0.11</t>
        </is>
      </c>
      <c r="U1139" s="3">
        <v>46112.78107638889</v>
      </c>
      <c r="V1139" t="inlineStr">
        <is>
          <t>虚拟产品</t>
        </is>
      </c>
      <c r="W1139" s="3">
        <v>46039</v>
      </c>
      <c r="X1139" t="inlineStr">
        <is>
          <t>01</t>
        </is>
      </c>
      <c r="Y1139" t="inlineStr">
        <is>
          <t>2026-Q1</t>
        </is>
      </c>
    </row>
    <row r="1140" ht="38.25" customHeight="1">
      <c r="A1140" t="inlineStr">
        <is>
          <t>2025年秋季最新主题班会课件【持续更新】</t>
        </is>
      </c>
      <c r="B1140" t="inlineStr">
        <is>
          <t>recv8x8Rj1bbQE.jpg</t>
        </is>
      </c>
      <c r="C1140" s="2" t="str">
        <f>=HYPERLINK("https://xhslink.com/m/7OLUWhks4oL", "https://xhslink.com/m/7OLUWhks4oL")</f>
        <v>https://xhslink.com/m/7OLUWhks4oL</v>
      </c>
      <c r="D1140"/>
      <c r="E1140">
        <v>841</v>
      </c>
      <c r="F1140">
        <v>29.9</v>
      </c>
      <c r="G1140"/>
      <c r="H1140"/>
      <c r="I1140">
        <v>800</v>
      </c>
      <c r="J1140"/>
      <c r="K1140" t="inlineStr">
        <is>
          <t>主题班会PPT</t>
        </is>
      </c>
      <c r="L1140"/>
      <c r="M1140" t="inlineStr">
        <is>
          <t>小张老师sunshine的店</t>
        </is>
      </c>
      <c r="N1140">
        <v>505</v>
      </c>
      <c r="O1140">
        <v>4.08</v>
      </c>
      <c r="P1140">
        <v>3998</v>
      </c>
      <c r="Q1140" t="inlineStr">
        <is>
          <t>68f5d5c8e37943000147d5c4</t>
        </is>
      </c>
      <c r="R1140" t="inlineStr">
        <is>
          <t>🚫重复</t>
        </is>
      </c>
      <c r="S1140" t="inlineStr">
        <is>
          <t>中小学教辅/教材</t>
        </is>
      </c>
      <c r="T1140" t="inlineStr">
        <is>
          <t>1.67</t>
        </is>
      </c>
      <c r="U1140" s="3">
        <v>46112.78107638889</v>
      </c>
      <c r="V1140" t="inlineStr">
        <is>
          <t>虚拟产品</t>
        </is>
      </c>
      <c r="W1140" s="3">
        <v>46039</v>
      </c>
      <c r="X1140" t="inlineStr">
        <is>
          <t>01</t>
        </is>
      </c>
      <c r="Y1140" t="inlineStr">
        <is>
          <t>2026-Q1</t>
        </is>
      </c>
    </row>
    <row r="1141" ht="38.25" customHeight="1">
      <c r="A1141" t="inlineStr">
        <is>
          <t>拒绝校园欺凌主题班会ppt课件+教案+逐字稿</t>
        </is>
      </c>
      <c r="B1141" t="inlineStr">
        <is>
          <t>recv8x8Rj13FnP.jpg</t>
        </is>
      </c>
      <c r="C1141" s="2" t="str">
        <f>=HYPERLINK("https://xhslink.com/m/7tRq4a0ZhYz", "https://xhslink.com/m/7tRq4a0ZhYz")</f>
        <v>https://xhslink.com/m/7tRq4a0ZhYz</v>
      </c>
      <c r="D1141"/>
      <c r="E1141">
        <v>686</v>
      </c>
      <c r="F1141">
        <v>12.9</v>
      </c>
      <c r="G1141"/>
      <c r="H1141"/>
      <c r="I1141">
        <v>400</v>
      </c>
      <c r="J1141"/>
      <c r="K1141" t="inlineStr">
        <is>
          <t>主题班会PPT</t>
        </is>
      </c>
      <c r="L1141"/>
      <c r="M1141" t="inlineStr">
        <is>
          <t>桂老师中小学优质课的店</t>
        </is>
      </c>
      <c r="N1141">
        <v>2495</v>
      </c>
      <c r="O1141">
        <v>4.2</v>
      </c>
      <c r="P1141">
        <v>9582</v>
      </c>
      <c r="Q1141" t="inlineStr">
        <is>
          <t>68c11b21f38f9700010a75dd</t>
        </is>
      </c>
      <c r="R1141" t="inlineStr">
        <is>
          <t>🚫重复</t>
        </is>
      </c>
      <c r="S1141" t="inlineStr">
        <is>
          <t>PPT模板</t>
        </is>
      </c>
      <c r="T1141" t="inlineStr">
        <is>
          <t>0.27</t>
        </is>
      </c>
      <c r="U1141" s="3">
        <v>46112.78107638889</v>
      </c>
      <c r="V1141" t="inlineStr">
        <is>
          <t>虚拟产品</t>
        </is>
      </c>
      <c r="W1141" s="3">
        <v>46039</v>
      </c>
      <c r="X1141" t="inlineStr">
        <is>
          <t>01</t>
        </is>
      </c>
      <c r="Y1141" t="inlineStr">
        <is>
          <t>2026-Q1</t>
        </is>
      </c>
    </row>
    <row r="1142" ht="38.25" customHeight="1">
      <c r="A1142" t="inlineStr">
        <is>
          <t>中小学主题班会PPT 持续更新中……（秒发货）</t>
        </is>
      </c>
      <c r="B1142" t="inlineStr">
        <is>
          <t>recv8x8Rj1mKSV.jpg</t>
        </is>
      </c>
      <c r="C1142" s="2" t="str">
        <f>=HYPERLINK("https://xhslink.com/m/8EfIpweFzwV", "https://xhslink.com/m/8EfIpweFzwV")</f>
        <v>https://xhslink.com/m/8EfIpweFzwV</v>
      </c>
      <c r="D1142"/>
      <c r="E1142">
        <v>632</v>
      </c>
      <c r="F1142">
        <v>12.99</v>
      </c>
      <c r="G1142"/>
      <c r="H1142"/>
      <c r="I1142">
        <v>600</v>
      </c>
      <c r="J1142"/>
      <c r="K1142" t="inlineStr">
        <is>
          <t>主题班会PPT</t>
        </is>
      </c>
      <c r="L1142"/>
      <c r="M1142" t="inlineStr">
        <is>
          <t>知了分享的店</t>
        </is>
      </c>
      <c r="N1142">
        <v>260</v>
      </c>
      <c r="O1142">
        <v>3.95</v>
      </c>
      <c r="P1142">
        <v>646</v>
      </c>
      <c r="Q1142" t="inlineStr">
        <is>
          <t>6921ca2efb6e0d00012f4b64</t>
        </is>
      </c>
      <c r="R1142"/>
      <c r="S1142" t="inlineStr">
        <is>
          <t>PPT模板</t>
        </is>
      </c>
      <c r="T1142" t="inlineStr">
        <is>
          <t>2.43</t>
        </is>
      </c>
      <c r="U1142" s="3">
        <v>46112.78107638889</v>
      </c>
      <c r="V1142" t="inlineStr">
        <is>
          <t>虚拟产品</t>
        </is>
      </c>
      <c r="W1142" s="3">
        <v>46039</v>
      </c>
      <c r="X1142" t="inlineStr">
        <is>
          <t>01</t>
        </is>
      </c>
      <c r="Y1142" t="inlineStr">
        <is>
          <t>2026-Q1</t>
        </is>
      </c>
    </row>
    <row r="1143" ht="38.25" customHeight="1">
      <c r="A1143" t="inlineStr">
        <is>
          <t>爱国教育主题班会课件ppt+教案+讲稿</t>
        </is>
      </c>
      <c r="B1143" t="inlineStr">
        <is>
          <t>recv8x8Rj1kKF1.jpg</t>
        </is>
      </c>
      <c r="C1143" s="2" t="str">
        <f>=HYPERLINK("https://xhslink.com/m/zAD8CwOhJD", "https://xhslink.com/m/zAD8CwOhJD")</f>
        <v>https://xhslink.com/m/zAD8CwOhJD</v>
      </c>
      <c r="D1143"/>
      <c r="E1143">
        <v>505</v>
      </c>
      <c r="F1143">
        <v>12.9</v>
      </c>
      <c r="G1143"/>
      <c r="H1143"/>
      <c r="I1143">
        <v>300</v>
      </c>
      <c r="J1143"/>
      <c r="K1143" t="inlineStr">
        <is>
          <t>主题班会PPT</t>
        </is>
      </c>
      <c r="L1143"/>
      <c r="M1143" t="inlineStr">
        <is>
          <t>桂老师中小学优质课的店</t>
        </is>
      </c>
      <c r="N1143">
        <v>2495</v>
      </c>
      <c r="O1143">
        <v>4.2</v>
      </c>
      <c r="P1143">
        <v>9582</v>
      </c>
      <c r="Q1143" t="inlineStr">
        <is>
          <t>68d267224daabe000139278c</t>
        </is>
      </c>
      <c r="R1143" t="inlineStr">
        <is>
          <t>🚫重复</t>
        </is>
      </c>
      <c r="S1143" t="inlineStr">
        <is>
          <t>PPT模板</t>
        </is>
      </c>
      <c r="T1143" t="inlineStr">
        <is>
          <t>0.20</t>
        </is>
      </c>
      <c r="U1143" s="3">
        <v>46112.78107638889</v>
      </c>
      <c r="V1143" t="inlineStr">
        <is>
          <t>虚拟产品</t>
        </is>
      </c>
      <c r="W1143" s="3">
        <v>46039</v>
      </c>
      <c r="X1143" t="inlineStr">
        <is>
          <t>01</t>
        </is>
      </c>
      <c r="Y1143" t="inlineStr">
        <is>
          <t>2026-Q1</t>
        </is>
      </c>
    </row>
    <row r="1144" ht="38.25" customHeight="1">
      <c r="A1144" t="inlineStr">
        <is>
          <t>静态小学初中班会ppt模板</t>
        </is>
      </c>
      <c r="B1144" t="inlineStr">
        <is>
          <t>recv8x8Rj1VUV6.jpg</t>
        </is>
      </c>
      <c r="C1144" s="2" t="str">
        <f>=HYPERLINK("https://xhslink.com/m/3A8fz2P4BKz", "https://xhslink.com/m/3A8fz2P4BKz")</f>
        <v>https://xhslink.com/m/3A8fz2P4BKz</v>
      </c>
      <c r="D1144"/>
      <c r="E1144">
        <v>502</v>
      </c>
      <c r="F1144">
        <v>7.9</v>
      </c>
      <c r="G1144"/>
      <c r="H1144"/>
      <c r="I1144">
        <v>400</v>
      </c>
      <c r="J1144"/>
      <c r="K1144" t="inlineStr">
        <is>
          <t>主题班会PPT</t>
        </is>
      </c>
      <c r="L1144"/>
      <c r="M1144" t="inlineStr">
        <is>
          <t>小如同学的资料的店</t>
        </is>
      </c>
      <c r="N1144">
        <v>10000</v>
      </c>
      <c r="O1144">
        <v>4.39</v>
      </c>
      <c r="P1144">
        <v>34000</v>
      </c>
      <c r="Q1144" t="inlineStr">
        <is>
          <t>69341d677a38a600015be0f7</t>
        </is>
      </c>
      <c r="R1144"/>
      <c r="S1144" t="inlineStr">
        <is>
          <t>PPT模板</t>
        </is>
      </c>
      <c r="T1144" t="inlineStr">
        <is>
          <t>0.05</t>
        </is>
      </c>
      <c r="U1144" s="3">
        <v>46112.78107638889</v>
      </c>
      <c r="V1144" t="inlineStr">
        <is>
          <t>虚拟产品</t>
        </is>
      </c>
      <c r="W1144" s="3">
        <v>46039</v>
      </c>
      <c r="X1144" t="inlineStr">
        <is>
          <t>01</t>
        </is>
      </c>
      <c r="Y1144" t="inlineStr">
        <is>
          <t>2026-Q1</t>
        </is>
      </c>
    </row>
    <row r="1145" ht="38.25" customHeight="1">
      <c r="A1145" t="inlineStr">
        <is>
          <t>情绪管理主题班会PPT课件+教案+逐字稿</t>
        </is>
      </c>
      <c r="B1145" t="inlineStr">
        <is>
          <t>recv8x8Rj1oEYw.jpg</t>
        </is>
      </c>
      <c r="C1145" s="2" t="str">
        <f>=HYPERLINK("https://xhslink.com/m/3W0oVduCxjm", "https://xhslink.com/m/3W0oVduCxjm")</f>
        <v>https://xhslink.com/m/3W0oVduCxjm</v>
      </c>
      <c r="D1145"/>
      <c r="E1145">
        <v>480</v>
      </c>
      <c r="F1145">
        <v>12.99</v>
      </c>
      <c r="G1145"/>
      <c r="H1145"/>
      <c r="I1145">
        <v>400</v>
      </c>
      <c r="J1145"/>
      <c r="K1145" t="inlineStr">
        <is>
          <t>主题班会PPT</t>
        </is>
      </c>
      <c r="L1145"/>
      <c r="M1145" t="inlineStr">
        <is>
          <t>皮卡皮卡的店</t>
        </is>
      </c>
      <c r="N1145">
        <v>14000</v>
      </c>
      <c r="O1145">
        <v>4.35</v>
      </c>
      <c r="P1145">
        <v>54000</v>
      </c>
      <c r="Q1145" t="inlineStr">
        <is>
          <t>68f98a0d7d3b3f000172f9bf</t>
        </is>
      </c>
      <c r="R1145" t="inlineStr">
        <is>
          <t>🚫重复</t>
        </is>
      </c>
      <c r="S1145" t="inlineStr">
        <is>
          <t>PPT模板</t>
        </is>
      </c>
      <c r="T1145" t="inlineStr">
        <is>
          <t>0.03</t>
        </is>
      </c>
      <c r="U1145" s="3">
        <v>46112.78107638889</v>
      </c>
      <c r="V1145" t="inlineStr">
        <is>
          <t>虚拟产品</t>
        </is>
      </c>
      <c r="W1145" s="3">
        <v>46039</v>
      </c>
      <c r="X1145" t="inlineStr">
        <is>
          <t>01</t>
        </is>
      </c>
      <c r="Y1145" t="inlineStr">
        <is>
          <t>2026-Q1</t>
        </is>
      </c>
    </row>
    <row r="1146" ht="38.25" customHeight="1">
      <c r="A1146" t="inlineStr">
        <is>
          <t>2026年马年元旦班会团建游戏课件PPT模板（元旦主题班会）</t>
        </is>
      </c>
      <c r="B1146" t="inlineStr">
        <is>
          <t>recv8x8Rj1eISR.jpg</t>
        </is>
      </c>
      <c r="C1146" s="2" t="str">
        <f>=HYPERLINK("https://xhslink.com/m/6roWscR3R2d", "https://xhslink.com/m/6roWscR3R2d")</f>
        <v>https://xhslink.com/m/6roWscR3R2d</v>
      </c>
      <c r="D1146"/>
      <c r="E1146">
        <v>452</v>
      </c>
      <c r="F1146">
        <v>16.8</v>
      </c>
      <c r="G1146"/>
      <c r="H1146"/>
      <c r="I1146">
        <v>400</v>
      </c>
      <c r="J1146"/>
      <c r="K1146" t="inlineStr">
        <is>
          <t>主题班会PPT</t>
        </is>
      </c>
      <c r="L1146"/>
      <c r="M1146" t="inlineStr">
        <is>
          <t>书灯启航课件的店</t>
        </is>
      </c>
      <c r="N1146">
        <v>741</v>
      </c>
      <c r="O1146">
        <v>3.99</v>
      </c>
      <c r="P1146">
        <v>8180</v>
      </c>
      <c r="Q1146" t="inlineStr">
        <is>
          <t>693b94659373f20001b04422</t>
        </is>
      </c>
      <c r="R1146" t="inlineStr">
        <is>
          <t>🚫重复</t>
        </is>
      </c>
      <c r="S1146" t="inlineStr">
        <is>
          <t>PPT模板</t>
        </is>
      </c>
      <c r="T1146" t="inlineStr">
        <is>
          <t>0.61</t>
        </is>
      </c>
      <c r="U1146" s="3">
        <v>46112.78107638889</v>
      </c>
      <c r="V1146" t="inlineStr">
        <is>
          <t>虚拟产品</t>
        </is>
      </c>
      <c r="W1146" s="3">
        <v>46039</v>
      </c>
      <c r="X1146" t="inlineStr">
        <is>
          <t>01</t>
        </is>
      </c>
      <c r="Y1146" t="inlineStr">
        <is>
          <t>2026-Q1</t>
        </is>
      </c>
    </row>
    <row r="1147" ht="38.25" customHeight="1">
      <c r="A1147" t="inlineStr">
        <is>
          <t>国家中小学智慧教育平台课件视频教案ppt逐字稿代下载（定制）</t>
        </is>
      </c>
      <c r="B1147" t="inlineStr">
        <is>
          <t>recv8x8Rj132cA.jpg</t>
        </is>
      </c>
      <c r="C1147" s="2" t="str">
        <f>=HYPERLINK("https://xhslink.com/m/3wMnVNRHkgH", "https://xhslink.com/m/3wMnVNRHkgH")</f>
        <v>https://xhslink.com/m/3wMnVNRHkgH</v>
      </c>
      <c r="D1147"/>
      <c r="E1147">
        <v>759</v>
      </c>
      <c r="F1147">
        <v>99</v>
      </c>
      <c r="G1147"/>
      <c r="H1147"/>
      <c r="I1147">
        <v>500</v>
      </c>
      <c r="J1147"/>
      <c r="K1147" t="inlineStr">
        <is>
          <t>PPT定制</t>
        </is>
      </c>
      <c r="L1147" t="inlineStr">
        <is>
          <t>🔥低粉爆款</t>
        </is>
      </c>
      <c r="M1147" t="inlineStr">
        <is>
          <t>月芽学习社的店</t>
        </is>
      </c>
      <c r="N1147">
        <v>70</v>
      </c>
      <c r="O1147">
        <v>4.09</v>
      </c>
      <c r="P1147">
        <v>2445</v>
      </c>
      <c r="Q1147" t="inlineStr">
        <is>
          <t>68f1cf12d53e8a0001dab9f2</t>
        </is>
      </c>
      <c r="R1147"/>
      <c r="S1147" t="inlineStr">
        <is>
          <t>中小学教辅/教材</t>
        </is>
      </c>
      <c r="T1147" t="inlineStr">
        <is>
          <t>10.84</t>
        </is>
      </c>
      <c r="U1147" s="3">
        <v>46112.78107638889</v>
      </c>
      <c r="V1147" t="inlineStr">
        <is>
          <t>虚拟产品</t>
        </is>
      </c>
      <c r="W1147" s="3">
        <v>46039</v>
      </c>
      <c r="X1147" t="inlineStr">
        <is>
          <t>01</t>
        </is>
      </c>
      <c r="Y1147" t="inlineStr">
        <is>
          <t>2026-Q1</t>
        </is>
      </c>
    </row>
    <row r="1148" ht="38.25" customHeight="1">
      <c r="A1148" t="inlineStr">
        <is>
          <t>中小学主题班会ppt（自选主题）</t>
        </is>
      </c>
      <c r="B1148" t="inlineStr">
        <is>
          <t>recv8x8Rj1nYZW.jpg</t>
        </is>
      </c>
      <c r="C1148" s="2" t="str">
        <f>=HYPERLINK("https://xhslink.com/m/ATYcz2yqFWj", "https://xhslink.com/m/ATYcz2yqFWj")</f>
        <v>https://xhslink.com/m/ATYcz2yqFWj</v>
      </c>
      <c r="D1148"/>
      <c r="E1148">
        <v>626</v>
      </c>
      <c r="F1148">
        <v>99.9</v>
      </c>
      <c r="G1148"/>
      <c r="H1148"/>
      <c r="I1148">
        <v>600</v>
      </c>
      <c r="J1148"/>
      <c r="K1148" t="inlineStr">
        <is>
          <t>PPT定制</t>
        </is>
      </c>
      <c r="L1148"/>
      <c r="M1148" t="inlineStr">
        <is>
          <t>木南老师mk的店</t>
        </is>
      </c>
      <c r="N1148">
        <v>446</v>
      </c>
      <c r="O1148">
        <v>3.97</v>
      </c>
      <c r="P1148">
        <v>5974</v>
      </c>
      <c r="Q1148" t="inlineStr">
        <is>
          <t>691f0b3595624300012a9256</t>
        </is>
      </c>
      <c r="R1148" t="inlineStr">
        <is>
          <t>🚫重复</t>
        </is>
      </c>
      <c r="S1148" t="inlineStr">
        <is>
          <t>PPT模板</t>
        </is>
      </c>
      <c r="T1148" t="inlineStr">
        <is>
          <t>1.40</t>
        </is>
      </c>
      <c r="U1148" s="3">
        <v>46112.78107638889</v>
      </c>
      <c r="V1148" t="inlineStr">
        <is>
          <t>虚拟产品</t>
        </is>
      </c>
      <c r="W1148" s="3">
        <v>46039</v>
      </c>
      <c r="X1148" t="inlineStr">
        <is>
          <t>01</t>
        </is>
      </c>
      <c r="Y1148" t="inlineStr">
        <is>
          <t>2026-Q1</t>
        </is>
      </c>
    </row>
    <row r="1149" ht="38.25" customHeight="1">
      <c r="A1149" t="inlineStr">
        <is>
          <t>意读 · 2026高考作文-时政热点作文范文指导版-高中通用</t>
        </is>
      </c>
      <c r="B1149" t="inlineStr">
        <is>
          <t>recv8x8Rj13caN.jpg</t>
        </is>
      </c>
      <c r="C1149" s="2" t="str">
        <f>=HYPERLINK("https://xhslink.com/m/62Qd0SFmkkc", "https://xhslink.com/m/62Qd0SFmkkc")</f>
        <v>https://xhslink.com/m/62Qd0SFmkkc</v>
      </c>
      <c r="D1149"/>
      <c r="E1149">
        <v>527</v>
      </c>
      <c r="F1149">
        <v>59.8</v>
      </c>
      <c r="G1149"/>
      <c r="H1149"/>
      <c r="I1149">
        <v>300</v>
      </c>
      <c r="J1149"/>
      <c r="K1149" t="inlineStr">
        <is>
          <t>时事热点</t>
        </is>
      </c>
      <c r="L1149"/>
      <c r="M1149" t="inlineStr">
        <is>
          <t>意读旗舰店</t>
        </is>
      </c>
      <c r="N1149">
        <v>1205</v>
      </c>
      <c r="O1149">
        <v>4.61</v>
      </c>
      <c r="P1149">
        <v>2818</v>
      </c>
      <c r="Q1149" t="inlineStr">
        <is>
          <t>6886ee73e019f2000119c95f</t>
        </is>
      </c>
      <c r="R1149" t="inlineStr">
        <is>
          <t>🚫重复</t>
        </is>
      </c>
      <c r="S1149" t="inlineStr">
        <is>
          <t>高中/高考资料</t>
        </is>
      </c>
      <c r="T1149" t="inlineStr">
        <is>
          <t>0.44</t>
        </is>
      </c>
      <c r="U1149" s="3">
        <v>46112.78107638889</v>
      </c>
      <c r="V1149" t="inlineStr">
        <is>
          <t>虚拟产品</t>
        </is>
      </c>
      <c r="W1149" s="3">
        <v>46039</v>
      </c>
      <c r="X1149" t="inlineStr">
        <is>
          <t>01</t>
        </is>
      </c>
      <c r="Y1149" t="inlineStr">
        <is>
          <t>2026-Q1</t>
        </is>
      </c>
    </row>
    <row r="1150" ht="38.25" customHeight="1">
      <c r="A1150" t="inlineStr">
        <is>
          <t>2026年高中英语听力专项训练听力磨耳朵英语学习音频原文答案</t>
        </is>
      </c>
      <c r="B1150" t="inlineStr">
        <is>
          <t>recv8x8Rj1eFcz.jpg</t>
        </is>
      </c>
      <c r="C1150" s="2" t="str">
        <f>=HYPERLINK("https://xhslink.com/m/6BkT6nqOjRz", "https://xhslink.com/m/6BkT6nqOjRz")</f>
        <v>https://xhslink.com/m/6BkT6nqOjRz</v>
      </c>
      <c r="D1150"/>
      <c r="E1150">
        <v>306</v>
      </c>
      <c r="F1150">
        <v>9.9</v>
      </c>
      <c r="G1150"/>
      <c r="H1150"/>
      <c r="I1150">
        <v>300</v>
      </c>
      <c r="J1150"/>
      <c r="K1150" t="inlineStr">
        <is>
          <t>听力磨耳朵</t>
        </is>
      </c>
      <c r="L1150"/>
      <c r="M1150" t="inlineStr">
        <is>
          <t>小刘老师优资资料库的店</t>
        </is>
      </c>
      <c r="N1150">
        <v>875</v>
      </c>
      <c r="O1150">
        <v>3.98</v>
      </c>
      <c r="P1150">
        <v>3338</v>
      </c>
      <c r="Q1150" t="inlineStr">
        <is>
          <t>693637416bc9860001a50f92</t>
        </is>
      </c>
      <c r="R1150" t="inlineStr">
        <is>
          <t>🚫重复</t>
        </is>
      </c>
      <c r="S1150" t="inlineStr">
        <is>
          <t>高中/高考资料</t>
        </is>
      </c>
      <c r="T1150" t="inlineStr">
        <is>
          <t>0.35</t>
        </is>
      </c>
      <c r="U1150" s="3">
        <v>46112.78107638889</v>
      </c>
      <c r="V1150" t="inlineStr">
        <is>
          <t>虚拟产品</t>
        </is>
      </c>
      <c r="W1150" s="3">
        <v>46039</v>
      </c>
      <c r="X1150" t="inlineStr">
        <is>
          <t>01</t>
        </is>
      </c>
      <c r="Y1150" t="inlineStr">
        <is>
          <t>2026-Q1</t>
        </is>
      </c>
    </row>
    <row r="1151" ht="38.25" customHeight="1">
      <c r="A1151" t="inlineStr">
        <is>
          <t>小学生儿童阅读记录卡阅读读书笔记36张电子版（word+jpg）可打印</t>
        </is>
      </c>
      <c r="B1151" t="inlineStr">
        <is>
          <t>recv8x8Rj1r4Fz.jpg</t>
        </is>
      </c>
      <c r="C1151" s="2" t="str">
        <f>=HYPERLINK("https://xhslink.com/m/60nTFs2Uskb", "https://xhslink.com/m/60nTFs2Uskb")</f>
        <v>https://xhslink.com/m/60nTFs2Uskb</v>
      </c>
      <c r="D1151"/>
      <c r="E1151">
        <v>2470</v>
      </c>
      <c r="F1151">
        <v>2.98</v>
      </c>
      <c r="G1151"/>
      <c r="H1151"/>
      <c r="I1151">
        <v>300</v>
      </c>
      <c r="J1151"/>
      <c r="K1151" t="inlineStr">
        <is>
          <t>阅读打卡</t>
        </is>
      </c>
      <c r="L1151"/>
      <c r="M1151" t="inlineStr">
        <is>
          <t>Yesi！的店</t>
        </is>
      </c>
      <c r="N1151">
        <v>2577</v>
      </c>
      <c r="O1151">
        <v>4.1</v>
      </c>
      <c r="P1151">
        <v>7114</v>
      </c>
      <c r="Q1151" t="inlineStr">
        <is>
          <t>6743526e5f84e200019f1d13</t>
        </is>
      </c>
      <c r="R1151"/>
      <c r="S1151" t="inlineStr">
        <is>
          <t>中小学教辅/教材</t>
        </is>
      </c>
      <c r="T1151" t="inlineStr">
        <is>
          <t>0.96</t>
        </is>
      </c>
      <c r="U1151" s="3">
        <v>46112.78107638889</v>
      </c>
      <c r="V1151" t="inlineStr">
        <is>
          <t>虚拟产品</t>
        </is>
      </c>
      <c r="W1151" s="3">
        <v>46039</v>
      </c>
      <c r="X1151" t="inlineStr">
        <is>
          <t>01</t>
        </is>
      </c>
      <c r="Y1151" t="inlineStr">
        <is>
          <t>2026-Q1</t>
        </is>
      </c>
    </row>
    <row r="1152" ht="38.25" customHeight="1">
      <c r="A1152" t="inlineStr">
        <is>
          <t>全国往返|东京+日本多城市|4-15天任选|多航司|含行李额</t>
        </is>
      </c>
      <c r="B1152" t="inlineStr">
        <is>
          <t>recv8x8Rj1LEGE.jpg</t>
        </is>
      </c>
      <c r="C1152" s="2" t="str">
        <f>=HYPERLINK("https://xhslink.com/m/6s6RvSYmjze", "https://xhslink.com/m/6s6RvSYmjze")</f>
        <v>https://xhslink.com/m/6s6RvSYmjze</v>
      </c>
      <c r="D1152"/>
      <c r="E1152">
        <v>7727</v>
      </c>
      <c r="F1152">
        <v>2299</v>
      </c>
      <c r="G1152"/>
      <c r="H1152"/>
      <c r="I1152">
        <v>700</v>
      </c>
      <c r="J1152"/>
      <c r="K1152" t="inlineStr">
        <is>
          <t>旅游攻略</t>
        </is>
      </c>
      <c r="L1152"/>
      <c r="M1152" t="inlineStr">
        <is>
          <t>环球度假旅游的店</t>
        </is>
      </c>
      <c r="N1152">
        <v>202000</v>
      </c>
      <c r="O1152">
        <v>4.25</v>
      </c>
      <c r="P1152">
        <v>44000</v>
      </c>
      <c r="Q1152" t="inlineStr">
        <is>
          <t>685a22923970ba0001f617d3</t>
        </is>
      </c>
      <c r="R1152"/>
      <c r="S1152" t="inlineStr">
        <is>
          <t>无匹配类别</t>
        </is>
      </c>
      <c r="T1152" t="inlineStr">
        <is>
          <t>0.04</t>
        </is>
      </c>
      <c r="U1152" s="3">
        <v>46112.78107638889</v>
      </c>
      <c r="V1152" t="inlineStr">
        <is>
          <t>虚拟产品</t>
        </is>
      </c>
      <c r="W1152" s="3">
        <v>46039</v>
      </c>
      <c r="X1152" t="inlineStr">
        <is>
          <t>01</t>
        </is>
      </c>
      <c r="Y1152" t="inlineStr">
        <is>
          <t>2026-Q1</t>
        </is>
      </c>
    </row>
    <row r="1153" ht="38.25" customHeight="1">
      <c r="A1153" t="inlineStr">
        <is>
          <t>春秋旅游 SPRING TOUR · 雪季万达上海飞长白山4日3晚自由行含税机票智选悦华Momoland酒店</t>
        </is>
      </c>
      <c r="B1153" t="inlineStr">
        <is>
          <t>recv8x8Rj15Bgu.jpg</t>
        </is>
      </c>
      <c r="C1153" s="2" t="str">
        <f>=HYPERLINK("https://xhslink.com/m/4gGK593yzLA", "https://xhslink.com/m/4gGK593yzLA")</f>
        <v>https://xhslink.com/m/4gGK593yzLA</v>
      </c>
      <c r="D1153"/>
      <c r="E1153">
        <v>5290</v>
      </c>
      <c r="F1153">
        <v>2199</v>
      </c>
      <c r="G1153"/>
      <c r="H1153"/>
      <c r="I1153">
        <v>2000</v>
      </c>
      <c r="J1153"/>
      <c r="K1153" t="inlineStr">
        <is>
          <t>旅游攻略</t>
        </is>
      </c>
      <c r="L1153"/>
      <c r="M1153" t="inlineStr">
        <is>
          <t>春秋旅游 SPRING TOUR旗舰店</t>
        </is>
      </c>
      <c r="N1153">
        <v>14000</v>
      </c>
      <c r="O1153">
        <v>4.37</v>
      </c>
      <c r="P1153">
        <v>22000</v>
      </c>
      <c r="Q1153" t="inlineStr">
        <is>
          <t>691a78af34256f00019e06c9</t>
        </is>
      </c>
      <c r="R1153" t="inlineStr">
        <is>
          <t>🚫重复</t>
        </is>
      </c>
      <c r="S1153" t="inlineStr">
        <is>
          <t>生活成长</t>
        </is>
      </c>
      <c r="T1153" t="inlineStr">
        <is>
          <t>0.38</t>
        </is>
      </c>
      <c r="U1153" s="3">
        <v>46112.78107638889</v>
      </c>
      <c r="V1153" t="inlineStr">
        <is>
          <t>虚拟产品</t>
        </is>
      </c>
      <c r="W1153" s="3">
        <v>46039</v>
      </c>
      <c r="X1153" t="inlineStr">
        <is>
          <t>01</t>
        </is>
      </c>
      <c r="Y1153" t="inlineStr">
        <is>
          <t>2026-Q1</t>
        </is>
      </c>
    </row>
    <row r="1154" ht="38.25" customHeight="1">
      <c r="A1154" t="inlineStr">
        <is>
          <t>春秋旅游 SPRING TOUR · 寒假春节上海飞韩国济州岛4日3晚自由行含税机票含接机金卡服务</t>
        </is>
      </c>
      <c r="B1154" t="inlineStr">
        <is>
          <t>recv8x8Rj1SMj2.jpg</t>
        </is>
      </c>
      <c r="C1154" s="2" t="str">
        <f>=HYPERLINK("https://xhslink.com/m/2kvL8o6Nu3o", "https://xhslink.com/m/2kvL8o6Nu3o")</f>
        <v>https://xhslink.com/m/2kvL8o6Nu3o</v>
      </c>
      <c r="D1154"/>
      <c r="E1154">
        <v>5641</v>
      </c>
      <c r="F1154">
        <v>1199</v>
      </c>
      <c r="G1154"/>
      <c r="H1154"/>
      <c r="I1154">
        <v>900</v>
      </c>
      <c r="J1154"/>
      <c r="K1154" t="inlineStr">
        <is>
          <t>旅游攻略</t>
        </is>
      </c>
      <c r="L1154"/>
      <c r="M1154" t="inlineStr">
        <is>
          <t>春秋旅游 SPRING TOUR旗舰店</t>
        </is>
      </c>
      <c r="N1154">
        <v>14000</v>
      </c>
      <c r="O1154">
        <v>4.37</v>
      </c>
      <c r="P1154">
        <v>22000</v>
      </c>
      <c r="Q1154" t="inlineStr">
        <is>
          <t>68abbeceacb11600017b8980</t>
        </is>
      </c>
      <c r="R1154" t="inlineStr">
        <is>
          <t>🚫重复</t>
        </is>
      </c>
      <c r="S1154" t="inlineStr">
        <is>
          <t>生活成长</t>
        </is>
      </c>
      <c r="T1154" t="inlineStr">
        <is>
          <t>0.40</t>
        </is>
      </c>
      <c r="U1154" s="3">
        <v>46112.78107638889</v>
      </c>
      <c r="V1154" t="inlineStr">
        <is>
          <t>虚拟产品</t>
        </is>
      </c>
      <c r="W1154" s="3">
        <v>46039</v>
      </c>
      <c r="X1154" t="inlineStr">
        <is>
          <t>01</t>
        </is>
      </c>
      <c r="Y1154" t="inlineStr">
        <is>
          <t>2026-Q1</t>
        </is>
      </c>
    </row>
    <row r="1155" ht="38.25" customHeight="1">
      <c r="A1155" t="inlineStr">
        <is>
          <t>迪士尼 · 1晚（2大1小）上迪酒店套餐（玩具总动员酒店1晚+1日票+早享卡）</t>
        </is>
      </c>
      <c r="B1155" t="inlineStr">
        <is>
          <t>recv8x8Rj1OaBc.jpg</t>
        </is>
      </c>
      <c r="C1155" s="2" t="str">
        <f>=HYPERLINK("https://xhslink.com/m/59IP7uCiFlh", "https://xhslink.com/m/59IP7uCiFlh")</f>
        <v>https://xhslink.com/m/59IP7uCiFlh</v>
      </c>
      <c r="D1155"/>
      <c r="E1155">
        <v>3315</v>
      </c>
      <c r="F1155">
        <v>2729</v>
      </c>
      <c r="G1155"/>
      <c r="H1155"/>
      <c r="I1155">
        <v>1000</v>
      </c>
      <c r="J1155"/>
      <c r="K1155" t="inlineStr">
        <is>
          <t>旅游攻略</t>
        </is>
      </c>
      <c r="L1155"/>
      <c r="M1155" t="inlineStr">
        <is>
          <t>迪士尼服务商丨行家旅行的店</t>
        </is>
      </c>
      <c r="N1155">
        <v>45000</v>
      </c>
      <c r="O1155">
        <v>4.28</v>
      </c>
      <c r="P1155">
        <v>140000</v>
      </c>
      <c r="Q1155" t="inlineStr">
        <is>
          <t>67b6889c7b3de40001aa247d</t>
        </is>
      </c>
      <c r="R1155"/>
      <c r="S1155" t="inlineStr">
        <is>
          <t>生活成长</t>
        </is>
      </c>
      <c r="T1155" t="inlineStr">
        <is>
          <t>0.07</t>
        </is>
      </c>
      <c r="U1155" s="3">
        <v>46112.78107638889</v>
      </c>
      <c r="V1155" t="inlineStr">
        <is>
          <t>虚拟产品</t>
        </is>
      </c>
      <c r="W1155" s="3">
        <v>46039</v>
      </c>
      <c r="X1155" t="inlineStr">
        <is>
          <t>01</t>
        </is>
      </c>
      <c r="Y1155" t="inlineStr">
        <is>
          <t>2026-Q1</t>
        </is>
      </c>
    </row>
    <row r="1156" ht="38.25" customHeight="1">
      <c r="A1156" t="inlineStr">
        <is>
          <t>原创咖啡品牌vi手册</t>
        </is>
      </c>
      <c r="B1156" t="inlineStr">
        <is>
          <t>recv8CSIj5XxFs.jpg</t>
        </is>
      </c>
      <c r="C1156" s="2" t="str">
        <f>=HYPERLINK("https://xhslink.com/m/6Ygr6G5PPXP", "https://xhslink.com/m/6Ygr6G5PPXP")</f>
        <v>https://xhslink.com/m/6Ygr6G5PPXP</v>
      </c>
      <c r="D1156"/>
      <c r="E1156">
        <v>345</v>
      </c>
      <c r="F1156">
        <v>9.9</v>
      </c>
      <c r="G1156"/>
      <c r="H1156"/>
      <c r="I1156">
        <v>300</v>
      </c>
      <c r="J1156"/>
      <c r="K1156" t="inlineStr">
        <is>
          <t>手册</t>
        </is>
      </c>
      <c r="L1156"/>
      <c r="M1156" t="inlineStr">
        <is>
          <t>迪迦10014的店</t>
        </is>
      </c>
      <c r="N1156">
        <v>14000</v>
      </c>
      <c r="O1156">
        <v>4.19</v>
      </c>
      <c r="P1156">
        <v>894</v>
      </c>
      <c r="Q1156" t="inlineStr">
        <is>
          <t>68859be44f80eb00017b3fa9</t>
        </is>
      </c>
      <c r="R1156"/>
      <c r="S1156" t="inlineStr">
        <is>
          <t>设计素材</t>
        </is>
      </c>
      <c r="T1156" t="inlineStr">
        <is>
          <t>0.02</t>
        </is>
      </c>
      <c r="U1156" s="3">
        <v>46112.78107638889</v>
      </c>
      <c r="V1156" t="inlineStr">
        <is>
          <t>虚拟产品</t>
        </is>
      </c>
      <c r="W1156" s="3">
        <v>46040</v>
      </c>
      <c r="X1156" t="inlineStr">
        <is>
          <t>01</t>
        </is>
      </c>
      <c r="Y1156" t="inlineStr">
        <is>
          <t>2026-Q1</t>
        </is>
      </c>
    </row>
    <row r="1157" ht="38.25" customHeight="1">
      <c r="A1157" t="inlineStr">
        <is>
          <t>【只背三个模板】26考研英语小作文模板笔记超地道语料库原创模版</t>
        </is>
      </c>
      <c r="B1157" t="inlineStr">
        <is>
          <t>recv8CSIj5kV67.jpg</t>
        </is>
      </c>
      <c r="C1157" s="2" t="str">
        <f>=HYPERLINK("https://xhslink.com/m/FpXEzF4uHw", "https://xhslink.com/m/FpXEzF4uHw")</f>
        <v>https://xhslink.com/m/FpXEzF4uHw</v>
      </c>
      <c r="D1157"/>
      <c r="E1157">
        <v>2378</v>
      </c>
      <c r="F1157">
        <v>44.8</v>
      </c>
      <c r="G1157"/>
      <c r="H1157"/>
      <c r="I1157">
        <v>2000</v>
      </c>
      <c r="J1157"/>
      <c r="K1157" t="inlineStr">
        <is>
          <t>模板</t>
        </is>
      </c>
      <c r="L1157"/>
      <c r="M1157" t="inlineStr">
        <is>
          <t>如履薄冰ice的店</t>
        </is>
      </c>
      <c r="N1157">
        <v>3725</v>
      </c>
      <c r="O1157">
        <v>4.18</v>
      </c>
      <c r="P1157">
        <v>2920</v>
      </c>
      <c r="Q1157" t="inlineStr">
        <is>
          <t>69048542427261000162913d</t>
        </is>
      </c>
      <c r="R1157" t="inlineStr">
        <is>
          <t>🚫重复</t>
        </is>
      </c>
      <c r="S1157" t="inlineStr">
        <is>
          <t>考研资料</t>
        </is>
      </c>
      <c r="T1157" t="inlineStr">
        <is>
          <t>0.64</t>
        </is>
      </c>
      <c r="U1157" s="3">
        <v>46112.78107638889</v>
      </c>
      <c r="V1157" t="inlineStr">
        <is>
          <t>虚拟产品</t>
        </is>
      </c>
      <c r="W1157" s="3">
        <v>46040</v>
      </c>
      <c r="X1157" t="inlineStr">
        <is>
          <t>01</t>
        </is>
      </c>
      <c r="Y1157" t="inlineStr">
        <is>
          <t>2026-Q1</t>
        </is>
      </c>
    </row>
    <row r="1158" ht="38.25" customHeight="1">
      <c r="A1158" t="inlineStr">
        <is>
          <t>（模板出售）眼睛圆框·盛宴·旺财牌</t>
        </is>
      </c>
      <c r="B1158" t="inlineStr">
        <is>
          <t>recv8CSIj5gcTe.jpg</t>
        </is>
      </c>
      <c r="C1158" s="2" t="str">
        <f>=HYPERLINK("https://xhslink.com/m/AhL1pCKmXU7", "https://xhslink.com/m/AhL1pCKmXU7")</f>
        <v>https://xhslink.com/m/AhL1pCKmXU7</v>
      </c>
      <c r="D1158"/>
      <c r="E1158">
        <v>1368</v>
      </c>
      <c r="F1158">
        <v>4</v>
      </c>
      <c r="G1158"/>
      <c r="H1158"/>
      <c r="I1158">
        <v>700</v>
      </c>
      <c r="J1158"/>
      <c r="K1158" t="inlineStr">
        <is>
          <t>模板</t>
        </is>
      </c>
      <c r="L1158"/>
      <c r="M1158" t="inlineStr">
        <is>
          <t>旺财财团CEO【有任何问题请找群管理员】的店</t>
        </is>
      </c>
      <c r="N1158">
        <v>6402</v>
      </c>
      <c r="O1158">
        <v>4.08</v>
      </c>
      <c r="P1158">
        <v>9232</v>
      </c>
      <c r="Q1158" t="inlineStr">
        <is>
          <t>68dfac82702da1000171376f</t>
        </is>
      </c>
      <c r="R1158" t="inlineStr">
        <is>
          <t>🚫重复</t>
        </is>
      </c>
      <c r="S1158" t="inlineStr">
        <is>
          <t>PPT模板</t>
        </is>
      </c>
      <c r="T1158" t="inlineStr">
        <is>
          <t>0.21</t>
        </is>
      </c>
      <c r="U1158" s="3">
        <v>46112.78107638889</v>
      </c>
      <c r="V1158" t="inlineStr">
        <is>
          <t>虚拟产品</t>
        </is>
      </c>
      <c r="W1158" s="3">
        <v>46040</v>
      </c>
      <c r="X1158" t="inlineStr">
        <is>
          <t>01</t>
        </is>
      </c>
      <c r="Y1158" t="inlineStr">
        <is>
          <t>2026-Q1</t>
        </is>
      </c>
    </row>
    <row r="1159" ht="38.25" customHeight="1">
      <c r="A1159" t="inlineStr">
        <is>
          <t>原创1-4月最新雅思口语945词万能模板+邪修作文万能模板全家桶</t>
        </is>
      </c>
      <c r="B1159" t="inlineStr">
        <is>
          <t>recv8CSIj5sYZs.jpg</t>
        </is>
      </c>
      <c r="C1159" s="2" t="str">
        <f>=HYPERLINK("https://xhslink.com/m/4GFJeSLrgC1", "https://xhslink.com/m/4GFJeSLrgC1")</f>
        <v>https://xhslink.com/m/4GFJeSLrgC1</v>
      </c>
      <c r="D1159"/>
      <c r="E1159">
        <v>1159</v>
      </c>
      <c r="F1159">
        <v>59.9</v>
      </c>
      <c r="G1159"/>
      <c r="H1159"/>
      <c r="I1159">
        <v>500</v>
      </c>
      <c r="J1159"/>
      <c r="K1159" t="inlineStr">
        <is>
          <t>模板</t>
        </is>
      </c>
      <c r="L1159"/>
      <c r="M1159" t="inlineStr">
        <is>
          <t>魔仙堡在逃卷王的店</t>
        </is>
      </c>
      <c r="N1159">
        <v>875</v>
      </c>
      <c r="O1159">
        <v>4.05</v>
      </c>
      <c r="P1159">
        <v>1225</v>
      </c>
      <c r="Q1159" t="inlineStr">
        <is>
          <t>67f25282b2c30c00019c4d43</t>
        </is>
      </c>
      <c r="R1159" t="inlineStr">
        <is>
          <t>🚫重复</t>
        </is>
      </c>
      <c r="S1159" t="inlineStr">
        <is>
          <t>英语资料</t>
        </is>
      </c>
      <c r="T1159" t="inlineStr">
        <is>
          <t>1.32</t>
        </is>
      </c>
      <c r="U1159" s="3">
        <v>46112.78107638889</v>
      </c>
      <c r="V1159" t="inlineStr">
        <is>
          <t>虚拟产品</t>
        </is>
      </c>
      <c r="W1159" s="3">
        <v>46040</v>
      </c>
      <c r="X1159" t="inlineStr">
        <is>
          <t>01</t>
        </is>
      </c>
      <c r="Y1159" t="inlineStr">
        <is>
          <t>2026-Q1</t>
        </is>
      </c>
    </row>
    <row r="1160" ht="38.25" customHeight="1">
      <c r="A1160" t="inlineStr">
        <is>
          <t>秀米模板秀米团队模板非会员模板非付费模板公众号编辑器图文</t>
        </is>
      </c>
      <c r="B1160" t="inlineStr">
        <is>
          <t>recv8CSIj54fLP.jpg</t>
        </is>
      </c>
      <c r="C1160" s="2" t="str">
        <f>=HYPERLINK("https://xhslink.com/m/4aMghmwMq1C", "https://xhslink.com/m/4aMghmwMq1C")</f>
        <v>https://xhslink.com/m/4aMghmwMq1C</v>
      </c>
      <c r="D1160"/>
      <c r="E1160">
        <v>814</v>
      </c>
      <c r="F1160">
        <v>99</v>
      </c>
      <c r="G1160"/>
      <c r="H1160"/>
      <c r="I1160">
        <v>400</v>
      </c>
      <c r="J1160"/>
      <c r="K1160" t="inlineStr">
        <is>
          <t>模板</t>
        </is>
      </c>
      <c r="L1160" t="inlineStr">
        <is>
          <t>🔥低粉爆款</t>
        </is>
      </c>
      <c r="M1160" t="inlineStr">
        <is>
          <t>书笺的店</t>
        </is>
      </c>
      <c r="N1160">
        <v>68</v>
      </c>
      <c r="O1160">
        <v>4.23</v>
      </c>
      <c r="P1160">
        <v>934</v>
      </c>
      <c r="Q1160" t="inlineStr">
        <is>
          <t>688dbacce53c1000151f6d48</t>
        </is>
      </c>
      <c r="R1160"/>
      <c r="S1160" t="inlineStr">
        <is>
          <t>无匹配类别</t>
        </is>
      </c>
      <c r="T1160" t="inlineStr">
        <is>
          <t>11.97</t>
        </is>
      </c>
      <c r="U1160" s="3">
        <v>46112.78107638889</v>
      </c>
      <c r="V1160" t="inlineStr">
        <is>
          <t>虚拟产品</t>
        </is>
      </c>
      <c r="W1160" s="3">
        <v>46040</v>
      </c>
      <c r="X1160" t="inlineStr">
        <is>
          <t>01</t>
        </is>
      </c>
      <c r="Y1160" t="inlineStr">
        <is>
          <t>2026-Q1</t>
        </is>
      </c>
    </row>
    <row r="1161" ht="38.25" customHeight="1">
      <c r="A1161" t="inlineStr">
        <is>
          <t>宠物医生在线问诊咨询 分析病情 用药指导 报告解读</t>
        </is>
      </c>
      <c r="B1161" t="inlineStr">
        <is>
          <t>recv8CSIj5mSic.jpg</t>
        </is>
      </c>
      <c r="C1161" s="2" t="str">
        <f>=HYPERLINK("https://xhslink.com/m/5BCBZE6v23y", "https://xhslink.com/m/5BCBZE6v23y")</f>
        <v>https://xhslink.com/m/5BCBZE6v23y</v>
      </c>
      <c r="D1161"/>
      <c r="E1161">
        <v>5794</v>
      </c>
      <c r="F1161">
        <v>68</v>
      </c>
      <c r="G1161"/>
      <c r="H1161"/>
      <c r="I1161">
        <v>1000</v>
      </c>
      <c r="J1161"/>
      <c r="K1161" t="inlineStr">
        <is>
          <t>报告</t>
        </is>
      </c>
      <c r="L1161"/>
      <c r="M1161" t="inlineStr">
        <is>
          <t>宠医小何（关注回复）的店</t>
        </is>
      </c>
      <c r="N1161">
        <v>47000</v>
      </c>
      <c r="O1161">
        <v>3.96</v>
      </c>
      <c r="P1161">
        <v>6062</v>
      </c>
      <c r="Q1161" t="inlineStr">
        <is>
          <t>68df695e53446d0001ccaf2c</t>
        </is>
      </c>
      <c r="R1161" t="inlineStr">
        <is>
          <t>🚫重复</t>
        </is>
      </c>
      <c r="S1161" t="inlineStr">
        <is>
          <t>咨询服务</t>
        </is>
      </c>
      <c r="T1161" t="inlineStr">
        <is>
          <t>0.12</t>
        </is>
      </c>
      <c r="U1161" s="3">
        <v>46112.78107638889</v>
      </c>
      <c r="V1161" t="inlineStr">
        <is>
          <t>虚拟产品</t>
        </is>
      </c>
      <c r="W1161" s="3">
        <v>46040</v>
      </c>
      <c r="X1161" t="inlineStr">
        <is>
          <t>01</t>
        </is>
      </c>
      <c r="Y1161" t="inlineStr">
        <is>
          <t>2026-Q1</t>
        </is>
      </c>
    </row>
    <row r="1162" ht="38.25" customHeight="1">
      <c r="A1162" t="inlineStr">
        <is>
          <t>数学专业考研冲刺报告</t>
        </is>
      </c>
      <c r="B1162" t="inlineStr">
        <is>
          <t>recv8CSIj5Bxh2.jpg</t>
        </is>
      </c>
      <c r="C1162" s="2" t="str">
        <f>=HYPERLINK("https://xhslink.com/m/aHEJYZYwkz", "https://xhslink.com/m/aHEJYZYwkz")</f>
        <v>https://xhslink.com/m/aHEJYZYwkz</v>
      </c>
      <c r="D1162"/>
      <c r="E1162">
        <v>497</v>
      </c>
      <c r="F1162">
        <v>99.8</v>
      </c>
      <c r="G1162"/>
      <c r="H1162"/>
      <c r="I1162">
        <v>400</v>
      </c>
      <c r="J1162"/>
      <c r="K1162" t="inlineStr">
        <is>
          <t>报告</t>
        </is>
      </c>
      <c r="L1162"/>
      <c r="M1162" t="inlineStr">
        <is>
          <t>双木林sml的店</t>
        </is>
      </c>
      <c r="N1162">
        <v>4734</v>
      </c>
      <c r="O1162">
        <v>4.05</v>
      </c>
      <c r="P1162">
        <v>2825</v>
      </c>
      <c r="Q1162" t="inlineStr">
        <is>
          <t>68fee8a1becfcc000162aab2</t>
        </is>
      </c>
      <c r="R1162"/>
      <c r="S1162" t="inlineStr">
        <is>
          <t>考研资料</t>
        </is>
      </c>
      <c r="T1162" t="inlineStr">
        <is>
          <t>0.10</t>
        </is>
      </c>
      <c r="U1162" s="3">
        <v>46112.78107638889</v>
      </c>
      <c r="V1162" t="inlineStr">
        <is>
          <t>虚拟产品</t>
        </is>
      </c>
      <c r="W1162" s="3">
        <v>46040</v>
      </c>
      <c r="X1162" t="inlineStr">
        <is>
          <t>01</t>
        </is>
      </c>
      <c r="Y1162" t="inlineStr">
        <is>
          <t>2026-Q1</t>
        </is>
      </c>
    </row>
    <row r="1163" ht="38.25" customHeight="1">
      <c r="A1163" t="inlineStr">
        <is>
          <t>无领导面试银行专项题库解析</t>
        </is>
      </c>
      <c r="B1163" t="inlineStr">
        <is>
          <t>recv8CSIj5pj99.jpg</t>
        </is>
      </c>
      <c r="C1163" s="2" t="str">
        <f>=HYPERLINK("https://xhslink.com/m/Af04oMjDIva", "https://xhslink.com/m/Af04oMjDIva")</f>
        <v>https://xhslink.com/m/Af04oMjDIva</v>
      </c>
      <c r="D1163"/>
      <c r="E1163">
        <v>2403</v>
      </c>
      <c r="F1163">
        <v>26.9</v>
      </c>
      <c r="G1163"/>
      <c r="H1163"/>
      <c r="I1163">
        <v>1000</v>
      </c>
      <c r="J1163"/>
      <c r="K1163" t="inlineStr">
        <is>
          <t>银行面试</t>
        </is>
      </c>
      <c r="L1163"/>
      <c r="M1163" t="inlineStr">
        <is>
          <t>蓝鲸无领导面试的店</t>
        </is>
      </c>
      <c r="N1163">
        <v>16000</v>
      </c>
      <c r="O1163">
        <v>4.39</v>
      </c>
      <c r="P1163">
        <v>3456</v>
      </c>
      <c r="Q1163" t="inlineStr">
        <is>
          <t>66fbbc6d5bcbab00012442b7</t>
        </is>
      </c>
      <c r="R1163"/>
      <c r="S1163" t="inlineStr">
        <is>
          <t>求职面试/职场</t>
        </is>
      </c>
      <c r="T1163" t="inlineStr">
        <is>
          <t>0.15</t>
        </is>
      </c>
      <c r="U1163" s="3">
        <v>46112.78107638889</v>
      </c>
      <c r="V1163" t="inlineStr">
        <is>
          <t>虚拟产品</t>
        </is>
      </c>
      <c r="W1163" s="3">
        <v>46040</v>
      </c>
      <c r="X1163" t="inlineStr">
        <is>
          <t>01</t>
        </is>
      </c>
      <c r="Y1163" t="inlineStr">
        <is>
          <t>2026-Q1</t>
        </is>
      </c>
    </row>
    <row r="1164" ht="38.25" customHeight="1">
      <c r="A1164" t="inlineStr">
        <is>
          <t>其他 · 银行面试无领导+半结构（此链接半结构题目涵盖多个银行-网盘pdf</t>
        </is>
      </c>
      <c r="B1164" t="inlineStr">
        <is>
          <t>recv8CSIj5SbMy.jpg</t>
        </is>
      </c>
      <c r="C1164" s="2" t="str">
        <f>=HYPERLINK("https://xhslink.com/m/3meTlPaT6r", "https://xhslink.com/m/3meTlPaT6r")</f>
        <v>https://xhslink.com/m/3meTlPaT6r</v>
      </c>
      <c r="D1164"/>
      <c r="E1164">
        <v>818</v>
      </c>
      <c r="F1164">
        <v>24.9</v>
      </c>
      <c r="G1164"/>
      <c r="H1164"/>
      <c r="I1164">
        <v>500</v>
      </c>
      <c r="J1164"/>
      <c r="K1164" t="inlineStr">
        <is>
          <t>银行面试</t>
        </is>
      </c>
      <c r="L1164"/>
      <c r="M1164" t="inlineStr">
        <is>
          <t>有种刀了我的店</t>
        </is>
      </c>
      <c r="N1164">
        <v>1732</v>
      </c>
      <c r="O1164">
        <v>4.18</v>
      </c>
      <c r="P1164">
        <v>1148</v>
      </c>
      <c r="Q1164" t="inlineStr">
        <is>
          <t>67ac107e29b9f70001ae48d4</t>
        </is>
      </c>
      <c r="R1164"/>
      <c r="S1164" t="inlineStr">
        <is>
          <t>求职面试/职场</t>
        </is>
      </c>
      <c r="T1164" t="inlineStr">
        <is>
          <t>0.47</t>
        </is>
      </c>
      <c r="U1164" s="3">
        <v>46112.78107638889</v>
      </c>
      <c r="V1164" t="inlineStr">
        <is>
          <t>虚拟产品</t>
        </is>
      </c>
      <c r="W1164" s="3">
        <v>46040</v>
      </c>
      <c r="X1164" t="inlineStr">
        <is>
          <t>01</t>
        </is>
      </c>
      <c r="Y1164" t="inlineStr">
        <is>
          <t>2026-Q1</t>
        </is>
      </c>
    </row>
    <row r="1165" ht="38.25" customHeight="1">
      <c r="A1165" t="inlineStr">
        <is>
          <t>秒发 新人教数学三年级上册 PPT课件+配套教案（下单方式请看详情</t>
        </is>
      </c>
      <c r="B1165" t="inlineStr">
        <is>
          <t>recv8CSIj5OoG7.jpg</t>
        </is>
      </c>
      <c r="C1165" s="2" t="str">
        <f>=HYPERLINK("https://xhslink.com/m/2X0wNXSpQjj", "https://xhslink.com/m/2X0wNXSpQjj")</f>
        <v>https://xhslink.com/m/2X0wNXSpQjj</v>
      </c>
      <c r="D1165"/>
      <c r="E1165">
        <v>1337</v>
      </c>
      <c r="F1165">
        <v>6.9</v>
      </c>
      <c r="G1165"/>
      <c r="H1165"/>
      <c r="I1165">
        <v>1000</v>
      </c>
      <c r="J1165"/>
      <c r="K1165" t="inlineStr">
        <is>
          <t>雅思口语高分模板</t>
        </is>
      </c>
      <c r="L1165"/>
      <c r="M1165" t="inlineStr">
        <is>
          <t>幽幽小课堂的店</t>
        </is>
      </c>
      <c r="N1165">
        <v>937</v>
      </c>
      <c r="O1165">
        <v>4.27</v>
      </c>
      <c r="P1165">
        <v>4157</v>
      </c>
      <c r="Q1165" t="inlineStr">
        <is>
          <t>68c792ed287c750001a89433</t>
        </is>
      </c>
      <c r="R1165"/>
      <c r="S1165" t="inlineStr">
        <is>
          <t>中小学教辅/教材</t>
        </is>
      </c>
      <c r="T1165" t="inlineStr">
        <is>
          <t>1.43</t>
        </is>
      </c>
      <c r="U1165" s="3">
        <v>46112.78107638889</v>
      </c>
      <c r="V1165" t="inlineStr">
        <is>
          <t>虚拟产品</t>
        </is>
      </c>
      <c r="W1165" s="3">
        <v>46040</v>
      </c>
      <c r="X1165" t="inlineStr">
        <is>
          <t>01</t>
        </is>
      </c>
      <c r="Y1165" t="inlineStr">
        <is>
          <t>2026-Q1</t>
        </is>
      </c>
    </row>
    <row r="1166" ht="38.25" customHeight="1">
      <c r="A1166" t="inlineStr">
        <is>
          <t>线段 直线  射线 -小学数学四年级上册视频优质公开课PPT教案</t>
        </is>
      </c>
      <c r="B1166" t="inlineStr">
        <is>
          <t>recv8CSIj5z4E5.jpg</t>
        </is>
      </c>
      <c r="C1166" s="2" t="str">
        <f>=HYPERLINK("https://xhslink.com/m/3cs0Db3ftvZ", "https://xhslink.com/m/3cs0Db3ftvZ")</f>
        <v>https://xhslink.com/m/3cs0Db3ftvZ</v>
      </c>
      <c r="D1166"/>
      <c r="E1166">
        <v>1024</v>
      </c>
      <c r="F1166">
        <v>15.8</v>
      </c>
      <c r="G1166"/>
      <c r="H1166"/>
      <c r="I1166">
        <v>400</v>
      </c>
      <c r="J1166"/>
      <c r="K1166" t="inlineStr">
        <is>
          <t>雅思口语高分模板</t>
        </is>
      </c>
      <c r="L1166"/>
      <c r="M1166" t="inlineStr">
        <is>
          <t>小翠姐姐的店</t>
        </is>
      </c>
      <c r="N1166">
        <v>984</v>
      </c>
      <c r="O1166">
        <v>4.14</v>
      </c>
      <c r="P1166">
        <v>5794</v>
      </c>
      <c r="Q1166" t="inlineStr">
        <is>
          <t>68ba878c95220f0001f881ef</t>
        </is>
      </c>
      <c r="R1166"/>
      <c r="S1166" t="inlineStr">
        <is>
          <t>中小学教辅/教材</t>
        </is>
      </c>
      <c r="T1166" t="inlineStr">
        <is>
          <t>1.04</t>
        </is>
      </c>
      <c r="U1166" s="3">
        <v>46112.78107638889</v>
      </c>
      <c r="V1166" t="inlineStr">
        <is>
          <t>虚拟产品</t>
        </is>
      </c>
      <c r="W1166" s="3">
        <v>46040</v>
      </c>
      <c r="X1166" t="inlineStr">
        <is>
          <t>01</t>
        </is>
      </c>
      <c r="Y1166" t="inlineStr">
        <is>
          <t>2026-Q1</t>
        </is>
      </c>
    </row>
    <row r="1167" ht="38.25" customHeight="1">
      <c r="A1167" t="inlineStr">
        <is>
          <t>幼小衔接数学每日一练（60页）PDF版本可打印</t>
        </is>
      </c>
      <c r="B1167" t="inlineStr">
        <is>
          <t>recv8CSIj5opzY.jpg</t>
        </is>
      </c>
      <c r="C1167" s="2" t="str">
        <f>=HYPERLINK("https://xhslink.com/m/KVvhUPIZuz", "https://xhslink.com/m/KVvhUPIZuz")</f>
        <v>https://xhslink.com/m/KVvhUPIZuz</v>
      </c>
      <c r="D1167"/>
      <c r="E1167">
        <v>978</v>
      </c>
      <c r="F1167">
        <v>3.8</v>
      </c>
      <c r="G1167"/>
      <c r="H1167"/>
      <c r="I1167">
        <v>500</v>
      </c>
      <c r="J1167"/>
      <c r="K1167" t="inlineStr">
        <is>
          <t>雅思口语高分模板</t>
        </is>
      </c>
      <c r="L1167"/>
      <c r="M1167" t="inlineStr">
        <is>
          <t>小Kim爱学习🎒的店</t>
        </is>
      </c>
      <c r="N1167">
        <v>908</v>
      </c>
      <c r="O1167">
        <v>4.07</v>
      </c>
      <c r="P1167">
        <v>7582</v>
      </c>
      <c r="Q1167" t="inlineStr">
        <is>
          <t>68706ebe8748d700019c6d69</t>
        </is>
      </c>
      <c r="R1167"/>
      <c r="S1167" t="inlineStr">
        <is>
          <t>中小学教辅/教材</t>
        </is>
      </c>
      <c r="T1167" t="inlineStr">
        <is>
          <t>1.08</t>
        </is>
      </c>
      <c r="U1167" s="3">
        <v>46112.78107638889</v>
      </c>
      <c r="V1167" t="inlineStr">
        <is>
          <t>虚拟产品</t>
        </is>
      </c>
      <c r="W1167" s="3">
        <v>46040</v>
      </c>
      <c r="X1167" t="inlineStr">
        <is>
          <t>01</t>
        </is>
      </c>
      <c r="Y1167" t="inlineStr">
        <is>
          <t>2026-Q1</t>
        </is>
      </c>
    </row>
    <row r="1168" ht="38.25" customHeight="1">
      <c r="A1168" t="inlineStr">
        <is>
          <t>2025年小学期末试卷 语文数学英语 电子资料113</t>
        </is>
      </c>
      <c r="B1168" t="inlineStr">
        <is>
          <t>recv8CSIj5mX1i.jpg</t>
        </is>
      </c>
      <c r="C1168" s="2" t="str">
        <f>=HYPERLINK("https://xhslink.com/m/MSPDsF7Dkq", "https://xhslink.com/m/MSPDsF7Dkq")</f>
        <v>https://xhslink.com/m/MSPDsF7Dkq</v>
      </c>
      <c r="D1168"/>
      <c r="E1168">
        <v>573</v>
      </c>
      <c r="F1168">
        <v>5.8</v>
      </c>
      <c r="G1168"/>
      <c r="H1168"/>
      <c r="I1168">
        <v>400</v>
      </c>
      <c r="J1168"/>
      <c r="K1168" t="inlineStr">
        <is>
          <t>雅思口语高分模板</t>
        </is>
      </c>
      <c r="L1168"/>
      <c r="M1168" t="inlineStr">
        <is>
          <t>学而优资料室的店</t>
        </is>
      </c>
      <c r="N1168">
        <v>744</v>
      </c>
      <c r="O1168">
        <v>4.18</v>
      </c>
      <c r="P1168">
        <v>2577</v>
      </c>
      <c r="Q1168" t="inlineStr">
        <is>
          <t>69328f21bf02330001820ef4</t>
        </is>
      </c>
      <c r="R1168"/>
      <c r="S1168" t="inlineStr">
        <is>
          <t>中小学教辅/教材</t>
        </is>
      </c>
      <c r="T1168" t="inlineStr">
        <is>
          <t>0.77</t>
        </is>
      </c>
      <c r="U1168" s="3">
        <v>46112.78107638889</v>
      </c>
      <c r="V1168" t="inlineStr">
        <is>
          <t>虚拟产品</t>
        </is>
      </c>
      <c r="W1168" s="3">
        <v>46040</v>
      </c>
      <c r="X1168" t="inlineStr">
        <is>
          <t>01</t>
        </is>
      </c>
      <c r="Y1168" t="inlineStr">
        <is>
          <t>2026-Q1</t>
        </is>
      </c>
    </row>
    <row r="1169" ht="38.25" customHeight="1">
      <c r="A1169" t="inlineStr">
        <is>
          <t>30天减肥减重食谱，不节食不运动</t>
        </is>
      </c>
      <c r="B1169" t="inlineStr">
        <is>
          <t>recv8CSIj5tVnu.jpg</t>
        </is>
      </c>
      <c r="C1169" s="2" t="str">
        <f>=HYPERLINK("https://xhslink.com/m/4BhgX43qghh", "https://xhslink.com/m/4BhgX43qghh")</f>
        <v>https://xhslink.com/m/4BhgX43qghh</v>
      </c>
      <c r="D1169"/>
      <c r="E1169">
        <v>1328</v>
      </c>
      <c r="F1169">
        <v>9.9</v>
      </c>
      <c r="G1169"/>
      <c r="H1169"/>
      <c r="I1169">
        <v>400</v>
      </c>
      <c r="J1169"/>
      <c r="K1169" t="inlineStr">
        <is>
          <t>减肥食谱</t>
        </is>
      </c>
      <c r="L1169" t="inlineStr">
        <is>
          <t>🔥低粉爆款</t>
        </is>
      </c>
      <c r="M1169" t="inlineStr">
        <is>
          <t>小幸吃饭了的店</t>
        </is>
      </c>
      <c r="N1169">
        <v>346</v>
      </c>
      <c r="O1169">
        <v>4.16</v>
      </c>
      <c r="P1169">
        <v>1355</v>
      </c>
      <c r="Q1169" t="inlineStr">
        <is>
          <t>6881fa114daa7100017c29c1</t>
        </is>
      </c>
      <c r="R1169"/>
      <c r="S1169" t="inlineStr">
        <is>
          <t>生活成长</t>
        </is>
      </c>
      <c r="T1169" t="inlineStr">
        <is>
          <t>3.84</t>
        </is>
      </c>
      <c r="U1169" s="3">
        <v>46112.78107638889</v>
      </c>
      <c r="V1169" t="inlineStr">
        <is>
          <t>虚拟产品</t>
        </is>
      </c>
      <c r="W1169" s="3">
        <v>46040</v>
      </c>
      <c r="X1169" t="inlineStr">
        <is>
          <t>01</t>
        </is>
      </c>
      <c r="Y1169" t="inlineStr">
        <is>
          <t>2026-Q1</t>
        </is>
      </c>
    </row>
    <row r="1170" ht="38.25" customHeight="1">
      <c r="A1170" t="inlineStr">
        <is>
          <t>虚拟定制－考研英语作文模板(英一英二通用)</t>
        </is>
      </c>
      <c r="B1170" t="inlineStr">
        <is>
          <t>recv8CSIj52nTg.jpg</t>
        </is>
      </c>
      <c r="C1170" s="2" t="str">
        <f>=HYPERLINK("https://xhslink.com/m/9D9r4QhPHUX", "https://xhslink.com/m/9D9r4QhPHUX")</f>
        <v>https://xhslink.com/m/9D9r4QhPHUX</v>
      </c>
      <c r="D1170"/>
      <c r="E1170">
        <v>7092</v>
      </c>
      <c r="F1170">
        <v>25.99</v>
      </c>
      <c r="G1170"/>
      <c r="H1170"/>
      <c r="I1170">
        <v>3000</v>
      </c>
      <c r="J1170"/>
      <c r="K1170" t="inlineStr">
        <is>
          <t>英语作文</t>
        </is>
      </c>
      <c r="L1170"/>
      <c r="M1170" t="inlineStr">
        <is>
          <t>不只是碎片的店</t>
        </is>
      </c>
      <c r="N1170">
        <v>13000</v>
      </c>
      <c r="O1170">
        <v>4.34</v>
      </c>
      <c r="P1170">
        <v>10000</v>
      </c>
      <c r="Q1170" t="inlineStr">
        <is>
          <t>68d3cf9a8c33b90001805999</t>
        </is>
      </c>
      <c r="R1170" t="inlineStr">
        <is>
          <t>🚫重复</t>
        </is>
      </c>
      <c r="S1170" t="inlineStr">
        <is>
          <t>考研资料</t>
        </is>
      </c>
      <c r="T1170" t="inlineStr">
        <is>
          <t>0.55</t>
        </is>
      </c>
      <c r="U1170" s="3">
        <v>46112.78107638889</v>
      </c>
      <c r="V1170" t="inlineStr">
        <is>
          <t>虚拟产品</t>
        </is>
      </c>
      <c r="W1170" s="3">
        <v>46040</v>
      </c>
      <c r="X1170" t="inlineStr">
        <is>
          <t>01</t>
        </is>
      </c>
      <c r="Y1170" t="inlineStr">
        <is>
          <t>2026-Q1</t>
        </is>
      </c>
    </row>
    <row r="1171" ht="38.25" customHeight="1">
      <c r="A1171" t="inlineStr">
        <is>
          <t>2026高中英语读后续写应用文写作高考英语作文专项训练电子版</t>
        </is>
      </c>
      <c r="B1171" t="inlineStr">
        <is>
          <t>recv8CSIj5Bp5d.jpg</t>
        </is>
      </c>
      <c r="C1171" s="2" t="str">
        <f>=HYPERLINK("https://xhslink.com/m/7iUDCc8zMuF", "https://xhslink.com/m/7iUDCc8zMuF")</f>
        <v>https://xhslink.com/m/7iUDCc8zMuF</v>
      </c>
      <c r="D1171"/>
      <c r="E1171">
        <v>1308</v>
      </c>
      <c r="F1171">
        <v>15.8</v>
      </c>
      <c r="G1171"/>
      <c r="H1171"/>
      <c r="I1171">
        <v>1000</v>
      </c>
      <c r="J1171"/>
      <c r="K1171" t="inlineStr">
        <is>
          <t>英语作文</t>
        </is>
      </c>
      <c r="L1171"/>
      <c r="M1171" t="inlineStr">
        <is>
          <t>小刘老师优资资料库的店</t>
        </is>
      </c>
      <c r="N1171">
        <v>902</v>
      </c>
      <c r="O1171">
        <v>4.04</v>
      </c>
      <c r="P1171">
        <v>3458</v>
      </c>
      <c r="Q1171" t="inlineStr">
        <is>
          <t>6913ec5a44138800011fe70b</t>
        </is>
      </c>
      <c r="R1171" t="inlineStr">
        <is>
          <t>🚫重复</t>
        </is>
      </c>
      <c r="S1171" t="inlineStr">
        <is>
          <t>高中/高考资料</t>
        </is>
      </c>
      <c r="T1171" t="inlineStr">
        <is>
          <t>1.45</t>
        </is>
      </c>
      <c r="U1171" s="3">
        <v>46112.78107638889</v>
      </c>
      <c r="V1171" t="inlineStr">
        <is>
          <t>虚拟产品</t>
        </is>
      </c>
      <c r="W1171" s="3">
        <v>46040</v>
      </c>
      <c r="X1171" t="inlineStr">
        <is>
          <t>01</t>
        </is>
      </c>
      <c r="Y1171" t="inlineStr">
        <is>
          <t>2026-Q1</t>
        </is>
      </c>
    </row>
    <row r="1172" ht="38.25" customHeight="1">
      <c r="A1172" t="inlineStr">
        <is>
          <t>考研英语作文模板（新增冲刺版模板现阶段适用)夸克/百度网盘发</t>
        </is>
      </c>
      <c r="B1172" t="inlineStr">
        <is>
          <t>recv8CSIj5rNe5.jpg</t>
        </is>
      </c>
      <c r="C1172" s="2" t="str">
        <f>=HYPERLINK("https://xhslink.com/m/94k2d1QQKR6", "https://xhslink.com/m/94k2d1QQKR6")</f>
        <v>https://xhslink.com/m/94k2d1QQKR6</v>
      </c>
      <c r="D1172"/>
      <c r="E1172">
        <v>1325</v>
      </c>
      <c r="F1172">
        <v>15</v>
      </c>
      <c r="G1172"/>
      <c r="H1172"/>
      <c r="I1172">
        <v>1000</v>
      </c>
      <c r="J1172"/>
      <c r="K1172" t="inlineStr">
        <is>
          <t>英语作文</t>
        </is>
      </c>
      <c r="L1172"/>
      <c r="M1172" t="inlineStr">
        <is>
          <t>小海豹吉吉永不为奴（英一85版）的店</t>
        </is>
      </c>
      <c r="N1172">
        <v>6935</v>
      </c>
      <c r="O1172">
        <v>4.19</v>
      </c>
      <c r="P1172">
        <v>2113</v>
      </c>
      <c r="Q1172" t="inlineStr">
        <is>
          <t>68f4aef1c074c50001e483ec</t>
        </is>
      </c>
      <c r="R1172"/>
      <c r="S1172" t="inlineStr">
        <is>
          <t>考研资料</t>
        </is>
      </c>
      <c r="T1172" t="inlineStr">
        <is>
          <t>0.19</t>
        </is>
      </c>
      <c r="U1172" s="3">
        <v>46112.78107638889</v>
      </c>
      <c r="V1172" t="inlineStr">
        <is>
          <t>虚拟产品</t>
        </is>
      </c>
      <c r="W1172" s="3">
        <v>46040</v>
      </c>
      <c r="X1172" t="inlineStr">
        <is>
          <t>01</t>
        </is>
      </c>
      <c r="Y1172" t="inlineStr">
        <is>
          <t>2026-Q1</t>
        </is>
      </c>
    </row>
    <row r="1173" ht="38.25" customHeight="1">
      <c r="A1173" t="inlineStr">
        <is>
          <t>高中英语应用文写作小纸条(共30天练习秒发</t>
        </is>
      </c>
      <c r="B1173" t="inlineStr">
        <is>
          <t>recv8CSIj5wgJe.jpg</t>
        </is>
      </c>
      <c r="C1173" s="2" t="str">
        <f>=HYPERLINK("https://xhslink.com/m/7bxU0Qz9E9r", "https://xhslink.com/m/7bxU0Qz9E9r")</f>
        <v>https://xhslink.com/m/7bxU0Qz9E9r</v>
      </c>
      <c r="D1173"/>
      <c r="E1173">
        <v>929</v>
      </c>
      <c r="F1173">
        <v>9.9</v>
      </c>
      <c r="G1173"/>
      <c r="H1173"/>
      <c r="I1173">
        <v>800</v>
      </c>
      <c r="J1173"/>
      <c r="K1173" t="inlineStr">
        <is>
          <t>英语作文</t>
        </is>
      </c>
      <c r="L1173"/>
      <c r="M1173" t="inlineStr">
        <is>
          <t>喜悦妈教英语的店</t>
        </is>
      </c>
      <c r="N1173">
        <v>1172</v>
      </c>
      <c r="O1173">
        <v>4.1</v>
      </c>
      <c r="P1173">
        <v>4417</v>
      </c>
      <c r="Q1173" t="inlineStr">
        <is>
          <t>68ea4017f8d1f000018a6e4e</t>
        </is>
      </c>
      <c r="R1173"/>
      <c r="S1173" t="inlineStr">
        <is>
          <t>高中/高考资料</t>
        </is>
      </c>
      <c r="T1173" t="inlineStr">
        <is>
          <t>0.79</t>
        </is>
      </c>
      <c r="U1173" s="3">
        <v>46112.78107638889</v>
      </c>
      <c r="V1173" t="inlineStr">
        <is>
          <t>虚拟产品</t>
        </is>
      </c>
      <c r="W1173" s="3">
        <v>46040</v>
      </c>
      <c r="X1173" t="inlineStr">
        <is>
          <t>01</t>
        </is>
      </c>
      <c r="Y1173" t="inlineStr">
        <is>
          <t>2026-Q1</t>
        </is>
      </c>
    </row>
    <row r="1174" ht="38.25" customHeight="1">
      <c r="A1174" t="inlineStr">
        <is>
          <t>【英语144分北大学姐】拯救我的英语的作文素材！海量高分表达！</t>
        </is>
      </c>
      <c r="B1174" t="inlineStr">
        <is>
          <t>recv8CSIj5DYih.jpg</t>
        </is>
      </c>
      <c r="C1174" s="2" t="str">
        <f>=HYPERLINK("https://xhslink.com/m/24xZAkufS1r", "https://xhslink.com/m/24xZAkufS1r")</f>
        <v>https://xhslink.com/m/24xZAkufS1r</v>
      </c>
      <c r="D1174"/>
      <c r="E1174">
        <v>941</v>
      </c>
      <c r="F1174">
        <v>9.9</v>
      </c>
      <c r="G1174"/>
      <c r="H1174"/>
      <c r="I1174">
        <v>400</v>
      </c>
      <c r="J1174"/>
      <c r="K1174" t="inlineStr">
        <is>
          <t>英语作文</t>
        </is>
      </c>
      <c r="L1174"/>
      <c r="M1174" t="inlineStr">
        <is>
          <t>zjzl的店</t>
        </is>
      </c>
      <c r="N1174">
        <v>16000</v>
      </c>
      <c r="O1174">
        <v>4.13</v>
      </c>
      <c r="P1174">
        <v>2038</v>
      </c>
      <c r="Q1174" t="inlineStr">
        <is>
          <t>68b083c4a50cd90001f31b85</t>
        </is>
      </c>
      <c r="R1174"/>
      <c r="S1174" t="inlineStr">
        <is>
          <t>英语资料</t>
        </is>
      </c>
      <c r="T1174" t="inlineStr">
        <is>
          <t>0.06</t>
        </is>
      </c>
      <c r="U1174" s="3">
        <v>46112.78107638889</v>
      </c>
      <c r="V1174" t="inlineStr">
        <is>
          <t>虚拟产品</t>
        </is>
      </c>
      <c r="W1174" s="3">
        <v>46040</v>
      </c>
      <c r="X1174" t="inlineStr">
        <is>
          <t>01</t>
        </is>
      </c>
      <c r="Y1174" t="inlineStr">
        <is>
          <t>2026-Q1</t>
        </is>
      </c>
    </row>
    <row r="1175" ht="38.25" customHeight="1">
      <c r="A1175" t="inlineStr">
        <is>
          <t>2026年高中英语读后续写应用文写作每日一练电子版可打印</t>
        </is>
      </c>
      <c r="B1175" t="inlineStr">
        <is>
          <t>recv8CSIj5R9lj.jpg</t>
        </is>
      </c>
      <c r="C1175" s="2" t="str">
        <f>=HYPERLINK("https://xhslink.com/m/7X8wfHGymC0", "https://xhslink.com/m/7X8wfHGymC0")</f>
        <v>https://xhslink.com/m/7X8wfHGymC0</v>
      </c>
      <c r="D1175"/>
      <c r="E1175">
        <v>386</v>
      </c>
      <c r="F1175">
        <v>15.8</v>
      </c>
      <c r="G1175"/>
      <c r="H1175"/>
      <c r="I1175">
        <v>300</v>
      </c>
      <c r="J1175"/>
      <c r="K1175" t="inlineStr">
        <is>
          <t>英语作文</t>
        </is>
      </c>
      <c r="L1175"/>
      <c r="M1175" t="inlineStr">
        <is>
          <t>小刘老师优资资料库的店</t>
        </is>
      </c>
      <c r="N1175">
        <v>902</v>
      </c>
      <c r="O1175">
        <v>4.04</v>
      </c>
      <c r="P1175">
        <v>3458</v>
      </c>
      <c r="Q1175" t="inlineStr">
        <is>
          <t>6954a3cda351230001b3c5b9</t>
        </is>
      </c>
      <c r="R1175" t="inlineStr">
        <is>
          <t>🚫重复</t>
        </is>
      </c>
      <c r="S1175" t="inlineStr">
        <is>
          <t>高中/高考资料</t>
        </is>
      </c>
      <c r="T1175" t="inlineStr">
        <is>
          <t>0.43</t>
        </is>
      </c>
      <c r="U1175" s="3">
        <v>46112.78107638889</v>
      </c>
      <c r="V1175" t="inlineStr">
        <is>
          <t>虚拟产品</t>
        </is>
      </c>
      <c r="W1175" s="3">
        <v>46040</v>
      </c>
      <c r="X1175" t="inlineStr">
        <is>
          <t>01</t>
        </is>
      </c>
      <c r="Y1175" t="inlineStr">
        <is>
          <t>2026-Q1</t>
        </is>
      </c>
    </row>
    <row r="1176" ht="38.25" customHeight="1">
      <c r="A1176" t="inlineStr">
        <is>
          <t>雅思写作冲7分速成模板+高分语料库（预售，后涨价为399）</t>
        </is>
      </c>
      <c r="B1176" t="inlineStr">
        <is>
          <t>recv8CSIj5nolR.jpg</t>
        </is>
      </c>
      <c r="C1176" s="2" t="str">
        <f>=HYPERLINK("https://xhslink.com/m/5cssKtFI2rQ", "https://xhslink.com/m/5cssKtFI2rQ")</f>
        <v>https://xhslink.com/m/5cssKtFI2rQ</v>
      </c>
      <c r="D1176"/>
      <c r="E1176">
        <v>3860</v>
      </c>
      <c r="F1176">
        <v>59</v>
      </c>
      <c r="G1176"/>
      <c r="H1176"/>
      <c r="I1176">
        <v>800</v>
      </c>
      <c r="J1176"/>
      <c r="K1176" t="inlineStr">
        <is>
          <t>作文模板</t>
        </is>
      </c>
      <c r="L1176"/>
      <c r="M1176" t="inlineStr">
        <is>
          <t>Claire澳洲学姐（雅思口语9分）的店</t>
        </is>
      </c>
      <c r="N1176">
        <v>37000</v>
      </c>
      <c r="O1176">
        <v>4.59</v>
      </c>
      <c r="P1176">
        <v>20000</v>
      </c>
      <c r="Q1176" t="inlineStr">
        <is>
          <t>67809715a03f41000177e61b</t>
        </is>
      </c>
      <c r="R1176" t="inlineStr">
        <is>
          <t>🚫重复</t>
        </is>
      </c>
      <c r="S1176" t="inlineStr">
        <is>
          <t>英语资料</t>
        </is>
      </c>
      <c r="T1176" t="inlineStr">
        <is>
          <t>0.10</t>
        </is>
      </c>
      <c r="U1176" s="3">
        <v>46112.78107638889</v>
      </c>
      <c r="V1176" t="inlineStr">
        <is>
          <t>虚拟产品</t>
        </is>
      </c>
      <c r="W1176" s="3">
        <v>46040</v>
      </c>
      <c r="X1176" t="inlineStr">
        <is>
          <t>01</t>
        </is>
      </c>
      <c r="Y1176" t="inlineStr">
        <is>
          <t>2026-Q1</t>
        </is>
      </c>
    </row>
    <row r="1177" ht="38.25" customHeight="1">
      <c r="A1177" t="inlineStr">
        <is>
          <t>33-2026考研英语作文专用模板</t>
        </is>
      </c>
      <c r="B1177" t="inlineStr">
        <is>
          <t>recv8CSIj5JmSM.jpg</t>
        </is>
      </c>
      <c r="C1177" s="2" t="str">
        <f>=HYPERLINK("https://xhslink.com/m/7ozfkrZXxMC", "https://xhslink.com/m/7ozfkrZXxMC")</f>
        <v>https://xhslink.com/m/7ozfkrZXxMC</v>
      </c>
      <c r="D1177"/>
      <c r="E1177">
        <v>1884</v>
      </c>
      <c r="F1177">
        <v>7.99</v>
      </c>
      <c r="G1177"/>
      <c r="H1177"/>
      <c r="I1177">
        <v>1000</v>
      </c>
      <c r="J1177"/>
      <c r="K1177" t="inlineStr">
        <is>
          <t>作文模板</t>
        </is>
      </c>
      <c r="L1177"/>
      <c r="M1177" t="inlineStr">
        <is>
          <t>长长久久久的店</t>
        </is>
      </c>
      <c r="N1177">
        <v>1265</v>
      </c>
      <c r="O1177">
        <v>4.13</v>
      </c>
      <c r="P1177">
        <v>4881</v>
      </c>
      <c r="Q1177" t="inlineStr">
        <is>
          <t>6901becebecfcc00017f6ed8</t>
        </is>
      </c>
      <c r="R1177"/>
      <c r="S1177" t="inlineStr">
        <is>
          <t>考研资料</t>
        </is>
      </c>
      <c r="T1177" t="inlineStr">
        <is>
          <t>1.49</t>
        </is>
      </c>
      <c r="U1177" s="3">
        <v>46112.78107638889</v>
      </c>
      <c r="V1177" t="inlineStr">
        <is>
          <t>虚拟产品</t>
        </is>
      </c>
      <c r="W1177" s="3">
        <v>46040</v>
      </c>
      <c r="X1177" t="inlineStr">
        <is>
          <t>01</t>
        </is>
      </c>
      <c r="Y1177" t="inlineStr">
        <is>
          <t>2026-Q1</t>
        </is>
      </c>
    </row>
    <row r="1178" ht="38.25" customHeight="1">
      <c r="A1178" t="inlineStr">
        <is>
          <t>基于苹果日历的时间管理系统</t>
        </is>
      </c>
      <c r="B1178" t="inlineStr">
        <is>
          <t>recv8CSIj5T1MO.jpg</t>
        </is>
      </c>
      <c r="C1178" s="2" t="str">
        <f>=HYPERLINK("https://xhslink.com/m/30FeidFKgHv", "https://xhslink.com/m/30FeidFKgHv")</f>
        <v>https://xhslink.com/m/30FeidFKgHv</v>
      </c>
      <c r="D1178"/>
      <c r="E1178">
        <v>8230</v>
      </c>
      <c r="F1178">
        <v>29.99</v>
      </c>
      <c r="G1178"/>
      <c r="H1178"/>
      <c r="I1178">
        <v>600</v>
      </c>
      <c r="J1178"/>
      <c r="K1178" t="inlineStr">
        <is>
          <t>时间管理</t>
        </is>
      </c>
      <c r="L1178" t="inlineStr">
        <is>
          <t>🔥低粉爆款</t>
        </is>
      </c>
      <c r="M1178" t="inlineStr">
        <is>
          <t>蜜糖时间管理的店</t>
        </is>
      </c>
      <c r="N1178">
        <v>1567</v>
      </c>
      <c r="O1178">
        <v>4.04</v>
      </c>
      <c r="P1178">
        <v>8305</v>
      </c>
      <c r="Q1178" t="inlineStr">
        <is>
          <t>67d0dfd35fc3f70001dfb528</t>
        </is>
      </c>
      <c r="R1178"/>
      <c r="S1178" t="inlineStr">
        <is>
          <t>软件应用</t>
        </is>
      </c>
      <c r="T1178" t="inlineStr">
        <is>
          <t>5.25</t>
        </is>
      </c>
      <c r="U1178" s="3">
        <v>46112.78107638889</v>
      </c>
      <c r="V1178" t="inlineStr">
        <is>
          <t>虚拟产品</t>
        </is>
      </c>
      <c r="W1178" s="3">
        <v>46040</v>
      </c>
      <c r="X1178" t="inlineStr">
        <is>
          <t>01</t>
        </is>
      </c>
      <c r="Y1178" t="inlineStr">
        <is>
          <t>2026-Q1</t>
        </is>
      </c>
    </row>
    <row r="1179" ht="38.25" customHeight="1">
      <c r="A1179" t="inlineStr">
        <is>
          <t>TODOLIST | 布雷酱待办管理器 | 时间管理 | 未来日程 | 定制商品</t>
        </is>
      </c>
      <c r="B1179" t="inlineStr">
        <is>
          <t>recv8CSIj5JbuG.jpg</t>
        </is>
      </c>
      <c r="C1179" s="2" t="str">
        <f>=HYPERLINK("https://xhslink.com/m/5Uux1MKPYxm", "https://xhslink.com/m/5Uux1MKPYxm")</f>
        <v>https://xhslink.com/m/5Uux1MKPYxm</v>
      </c>
      <c r="D1179"/>
      <c r="E1179">
        <v>909</v>
      </c>
      <c r="F1179">
        <v>199</v>
      </c>
      <c r="G1179"/>
      <c r="H1179"/>
      <c r="I1179">
        <v>600</v>
      </c>
      <c r="J1179"/>
      <c r="K1179" t="inlineStr">
        <is>
          <t>时间管理</t>
        </is>
      </c>
      <c r="L1179"/>
      <c r="M1179" t="inlineStr">
        <is>
          <t>布雷酱的人生日记的店</t>
        </is>
      </c>
      <c r="N1179">
        <v>25000</v>
      </c>
      <c r="O1179">
        <v>4.45</v>
      </c>
      <c r="P1179">
        <v>25000</v>
      </c>
      <c r="Q1179" t="inlineStr">
        <is>
          <t>68ecfd2b3f741f00017887cc</t>
        </is>
      </c>
      <c r="R1179" t="inlineStr">
        <is>
          <t>🚫重复</t>
        </is>
      </c>
      <c r="S1179" t="inlineStr">
        <is>
          <t>软件应用</t>
        </is>
      </c>
      <c r="T1179" t="inlineStr">
        <is>
          <t>0.04</t>
        </is>
      </c>
      <c r="U1179" s="3">
        <v>46112.78107638889</v>
      </c>
      <c r="V1179" t="inlineStr">
        <is>
          <t>虚拟产品</t>
        </is>
      </c>
      <c r="W1179" s="3">
        <v>46040</v>
      </c>
      <c r="X1179" t="inlineStr">
        <is>
          <t>01</t>
        </is>
      </c>
      <c r="Y1179" t="inlineStr">
        <is>
          <t>2026-Q1</t>
        </is>
      </c>
    </row>
    <row r="1180" ht="38.25" customHeight="1">
      <c r="A1180" t="inlineStr">
        <is>
          <t>正版·董洁推荐给40岁后更好的自己堀川波著女性成长人生重启之书</t>
        </is>
      </c>
      <c r="B1180" t="inlineStr">
        <is>
          <t>recv8CSIj5nYRW.jpg</t>
        </is>
      </c>
      <c r="C1180" s="2" t="str">
        <f>=HYPERLINK("https://xhslink.com/m/7tcEEeePnfJ", "https://xhslink.com/m/7tcEEeePnfJ")</f>
        <v>https://xhslink.com/m/7tcEEeePnfJ</v>
      </c>
      <c r="D1180"/>
      <c r="E1180">
        <v>2984</v>
      </c>
      <c r="F1180">
        <v>189.9</v>
      </c>
      <c r="G1180"/>
      <c r="H1180"/>
      <c r="I1180">
        <v>800</v>
      </c>
      <c r="J1180"/>
      <c r="K1180" t="inlineStr">
        <is>
          <t>成长清单</t>
        </is>
      </c>
      <c r="L1180" t="inlineStr">
        <is>
          <t>🔥低粉爆款</t>
        </is>
      </c>
      <c r="M1180" t="inlineStr">
        <is>
          <t>A小树苗书屋的店</t>
        </is>
      </c>
      <c r="N1180">
        <v>417</v>
      </c>
      <c r="O1180">
        <v>4.56</v>
      </c>
      <c r="P1180">
        <v>3749</v>
      </c>
      <c r="Q1180" t="inlineStr">
        <is>
          <t>69020cb9dcedc70001f5b2dc</t>
        </is>
      </c>
      <c r="R1180"/>
      <c r="S1180" t="inlineStr">
        <is>
          <t>生活成长</t>
        </is>
      </c>
      <c r="T1180" t="inlineStr">
        <is>
          <t>7.16</t>
        </is>
      </c>
      <c r="U1180" s="3">
        <v>46112.78107638889</v>
      </c>
      <c r="V1180" t="inlineStr">
        <is>
          <t>虚拟产品</t>
        </is>
      </c>
      <c r="W1180" s="3">
        <v>46040</v>
      </c>
      <c r="X1180" t="inlineStr">
        <is>
          <t>01</t>
        </is>
      </c>
      <c r="Y1180" t="inlineStr">
        <is>
          <t>2026-Q1</t>
        </is>
      </c>
    </row>
    <row r="1181" ht="38.25" customHeight="1">
      <c r="A1181" t="inlineStr">
        <is>
          <t>墨苒 · 2026年365个我原创插画暖心成长日历文艺ins高颜值办公室摆件台历</t>
        </is>
      </c>
      <c r="B1181" t="inlineStr">
        <is>
          <t>recv8CSIj5bPc6.jpg</t>
        </is>
      </c>
      <c r="C1181" s="2" t="str">
        <f>=HYPERLINK("https://xhslink.com/m/3sE25jodxhp", "https://xhslink.com/m/3sE25jodxhp")</f>
        <v>https://xhslink.com/m/3sE25jodxhp</v>
      </c>
      <c r="D1181"/>
      <c r="E1181">
        <v>1573</v>
      </c>
      <c r="F1181">
        <v>26.8</v>
      </c>
      <c r="G1181"/>
      <c r="H1181"/>
      <c r="I1181">
        <v>1000</v>
      </c>
      <c r="J1181"/>
      <c r="K1181" t="inlineStr">
        <is>
          <t>成长清单</t>
        </is>
      </c>
      <c r="L1181"/>
      <c r="M1181" t="inlineStr">
        <is>
          <t>墨苒文创旗舰店</t>
        </is>
      </c>
      <c r="N1181">
        <v>8276</v>
      </c>
      <c r="O1181">
        <v>4.56</v>
      </c>
      <c r="P1181">
        <v>41000</v>
      </c>
      <c r="Q1181" t="inlineStr">
        <is>
          <t>68d8d86f7d3b3f0001b62b83</t>
        </is>
      </c>
      <c r="R1181"/>
      <c r="S1181" t="inlineStr">
        <is>
          <t>生活成长</t>
        </is>
      </c>
      <c r="T1181" t="inlineStr">
        <is>
          <t>0.19</t>
        </is>
      </c>
      <c r="U1181" s="3">
        <v>46112.78107638889</v>
      </c>
      <c r="V1181" t="inlineStr">
        <is>
          <t>虚拟产品</t>
        </is>
      </c>
      <c r="W1181" s="3">
        <v>46040</v>
      </c>
      <c r="X1181" t="inlineStr">
        <is>
          <t>01</t>
        </is>
      </c>
      <c r="Y1181" t="inlineStr">
        <is>
          <t>2026-Q1</t>
        </is>
      </c>
    </row>
    <row r="1182" ht="38.25" customHeight="1">
      <c r="A1182" t="inlineStr">
        <is>
          <t>心书·十八岁成人礼纪念册生日礼物送男生女生/成长定制相册</t>
        </is>
      </c>
      <c r="B1182" t="inlineStr">
        <is>
          <t>recv8CSIj5PcEm.jpg</t>
        </is>
      </c>
      <c r="C1182" s="2" t="str">
        <f>=HYPERLINK("https://xhslink.com/m/7cMn0Pleaog", "https://xhslink.com/m/7cMn0Pleaog")</f>
        <v>https://xhslink.com/m/7cMn0Pleaog</v>
      </c>
      <c r="D1182"/>
      <c r="E1182">
        <v>1413</v>
      </c>
      <c r="F1182">
        <v>199</v>
      </c>
      <c r="G1182"/>
      <c r="H1182"/>
      <c r="I1182">
        <v>700</v>
      </c>
      <c r="J1182"/>
      <c r="K1182" t="inlineStr">
        <is>
          <t>成长清单</t>
        </is>
      </c>
      <c r="L1182"/>
      <c r="M1182" t="inlineStr">
        <is>
          <t>心书印象的店</t>
        </is>
      </c>
      <c r="N1182">
        <v>9546</v>
      </c>
      <c r="O1182">
        <v>4.14</v>
      </c>
      <c r="P1182">
        <v>8797</v>
      </c>
      <c r="Q1182" t="inlineStr">
        <is>
          <t>67d12d2fe15c910001f9b985</t>
        </is>
      </c>
      <c r="R1182"/>
      <c r="S1182" t="inlineStr">
        <is>
          <t>生活成长</t>
        </is>
      </c>
      <c r="T1182" t="inlineStr">
        <is>
          <t>0.15</t>
        </is>
      </c>
      <c r="U1182" s="3">
        <v>46112.78107638889</v>
      </c>
      <c r="V1182" t="inlineStr">
        <is>
          <t>虚拟产品</t>
        </is>
      </c>
      <c r="W1182" s="3">
        <v>46040</v>
      </c>
      <c r="X1182" t="inlineStr">
        <is>
          <t>01</t>
        </is>
      </c>
      <c r="Y1182" t="inlineStr">
        <is>
          <t>2026-Q1</t>
        </is>
      </c>
    </row>
    <row r="1183" ht="38.25" customHeight="1">
      <c r="A1183" t="inlineStr">
        <is>
          <t>Scl-90自测表 你想知道自己的心理防线到底有多强吗结果仅供参考</t>
        </is>
      </c>
      <c r="B1183" t="inlineStr">
        <is>
          <t>recv8CSIj5hnLi.jpg</t>
        </is>
      </c>
      <c r="C1183" s="2" t="str">
        <f>=HYPERLINK("https://xhslink.com/m/1g4K7WRCD7B", "https://xhslink.com/m/1g4K7WRCD7B")</f>
        <v>https://xhslink.com/m/1g4K7WRCD7B</v>
      </c>
      <c r="D1183"/>
      <c r="E1183">
        <v>73000</v>
      </c>
      <c r="F1183">
        <v>0.99</v>
      </c>
      <c r="G1183"/>
      <c r="H1183"/>
      <c r="I1183">
        <v>30000</v>
      </c>
      <c r="J1183"/>
      <c r="K1183" t="inlineStr">
        <is>
          <t>心理测试</t>
        </is>
      </c>
      <c r="L1183" t="inlineStr">
        <is>
          <t>🔥低粉爆款</t>
        </is>
      </c>
      <c r="M1183" t="inlineStr">
        <is>
          <t>趣味测试加油站的店</t>
        </is>
      </c>
      <c r="N1183">
        <v>2555</v>
      </c>
      <c r="O1183">
        <v>4.24</v>
      </c>
      <c r="P1183">
        <v>77000</v>
      </c>
      <c r="Q1183" t="inlineStr">
        <is>
          <t>686680040f178b0001e433ab</t>
        </is>
      </c>
      <c r="R1183"/>
      <c r="S1183" t="inlineStr">
        <is>
          <t>生活成长</t>
        </is>
      </c>
      <c r="T1183" t="inlineStr">
        <is>
          <t>28.57</t>
        </is>
      </c>
      <c r="U1183" s="3">
        <v>46112.78107638889</v>
      </c>
      <c r="V1183" t="inlineStr">
        <is>
          <t>虚拟产品</t>
        </is>
      </c>
      <c r="W1183" s="3">
        <v>46040</v>
      </c>
      <c r="X1183" t="inlineStr">
        <is>
          <t>01</t>
        </is>
      </c>
      <c r="Y1183" t="inlineStr">
        <is>
          <t>2026-Q1</t>
        </is>
      </c>
    </row>
    <row r="1184" ht="38.25" customHeight="1">
      <c r="A1184" t="inlineStr">
        <is>
          <t>SCL-90测试抑郁|焦虑|躯体化|心理测试|心理线上测评下单自动发货</t>
        </is>
      </c>
      <c r="B1184" t="inlineStr">
        <is>
          <t>recv8CSIj5KsCl.jpg</t>
        </is>
      </c>
      <c r="C1184" s="2" t="str">
        <f>=HYPERLINK("https://xhslink.com/m/ARRiKiETbxC", "https://xhslink.com/m/ARRiKiETbxC")</f>
        <v>https://xhslink.com/m/ARRiKiETbxC</v>
      </c>
      <c r="D1184"/>
      <c r="E1184">
        <v>47000</v>
      </c>
      <c r="F1184">
        <v>0.99</v>
      </c>
      <c r="G1184"/>
      <c r="H1184"/>
      <c r="I1184">
        <v>7000</v>
      </c>
      <c r="J1184"/>
      <c r="K1184" t="inlineStr">
        <is>
          <t>心理测试</t>
        </is>
      </c>
      <c r="L1184" t="inlineStr">
        <is>
          <t>🔥低粉爆款</t>
        </is>
      </c>
      <c r="M1184" t="inlineStr">
        <is>
          <t>心理健康分享理疗所的店</t>
        </is>
      </c>
      <c r="N1184">
        <v>5642</v>
      </c>
      <c r="O1184">
        <v>4.09</v>
      </c>
      <c r="P1184">
        <v>97000</v>
      </c>
      <c r="Q1184" t="inlineStr">
        <is>
          <t>684eda25802c620001120751</t>
        </is>
      </c>
      <c r="R1184"/>
      <c r="S1184" t="inlineStr">
        <is>
          <t>生活成长</t>
        </is>
      </c>
      <c r="T1184" t="inlineStr">
        <is>
          <t>8.33</t>
        </is>
      </c>
      <c r="U1184" s="3">
        <v>46112.78107638889</v>
      </c>
      <c r="V1184" t="inlineStr">
        <is>
          <t>虚拟产品</t>
        </is>
      </c>
      <c r="W1184" s="3">
        <v>46040</v>
      </c>
      <c r="X1184" t="inlineStr">
        <is>
          <t>01</t>
        </is>
      </c>
      <c r="Y1184" t="inlineStr">
        <is>
          <t>2026-Q1</t>
        </is>
      </c>
    </row>
    <row r="1185" ht="38.25" customHeight="1">
      <c r="A1185" t="inlineStr">
        <is>
          <t>BSQ双相情感障碍/线上测试/狂躁/焦虑/抑郁/下单后私信客服</t>
        </is>
      </c>
      <c r="B1185" t="inlineStr">
        <is>
          <t>recv8CSIj5Uoed.jpg</t>
        </is>
      </c>
      <c r="C1185" s="2" t="str">
        <f>=HYPERLINK("https://xhslink.com/m/77fEdtJjOXf", "https://xhslink.com/m/77fEdtJjOXf")</f>
        <v>https://xhslink.com/m/77fEdtJjOXf</v>
      </c>
      <c r="D1185"/>
      <c r="E1185">
        <v>34000</v>
      </c>
      <c r="F1185">
        <v>0.98</v>
      </c>
      <c r="G1185"/>
      <c r="H1185"/>
      <c r="I1185">
        <v>10000</v>
      </c>
      <c r="J1185"/>
      <c r="K1185" t="inlineStr">
        <is>
          <t>心理测试</t>
        </is>
      </c>
      <c r="L1185" t="inlineStr">
        <is>
          <t>🔥低粉爆款</t>
        </is>
      </c>
      <c r="M1185" t="inlineStr">
        <is>
          <t>疗愈心灵的港湾的店</t>
        </is>
      </c>
      <c r="N1185">
        <v>1436</v>
      </c>
      <c r="O1185">
        <v>4.2</v>
      </c>
      <c r="P1185">
        <v>48000</v>
      </c>
      <c r="Q1185" t="inlineStr">
        <is>
          <t>686118fd6256090001c4a98d</t>
        </is>
      </c>
      <c r="R1185"/>
      <c r="S1185" t="inlineStr">
        <is>
          <t>咨询服务</t>
        </is>
      </c>
      <c r="T1185" t="inlineStr">
        <is>
          <t>23.68</t>
        </is>
      </c>
      <c r="U1185" s="3">
        <v>46112.78107638889</v>
      </c>
      <c r="V1185" t="inlineStr">
        <is>
          <t>虚拟产品</t>
        </is>
      </c>
      <c r="W1185" s="3">
        <v>46040</v>
      </c>
      <c r="X1185" t="inlineStr">
        <is>
          <t>01</t>
        </is>
      </c>
      <c r="Y1185" t="inlineStr">
        <is>
          <t>2026-Q1</t>
        </is>
      </c>
    </row>
    <row r="1186" ht="38.25" customHeight="1">
      <c r="A1186" t="inlineStr">
        <is>
          <t>网红11款心理测试合集只要4.99打包带走！专属报告-秒出结果</t>
        </is>
      </c>
      <c r="B1186" t="inlineStr">
        <is>
          <t>recv8CSIj5N9NZ.jpg</t>
        </is>
      </c>
      <c r="C1186" s="2" t="str">
        <f>=HYPERLINK("https://xhslink.com/m/A27cEQHKYRX", "https://xhslink.com/m/A27cEQHKYRX")</f>
        <v>https://xhslink.com/m/A27cEQHKYRX</v>
      </c>
      <c r="D1186"/>
      <c r="E1186">
        <v>455</v>
      </c>
      <c r="F1186">
        <v>4.99</v>
      </c>
      <c r="G1186"/>
      <c r="H1186"/>
      <c r="I1186">
        <v>400</v>
      </c>
      <c r="J1186"/>
      <c r="K1186" t="inlineStr">
        <is>
          <t>心理测试</t>
        </is>
      </c>
      <c r="L1186"/>
      <c r="M1186" t="inlineStr">
        <is>
          <t>测试链接大全的店</t>
        </is>
      </c>
      <c r="N1186">
        <v>1229</v>
      </c>
      <c r="O1186">
        <v>4.14</v>
      </c>
      <c r="P1186">
        <v>18000</v>
      </c>
      <c r="Q1186" t="inlineStr">
        <is>
          <t>691d880ae8b9d40001e63cb2</t>
        </is>
      </c>
      <c r="R1186"/>
      <c r="S1186" t="inlineStr">
        <is>
          <t>生活成长</t>
        </is>
      </c>
      <c r="T1186" t="inlineStr">
        <is>
          <t>0.37</t>
        </is>
      </c>
      <c r="U1186" s="3">
        <v>46112.78107638889</v>
      </c>
      <c r="V1186" t="inlineStr">
        <is>
          <t>虚拟产品</t>
        </is>
      </c>
      <c r="W1186" s="3">
        <v>46040</v>
      </c>
      <c r="X1186" t="inlineStr">
        <is>
          <t>01</t>
        </is>
      </c>
      <c r="Y1186" t="inlineStr">
        <is>
          <t>2026-Q1</t>
        </is>
      </c>
    </row>
    <row r="1187" ht="38.25" customHeight="1">
      <c r="A1187" t="inlineStr">
        <is>
          <t>AI爆款视频制作｜飞书多维表格</t>
        </is>
      </c>
      <c r="B1187" t="inlineStr">
        <is>
          <t>recv8CSIj5Z3iS.jpg</t>
        </is>
      </c>
      <c r="C1187" s="2" t="str">
        <f>=HYPERLINK("https://xhslink.com/m/BqcV60rlqn", "https://xhslink.com/m/BqcV60rlqn")</f>
        <v>https://xhslink.com/m/BqcV60rlqn</v>
      </c>
      <c r="D1187"/>
      <c r="E1187">
        <v>426</v>
      </c>
      <c r="F1187">
        <v>0.99</v>
      </c>
      <c r="G1187"/>
      <c r="H1187"/>
      <c r="I1187">
        <v>400</v>
      </c>
      <c r="J1187"/>
      <c r="K1187" t="inlineStr">
        <is>
          <t>多维表格</t>
        </is>
      </c>
      <c r="L1187"/>
      <c r="M1187" t="inlineStr">
        <is>
          <t>飞书的店</t>
        </is>
      </c>
      <c r="N1187">
        <v>36000</v>
      </c>
      <c r="O1187">
        <v>3.71</v>
      </c>
      <c r="P1187">
        <v>706</v>
      </c>
      <c r="Q1187" t="inlineStr">
        <is>
          <t>690038eb4a00000001d3fd9f</t>
        </is>
      </c>
      <c r="R1187"/>
      <c r="S1187" t="inlineStr">
        <is>
          <t>AI</t>
        </is>
      </c>
      <c r="T1187" t="inlineStr">
        <is>
          <t>0.01</t>
        </is>
      </c>
      <c r="U1187" s="3">
        <v>46112.78107638889</v>
      </c>
      <c r="V1187" t="inlineStr">
        <is>
          <t>虚拟产品</t>
        </is>
      </c>
      <c r="W1187" s="3">
        <v>46040</v>
      </c>
      <c r="X1187" t="inlineStr">
        <is>
          <t>01</t>
        </is>
      </c>
      <c r="Y1187" t="inlineStr">
        <is>
          <t>2026-Q1</t>
        </is>
      </c>
    </row>
    <row r="1188" ht="38.25" customHeight="1">
      <c r="A1188" t="inlineStr">
        <is>
          <t>26版快捷英语 英语时文阅读理解30期七年级八年级中考</t>
        </is>
      </c>
      <c r="B1188" t="inlineStr">
        <is>
          <t>recv8IBKjDyulu.jpg</t>
        </is>
      </c>
      <c r="C1188" s="2" t="str">
        <f>=HYPERLINK("https://xhslink.com/m/2DDbBdX6ZHM", "https://xhslink.com/m/2DDbBdX6ZHM")</f>
        <v>https://xhslink.com/m/2DDbBdX6ZHM</v>
      </c>
      <c r="D1188"/>
      <c r="E1188">
        <v>1244</v>
      </c>
      <c r="F1188">
        <v>33.8</v>
      </c>
      <c r="G1188"/>
      <c r="H1188"/>
      <c r="I1188">
        <v>400</v>
      </c>
      <c r="J1188"/>
      <c r="K1188" t="inlineStr">
        <is>
          <t>中考资料</t>
        </is>
      </c>
      <c r="L1188" t="inlineStr">
        <is>
          <t>🔥低粉爆款</t>
        </is>
      </c>
      <c r="M1188" t="inlineStr">
        <is>
          <t>新阅图书的店</t>
        </is>
      </c>
      <c r="N1188">
        <v>105</v>
      </c>
      <c r="O1188">
        <v>4.67</v>
      </c>
      <c r="P1188">
        <v>6796</v>
      </c>
      <c r="Q1188" t="inlineStr">
        <is>
          <t>692ea83d4977f300016964fb</t>
        </is>
      </c>
      <c r="R1188" t="inlineStr">
        <is>
          <t>🚫重复</t>
        </is>
      </c>
      <c r="S1188" t="inlineStr">
        <is>
          <t>英语资料</t>
        </is>
      </c>
      <c r="T1188" t="inlineStr">
        <is>
          <t>11.85</t>
        </is>
      </c>
      <c r="U1188" s="3">
        <v>46112.78107638889</v>
      </c>
      <c r="V1188" t="inlineStr">
        <is>
          <t>虚拟产品</t>
        </is>
      </c>
      <c r="W1188" s="3">
        <v>46041</v>
      </c>
      <c r="X1188" t="inlineStr">
        <is>
          <t>01</t>
        </is>
      </c>
      <c r="Y1188" t="inlineStr">
        <is>
          <t>2026-Q1</t>
        </is>
      </c>
    </row>
    <row r="1189" ht="38.25" customHeight="1">
      <c r="A1189" t="inlineStr">
        <is>
          <t>十年全国历年中考真题卷全套2025年语文数学英语化学物理历史政</t>
        </is>
      </c>
      <c r="B1189" t="inlineStr">
        <is>
          <t>recv8IBLpn6p3W.jpg</t>
        </is>
      </c>
      <c r="C1189" s="2" t="str">
        <f>=HYPERLINK("https://xhslink.com/m/9wBcroH0xBx", "https://xhslink.com/m/9wBcroH0xBx")</f>
        <v>https://xhslink.com/m/9wBcroH0xBx</v>
      </c>
      <c r="D1189"/>
      <c r="E1189">
        <v>782</v>
      </c>
      <c r="F1189">
        <v>5.98</v>
      </c>
      <c r="G1189"/>
      <c r="H1189"/>
      <c r="I1189">
        <v>600</v>
      </c>
      <c r="J1189"/>
      <c r="K1189" t="inlineStr">
        <is>
          <t>中考资料</t>
        </is>
      </c>
      <c r="L1189"/>
      <c r="M1189" t="inlineStr">
        <is>
          <t>婷婷老师的学习库的店</t>
        </is>
      </c>
      <c r="N1189">
        <v>3960</v>
      </c>
      <c r="O1189">
        <v>4.46</v>
      </c>
      <c r="P1189">
        <v>16000</v>
      </c>
      <c r="Q1189" t="inlineStr">
        <is>
          <t>68c919f2d1f7b8000148fe84</t>
        </is>
      </c>
      <c r="R1189" t="inlineStr">
        <is>
          <t>🚫重复</t>
        </is>
      </c>
      <c r="S1189" t="inlineStr">
        <is>
          <t>中小学教辅/教材</t>
        </is>
      </c>
      <c r="T1189" t="inlineStr">
        <is>
          <t>0.20</t>
        </is>
      </c>
      <c r="U1189" s="3">
        <v>46112.78107638889</v>
      </c>
      <c r="V1189" t="inlineStr">
        <is>
          <t>虚拟产品</t>
        </is>
      </c>
      <c r="W1189" s="3">
        <v>46041</v>
      </c>
      <c r="X1189" t="inlineStr">
        <is>
          <t>01</t>
        </is>
      </c>
      <c r="Y1189" t="inlineStr">
        <is>
          <t>2026-Q1</t>
        </is>
      </c>
    </row>
    <row r="1190" ht="38.25" customHeight="1">
      <c r="A1190" t="inlineStr">
        <is>
          <t>2026电路图大全汇总｜中考物理必备知识点【PDF电子版】</t>
        </is>
      </c>
      <c r="B1190" t="inlineStr">
        <is>
          <t>recv8IBLpnF20G.jpg</t>
        </is>
      </c>
      <c r="C1190" s="2" t="str">
        <f>=HYPERLINK("https://xhslink.com/m/9VPfKHIGa86", "https://xhslink.com/m/9VPfKHIGa86")</f>
        <v>https://xhslink.com/m/9VPfKHIGa86</v>
      </c>
      <c r="D1190"/>
      <c r="E1190">
        <v>690</v>
      </c>
      <c r="F1190">
        <v>9.99</v>
      </c>
      <c r="G1190"/>
      <c r="H1190"/>
      <c r="I1190">
        <v>400</v>
      </c>
      <c r="J1190"/>
      <c r="K1190" t="inlineStr">
        <is>
          <t>中考资料</t>
        </is>
      </c>
      <c r="L1190"/>
      <c r="M1190" t="inlineStr">
        <is>
          <t>小聂老师（幸运版）的店</t>
        </is>
      </c>
      <c r="N1190">
        <v>10000</v>
      </c>
      <c r="O1190">
        <v>4.09</v>
      </c>
      <c r="P1190">
        <v>9570</v>
      </c>
      <c r="Q1190" t="inlineStr">
        <is>
          <t>68cd2aaac7284000010a7f2c</t>
        </is>
      </c>
      <c r="R1190"/>
      <c r="S1190" t="inlineStr">
        <is>
          <t>中小学教辅/教材</t>
        </is>
      </c>
      <c r="T1190" t="inlineStr">
        <is>
          <t>0.07</t>
        </is>
      </c>
      <c r="U1190" s="3">
        <v>46112.78107638889</v>
      </c>
      <c r="V1190" t="inlineStr">
        <is>
          <t>虚拟产品</t>
        </is>
      </c>
      <c r="W1190" s="3">
        <v>46041</v>
      </c>
      <c r="X1190" t="inlineStr">
        <is>
          <t>01</t>
        </is>
      </c>
      <c r="Y1190" t="inlineStr">
        <is>
          <t>2026-Q1</t>
        </is>
      </c>
    </row>
    <row r="1191" ht="38.25" customHeight="1">
      <c r="A1191" t="inlineStr">
        <is>
          <t>夏夏生物默写小纸条、重点知识手册、过关卷、押题卷、人教电子版</t>
        </is>
      </c>
      <c r="B1191" t="inlineStr">
        <is>
          <t>recv8IBLpnsVPW.jpg</t>
        </is>
      </c>
      <c r="C1191" s="2" t="str">
        <f>=HYPERLINK("https://xhslink.com/m/5vw86tSioi6", "https://xhslink.com/m/5vw86tSioi6")</f>
        <v>https://xhslink.com/m/5vw86tSioi6</v>
      </c>
      <c r="D1191"/>
      <c r="E1191">
        <v>493</v>
      </c>
      <c r="F1191">
        <v>399</v>
      </c>
      <c r="G1191"/>
      <c r="H1191"/>
      <c r="I1191">
        <v>300</v>
      </c>
      <c r="J1191"/>
      <c r="K1191" t="inlineStr">
        <is>
          <t>中考资料</t>
        </is>
      </c>
      <c r="L1191"/>
      <c r="M1191" t="inlineStr">
        <is>
          <t>夏夏生物老师的店</t>
        </is>
      </c>
      <c r="N1191">
        <v>882</v>
      </c>
      <c r="O1191">
        <v>4.28</v>
      </c>
      <c r="P1191">
        <v>1729</v>
      </c>
      <c r="Q1191" t="inlineStr">
        <is>
          <t>69141effa524ee000178c70a</t>
        </is>
      </c>
      <c r="R1191" t="inlineStr">
        <is>
          <t>🚫重复</t>
        </is>
      </c>
      <c r="S1191" t="inlineStr">
        <is>
          <t>中小学教辅/教材</t>
        </is>
      </c>
      <c r="T1191" t="inlineStr">
        <is>
          <t>0.56</t>
        </is>
      </c>
      <c r="U1191" s="3">
        <v>46112.78107638889</v>
      </c>
      <c r="V1191" t="inlineStr">
        <is>
          <t>虚拟产品</t>
        </is>
      </c>
      <c r="W1191" s="3">
        <v>46041</v>
      </c>
      <c r="X1191" t="inlineStr">
        <is>
          <t>01</t>
        </is>
      </c>
      <c r="Y1191" t="inlineStr">
        <is>
          <t>2026-Q1</t>
        </is>
      </c>
    </row>
    <row r="1192" ht="38.25" customHeight="1">
      <c r="A1192" t="inlineStr">
        <is>
          <t>初中7-9年级语/数/英/物/化/生/历史/地理/道法电子版资料</t>
        </is>
      </c>
      <c r="B1192" t="inlineStr">
        <is>
          <t>recv8IBLpn9GRU.jpg</t>
        </is>
      </c>
      <c r="C1192" s="2" t="str">
        <f>=HYPERLINK("https://xhslink.com/m/2w2z3bhkapG", "https://xhslink.com/m/2w2z3bhkapG")</f>
        <v>https://xhslink.com/m/2w2z3bhkapG</v>
      </c>
      <c r="D1192"/>
      <c r="E1192">
        <v>412</v>
      </c>
      <c r="F1192">
        <v>9.9</v>
      </c>
      <c r="G1192"/>
      <c r="H1192"/>
      <c r="I1192">
        <v>300</v>
      </c>
      <c r="J1192"/>
      <c r="K1192" t="inlineStr">
        <is>
          <t>中考资料</t>
        </is>
      </c>
      <c r="L1192"/>
      <c r="M1192" t="inlineStr">
        <is>
          <t>清也同学的店</t>
        </is>
      </c>
      <c r="N1192">
        <v>765</v>
      </c>
      <c r="O1192">
        <v>4.16</v>
      </c>
      <c r="P1192">
        <v>520</v>
      </c>
      <c r="Q1192" t="inlineStr">
        <is>
          <t>685ec5b07590770001d862fa</t>
        </is>
      </c>
      <c r="R1192" t="inlineStr">
        <is>
          <t>🚫重复</t>
        </is>
      </c>
      <c r="S1192" t="inlineStr">
        <is>
          <t>中小学教辅/教材</t>
        </is>
      </c>
      <c r="T1192" t="inlineStr">
        <is>
          <t>0.54</t>
        </is>
      </c>
      <c r="U1192" s="3">
        <v>46112.78107638889</v>
      </c>
      <c r="V1192" t="inlineStr">
        <is>
          <t>虚拟产品</t>
        </is>
      </c>
      <c r="W1192" s="3">
        <v>46041</v>
      </c>
      <c r="X1192" t="inlineStr">
        <is>
          <t>01</t>
        </is>
      </c>
      <c r="Y1192" t="inlineStr">
        <is>
          <t>2026-Q1</t>
        </is>
      </c>
    </row>
    <row r="1193" ht="38.25" customHeight="1">
      <c r="A1193" t="inlineStr">
        <is>
          <t>一份课件PPT+教案</t>
        </is>
      </c>
      <c r="B1193" t="inlineStr">
        <is>
          <t>recv8IBLpnDs3r.jpg</t>
        </is>
      </c>
      <c r="C1193" s="2" t="str">
        <f>=HYPERLINK("https://xhslink.com/m/2br6WIEGpzH", "https://xhslink.com/m/2br6WIEGpzH")</f>
        <v>https://xhslink.com/m/2br6WIEGpzH</v>
      </c>
      <c r="D1193"/>
      <c r="E1193">
        <v>12000</v>
      </c>
      <c r="F1193">
        <v>9.99</v>
      </c>
      <c r="G1193"/>
      <c r="H1193"/>
      <c r="I1193">
        <v>1000</v>
      </c>
      <c r="J1193"/>
      <c r="K1193" t="inlineStr">
        <is>
          <t>PPT</t>
        </is>
      </c>
      <c r="L1193"/>
      <c r="M1193" t="inlineStr">
        <is>
          <t>赞歌老师的店</t>
        </is>
      </c>
      <c r="N1193">
        <v>6425</v>
      </c>
      <c r="O1193">
        <v>4.13</v>
      </c>
      <c r="P1193">
        <v>12000</v>
      </c>
      <c r="Q1193" t="inlineStr">
        <is>
          <t>650532e49ee76700018c775e</t>
        </is>
      </c>
      <c r="R1193"/>
      <c r="S1193" t="inlineStr">
        <is>
          <t>PPT模板</t>
        </is>
      </c>
      <c r="T1193" t="inlineStr">
        <is>
          <t>1.87</t>
        </is>
      </c>
      <c r="U1193" s="3">
        <v>46112.78107638889</v>
      </c>
      <c r="V1193" t="inlineStr">
        <is>
          <t>虚拟产品</t>
        </is>
      </c>
      <c r="W1193" s="3">
        <v>46041</v>
      </c>
      <c r="X1193" t="inlineStr">
        <is>
          <t>01</t>
        </is>
      </c>
      <c r="Y1193" t="inlineStr">
        <is>
          <t>2026-Q1</t>
        </is>
      </c>
    </row>
    <row r="1194" ht="38.25" customHeight="1">
      <c r="A1194" t="inlineStr">
        <is>
          <t>小方原创初中英语课件</t>
        </is>
      </c>
      <c r="B1194" t="inlineStr">
        <is>
          <t>recv8IBLpnnXMk.jpg</t>
        </is>
      </c>
      <c r="C1194" s="2" t="str">
        <f>=HYPERLINK("https://xhslink.com/m/65dRF6VV25w", "https://xhslink.com/m/65dRF6VV25w")</f>
        <v>https://xhslink.com/m/65dRF6VV25w</v>
      </c>
      <c r="D1194"/>
      <c r="E1194">
        <v>8783</v>
      </c>
      <c r="F1194">
        <v>30</v>
      </c>
      <c r="G1194"/>
      <c r="H1194"/>
      <c r="I1194">
        <v>500</v>
      </c>
      <c r="J1194"/>
      <c r="K1194" t="inlineStr">
        <is>
          <t>PPT</t>
        </is>
      </c>
      <c r="L1194"/>
      <c r="M1194" t="inlineStr">
        <is>
          <t>小方老师的店</t>
        </is>
      </c>
      <c r="N1194">
        <v>11000</v>
      </c>
      <c r="O1194">
        <v>4.51</v>
      </c>
      <c r="P1194">
        <v>8783</v>
      </c>
      <c r="Q1194" t="inlineStr">
        <is>
          <t>655038ff6384790001438068</t>
        </is>
      </c>
      <c r="R1194" t="inlineStr">
        <is>
          <t>🚫重复</t>
        </is>
      </c>
      <c r="S1194" t="inlineStr">
        <is>
          <t>中小学教辅/教材</t>
        </is>
      </c>
      <c r="T1194" t="inlineStr">
        <is>
          <t>0.80</t>
        </is>
      </c>
      <c r="U1194" s="3">
        <v>46112.78107638889</v>
      </c>
      <c r="V1194" t="inlineStr">
        <is>
          <t>虚拟产品</t>
        </is>
      </c>
      <c r="W1194" s="3">
        <v>46041</v>
      </c>
      <c r="X1194" t="inlineStr">
        <is>
          <t>01</t>
        </is>
      </c>
      <c r="Y1194" t="inlineStr">
        <is>
          <t>2026-Q1</t>
        </is>
      </c>
    </row>
    <row r="1195" ht="38.25" customHeight="1">
      <c r="A1195" t="inlineStr">
        <is>
          <t>幼儿园小中大班班本课程ppt园本课程方案</t>
        </is>
      </c>
      <c r="B1195" t="inlineStr">
        <is>
          <t>recv8IBLpnMi8M.jpg</t>
        </is>
      </c>
      <c r="C1195" s="2" t="str">
        <f>=HYPERLINK("https://xhslink.com/m/5xjizo7zvB4", "https://xhslink.com/m/5xjizo7zvB4")</f>
        <v>https://xhslink.com/m/5xjizo7zvB4</v>
      </c>
      <c r="D1195"/>
      <c r="E1195">
        <v>7351</v>
      </c>
      <c r="F1195">
        <v>37</v>
      </c>
      <c r="G1195"/>
      <c r="H1195"/>
      <c r="I1195">
        <v>2000</v>
      </c>
      <c r="J1195"/>
      <c r="K1195" t="inlineStr">
        <is>
          <t>PPT</t>
        </is>
      </c>
      <c r="L1195"/>
      <c r="M1195" t="inlineStr">
        <is>
          <t>幼儿园游戏案例呀的店</t>
        </is>
      </c>
      <c r="N1195">
        <v>3942</v>
      </c>
      <c r="O1195">
        <v>4.41</v>
      </c>
      <c r="P1195">
        <v>13000</v>
      </c>
      <c r="Q1195" t="inlineStr">
        <is>
          <t>67c17244f65889000152fc37</t>
        </is>
      </c>
      <c r="R1195" t="inlineStr">
        <is>
          <t>🚫重复</t>
        </is>
      </c>
      <c r="S1195" t="inlineStr">
        <is>
          <t>PPT模板</t>
        </is>
      </c>
      <c r="T1195" t="inlineStr">
        <is>
          <t>1.86</t>
        </is>
      </c>
      <c r="U1195" s="3">
        <v>46112.78107638889</v>
      </c>
      <c r="V1195" t="inlineStr">
        <is>
          <t>虚拟产品</t>
        </is>
      </c>
      <c r="W1195" s="3">
        <v>46041</v>
      </c>
      <c r="X1195" t="inlineStr">
        <is>
          <t>01</t>
        </is>
      </c>
      <c r="Y1195" t="inlineStr">
        <is>
          <t>2026-Q1</t>
        </is>
      </c>
    </row>
    <row r="1196" ht="38.25" customHeight="1">
      <c r="A1196" t="inlineStr">
        <is>
          <t>卓越课程•优质•精美•教学ppt</t>
        </is>
      </c>
      <c r="B1196" t="inlineStr">
        <is>
          <t>recv8IBLpnEwq1.jpg</t>
        </is>
      </c>
      <c r="C1196" s="2" t="str">
        <f>=HYPERLINK("https://xhslink.com/m/AI1vx0b9Yd3", "https://xhslink.com/m/AI1vx0b9Yd3")</f>
        <v>https://xhslink.com/m/AI1vx0b9Yd3</v>
      </c>
      <c r="D1196"/>
      <c r="E1196">
        <v>6415</v>
      </c>
      <c r="F1196">
        <v>39.99</v>
      </c>
      <c r="G1196"/>
      <c r="H1196"/>
      <c r="I1196">
        <v>2000</v>
      </c>
      <c r="J1196"/>
      <c r="K1196" t="inlineStr">
        <is>
          <t>PPT</t>
        </is>
      </c>
      <c r="L1196"/>
      <c r="M1196" t="inlineStr">
        <is>
          <t>万能口袋的的店</t>
        </is>
      </c>
      <c r="N1196">
        <v>2716</v>
      </c>
      <c r="O1196">
        <v>4.44</v>
      </c>
      <c r="P1196">
        <v>11000</v>
      </c>
      <c r="Q1196" t="inlineStr">
        <is>
          <t>688c10010e13d500013a86ba</t>
        </is>
      </c>
      <c r="R1196" t="inlineStr">
        <is>
          <t>🚫重复</t>
        </is>
      </c>
      <c r="S1196" t="inlineStr">
        <is>
          <t>PPT模板</t>
        </is>
      </c>
      <c r="T1196" t="inlineStr">
        <is>
          <t>2.36</t>
        </is>
      </c>
      <c r="U1196" s="3">
        <v>46112.78107638889</v>
      </c>
      <c r="V1196" t="inlineStr">
        <is>
          <t>虚拟产品</t>
        </is>
      </c>
      <c r="W1196" s="3">
        <v>46041</v>
      </c>
      <c r="X1196" t="inlineStr">
        <is>
          <t>01</t>
        </is>
      </c>
      <c r="Y1196" t="inlineStr">
        <is>
          <t>2026-Q1</t>
        </is>
      </c>
    </row>
    <row r="1197" ht="38.25" customHeight="1">
      <c r="A1197" t="inlineStr">
        <is>
          <t>280页动态图文排版PPT模板，下单后自动发货（短信），不支持退换</t>
        </is>
      </c>
      <c r="B1197" t="inlineStr">
        <is>
          <t>recv8IBLpnBeDq.jpg</t>
        </is>
      </c>
      <c r="C1197" s="2" t="str">
        <f>=HYPERLINK("https://xhslink.com/m/AbmLNEkSEWL", "https://xhslink.com/m/AbmLNEkSEWL")</f>
        <v>https://xhslink.com/m/AbmLNEkSEWL</v>
      </c>
      <c r="D1197"/>
      <c r="E1197">
        <v>4300</v>
      </c>
      <c r="F1197">
        <v>19.9</v>
      </c>
      <c r="G1197"/>
      <c r="H1197"/>
      <c r="I1197">
        <v>1000</v>
      </c>
      <c r="J1197"/>
      <c r="K1197" t="inlineStr">
        <is>
          <t>PPT</t>
        </is>
      </c>
      <c r="L1197"/>
      <c r="M1197" t="inlineStr">
        <is>
          <t>小橙子PPT制作的店</t>
        </is>
      </c>
      <c r="N1197">
        <v>7711</v>
      </c>
      <c r="O1197">
        <v>4.27</v>
      </c>
      <c r="P1197">
        <v>14000</v>
      </c>
      <c r="Q1197" t="inlineStr">
        <is>
          <t>6789f933fd041c00018ced5c</t>
        </is>
      </c>
      <c r="R1197" t="inlineStr">
        <is>
          <t>🚫重复</t>
        </is>
      </c>
      <c r="S1197" t="inlineStr">
        <is>
          <t>PPT模板</t>
        </is>
      </c>
      <c r="T1197" t="inlineStr">
        <is>
          <t>0.56</t>
        </is>
      </c>
      <c r="U1197" s="3">
        <v>46112.78107638889</v>
      </c>
      <c r="V1197" t="inlineStr">
        <is>
          <t>虚拟产品</t>
        </is>
      </c>
      <c r="W1197" s="3">
        <v>46041</v>
      </c>
      <c r="X1197" t="inlineStr">
        <is>
          <t>01</t>
        </is>
      </c>
      <c r="Y1197" t="inlineStr">
        <is>
          <t>2026-Q1</t>
        </is>
      </c>
    </row>
    <row r="1198" ht="38.25" customHeight="1">
      <c r="A1198" t="inlineStr">
        <is>
          <t>300页思维模型数据分析逻辑架构工作总结多图排版PPT模板六款配色</t>
        </is>
      </c>
      <c r="B1198" t="inlineStr">
        <is>
          <t>recv8IBLpnU266.jpg</t>
        </is>
      </c>
      <c r="C1198" s="2" t="str">
        <f>=HYPERLINK("https://xhslink.com/m/4dtuuqkSz7G", "https://xhslink.com/m/4dtuuqkSz7G")</f>
        <v>https://xhslink.com/m/4dtuuqkSz7G</v>
      </c>
      <c r="D1198"/>
      <c r="E1198">
        <v>3012</v>
      </c>
      <c r="F1198">
        <v>19.9</v>
      </c>
      <c r="G1198"/>
      <c r="H1198"/>
      <c r="I1198">
        <v>1000</v>
      </c>
      <c r="J1198"/>
      <c r="K1198" t="inlineStr">
        <is>
          <t>PPT</t>
        </is>
      </c>
      <c r="L1198"/>
      <c r="M1198" t="inlineStr">
        <is>
          <t>小布PPT的店</t>
        </is>
      </c>
      <c r="N1198">
        <v>3108</v>
      </c>
      <c r="O1198">
        <v>4.25</v>
      </c>
      <c r="P1198">
        <v>3367</v>
      </c>
      <c r="Q1198" t="inlineStr">
        <is>
          <t>677e6cfe01965c00019d7c03</t>
        </is>
      </c>
      <c r="R1198"/>
      <c r="S1198" t="inlineStr">
        <is>
          <t>PPT模板</t>
        </is>
      </c>
      <c r="T1198" t="inlineStr">
        <is>
          <t>0.97</t>
        </is>
      </c>
      <c r="U1198" s="3">
        <v>46112.78107638889</v>
      </c>
      <c r="V1198" t="inlineStr">
        <is>
          <t>虚拟产品</t>
        </is>
      </c>
      <c r="W1198" s="3">
        <v>46041</v>
      </c>
      <c r="X1198" t="inlineStr">
        <is>
          <t>01</t>
        </is>
      </c>
      <c r="Y1198" t="inlineStr">
        <is>
          <t>2026-Q1</t>
        </is>
      </c>
    </row>
    <row r="1199" ht="38.25" customHeight="1">
      <c r="A1199" t="inlineStr">
        <is>
          <t>优料ppt助手资料包（自助安装 里有视频安装教程）客服会给你激活</t>
        </is>
      </c>
      <c r="B1199" t="inlineStr">
        <is>
          <t>recv8IBLpn8VhM.jpg</t>
        </is>
      </c>
      <c r="C1199" s="2" t="str">
        <f>=HYPERLINK("https://xhslink.com/m/5gTLznwfXT4", "https://xhslink.com/m/5gTLznwfXT4")</f>
        <v>https://xhslink.com/m/5gTLznwfXT4</v>
      </c>
      <c r="D1199"/>
      <c r="E1199">
        <v>1932</v>
      </c>
      <c r="F1199">
        <v>59.99</v>
      </c>
      <c r="G1199"/>
      <c r="H1199"/>
      <c r="I1199">
        <v>300</v>
      </c>
      <c r="J1199"/>
      <c r="K1199" t="inlineStr">
        <is>
          <t>PPT</t>
        </is>
      </c>
      <c r="L1199"/>
      <c r="M1199" t="inlineStr">
        <is>
          <t>优料老师的教学日记的店</t>
        </is>
      </c>
      <c r="N1199">
        <v>106000</v>
      </c>
      <c r="O1199">
        <v>4</v>
      </c>
      <c r="P1199">
        <v>2750</v>
      </c>
      <c r="Q1199" t="inlineStr">
        <is>
          <t>67c7471e975926000101f3ad</t>
        </is>
      </c>
      <c r="R1199"/>
      <c r="S1199" t="inlineStr">
        <is>
          <t>PPT模板</t>
        </is>
      </c>
      <c r="T1199" t="inlineStr">
        <is>
          <t>0.02</t>
        </is>
      </c>
      <c r="U1199" s="3">
        <v>46112.78107638889</v>
      </c>
      <c r="V1199" t="inlineStr">
        <is>
          <t>虚拟产品</t>
        </is>
      </c>
      <c r="W1199" s="3">
        <v>46041</v>
      </c>
      <c r="X1199" t="inlineStr">
        <is>
          <t>01</t>
        </is>
      </c>
      <c r="Y1199" t="inlineStr">
        <is>
          <t>2026-Q1</t>
        </is>
      </c>
    </row>
    <row r="1200" ht="38.25" customHeight="1">
      <c r="A1200" t="inlineStr">
        <is>
          <t>32页女生版职业规划大赛成长赛道通用型PPT模板 职规PPT 静态版</t>
        </is>
      </c>
      <c r="B1200" t="inlineStr">
        <is>
          <t>recv8IBLpnDcQf.jpg</t>
        </is>
      </c>
      <c r="C1200" s="2" t="str">
        <f>=HYPERLINK("https://xhslink.com/m/2MqQ76r8I0f", "https://xhslink.com/m/2MqQ76r8I0f")</f>
        <v>https://xhslink.com/m/2MqQ76r8I0f</v>
      </c>
      <c r="D1200"/>
      <c r="E1200">
        <v>1276</v>
      </c>
      <c r="F1200">
        <v>29.9</v>
      </c>
      <c r="G1200"/>
      <c r="H1200"/>
      <c r="I1200">
        <v>1000</v>
      </c>
      <c r="J1200"/>
      <c r="K1200" t="inlineStr">
        <is>
          <t>PPT</t>
        </is>
      </c>
      <c r="L1200"/>
      <c r="M1200" t="inlineStr">
        <is>
          <t>小晨PPT的店</t>
        </is>
      </c>
      <c r="N1200">
        <v>11000</v>
      </c>
      <c r="O1200">
        <v>4.39</v>
      </c>
      <c r="P1200">
        <v>11000</v>
      </c>
      <c r="Q1200" t="inlineStr">
        <is>
          <t>68aff5acf38f970001cc862a</t>
        </is>
      </c>
      <c r="R1200" t="inlineStr">
        <is>
          <t>🚫重复</t>
        </is>
      </c>
      <c r="S1200" t="inlineStr">
        <is>
          <t>PPT模板</t>
        </is>
      </c>
      <c r="T1200" t="inlineStr">
        <is>
          <t>0.12</t>
        </is>
      </c>
      <c r="U1200" s="3">
        <v>46112.78107638889</v>
      </c>
      <c r="V1200" t="inlineStr">
        <is>
          <t>虚拟产品</t>
        </is>
      </c>
      <c r="W1200" s="3">
        <v>46041</v>
      </c>
      <c r="X1200" t="inlineStr">
        <is>
          <t>01</t>
        </is>
      </c>
      <c r="Y1200" t="inlineStr">
        <is>
          <t>2026-Q1</t>
        </is>
      </c>
    </row>
    <row r="1201" ht="38.25" customHeight="1">
      <c r="A1201" t="inlineStr">
        <is>
          <t>【自动发货】PPT模板背景，可修改秒发货！！</t>
        </is>
      </c>
      <c r="B1201" t="inlineStr">
        <is>
          <t>recv8IBLpnprYF.jpg</t>
        </is>
      </c>
      <c r="C1201" s="2" t="str">
        <f>=HYPERLINK("https://xhslink.com/m/AC9LKOsfG0t", "https://xhslink.com/m/AC9LKOsfG0t")</f>
        <v>https://xhslink.com/m/AC9LKOsfG0t</v>
      </c>
      <c r="D1201"/>
      <c r="E1201">
        <v>1319</v>
      </c>
      <c r="F1201">
        <v>29.9</v>
      </c>
      <c r="G1201"/>
      <c r="H1201"/>
      <c r="I1201">
        <v>1000</v>
      </c>
      <c r="J1201"/>
      <c r="K1201" t="inlineStr">
        <is>
          <t>PPT</t>
        </is>
      </c>
      <c r="L1201"/>
      <c r="M1201" t="inlineStr">
        <is>
          <t>一小只晨晨咨询的店</t>
        </is>
      </c>
      <c r="N1201">
        <v>3354</v>
      </c>
      <c r="O1201">
        <v>4.16</v>
      </c>
      <c r="P1201">
        <v>35000</v>
      </c>
      <c r="Q1201" t="inlineStr">
        <is>
          <t>68f0bd7d3f37a900017e3355</t>
        </is>
      </c>
      <c r="R1201" t="inlineStr">
        <is>
          <t>🚫重复</t>
        </is>
      </c>
      <c r="S1201" t="inlineStr">
        <is>
          <t>PPT模板</t>
        </is>
      </c>
      <c r="T1201" t="inlineStr">
        <is>
          <t>0.39</t>
        </is>
      </c>
      <c r="U1201" s="3">
        <v>46112.78107638889</v>
      </c>
      <c r="V1201" t="inlineStr">
        <is>
          <t>虚拟产品</t>
        </is>
      </c>
      <c r="W1201" s="3">
        <v>46041</v>
      </c>
      <c r="X1201" t="inlineStr">
        <is>
          <t>01</t>
        </is>
      </c>
      <c r="Y1201" t="inlineStr">
        <is>
          <t>2026-Q1</t>
        </is>
      </c>
    </row>
    <row r="1202" ht="38.25" customHeight="1">
      <c r="A1202" t="inlineStr">
        <is>
          <t>幼儿园数学思维启蒙小中大幼小衔接思维早教全套PPT课件教案习题</t>
        </is>
      </c>
      <c r="B1202" t="inlineStr">
        <is>
          <t>recv8IBLpnR2CX.jpg</t>
        </is>
      </c>
      <c r="C1202" s="2" t="str">
        <f>=HYPERLINK("https://xhslink.com/m/3UmE2OA6AWr", "https://xhslink.com/m/3UmE2OA6AWr")</f>
        <v>https://xhslink.com/m/3UmE2OA6AWr</v>
      </c>
      <c r="D1202"/>
      <c r="E1202">
        <v>1055</v>
      </c>
      <c r="F1202">
        <v>59.98</v>
      </c>
      <c r="G1202"/>
      <c r="H1202"/>
      <c r="I1202">
        <v>300</v>
      </c>
      <c r="J1202"/>
      <c r="K1202" t="inlineStr">
        <is>
          <t>PPT</t>
        </is>
      </c>
      <c r="L1202"/>
      <c r="M1202" t="inlineStr">
        <is>
          <t>乐乐糖的店</t>
        </is>
      </c>
      <c r="N1202">
        <v>12000</v>
      </c>
      <c r="O1202">
        <v>4.16</v>
      </c>
      <c r="P1202">
        <v>20000</v>
      </c>
      <c r="Q1202" t="inlineStr">
        <is>
          <t>68ad3b9f9a164100013ea251</t>
        </is>
      </c>
      <c r="R1202"/>
      <c r="S1202" t="inlineStr">
        <is>
          <t>幼教资料</t>
        </is>
      </c>
      <c r="T1202" t="inlineStr">
        <is>
          <t>0.09</t>
        </is>
      </c>
      <c r="U1202" s="3">
        <v>46112.78107638889</v>
      </c>
      <c r="V1202" t="inlineStr">
        <is>
          <t>虚拟产品</t>
        </is>
      </c>
      <c r="W1202" s="3">
        <v>46041</v>
      </c>
      <c r="X1202" t="inlineStr">
        <is>
          <t>01</t>
        </is>
      </c>
      <c r="Y1202" t="inlineStr">
        <is>
          <t>2026-Q1</t>
        </is>
      </c>
    </row>
    <row r="1203" ht="38.25" customHeight="1">
      <c r="A1203" t="inlineStr">
        <is>
          <t>自动秒发货！！八年级上册英语PPT课件+教学设计（人教版）</t>
        </is>
      </c>
      <c r="B1203" t="inlineStr">
        <is>
          <t>recv8IBLpnshTI.jpg</t>
        </is>
      </c>
      <c r="C1203" s="2" t="str">
        <f>=HYPERLINK("https://xhslink.com/m/5hggeqLkxsj", "https://xhslink.com/m/5hggeqLkxsj")</f>
        <v>https://xhslink.com/m/5hggeqLkxsj</v>
      </c>
      <c r="D1203"/>
      <c r="E1203">
        <v>858</v>
      </c>
      <c r="F1203">
        <v>29.9</v>
      </c>
      <c r="G1203"/>
      <c r="H1203"/>
      <c r="I1203">
        <v>400</v>
      </c>
      <c r="J1203"/>
      <c r="K1203" t="inlineStr">
        <is>
          <t>PPT</t>
        </is>
      </c>
      <c r="L1203"/>
      <c r="M1203" t="inlineStr">
        <is>
          <t>官余课件素材的店</t>
        </is>
      </c>
      <c r="N1203">
        <v>949</v>
      </c>
      <c r="O1203">
        <v>4.09</v>
      </c>
      <c r="P1203">
        <v>9159</v>
      </c>
      <c r="Q1203" t="inlineStr">
        <is>
          <t>68947d2a6d605400012fc4fe</t>
        </is>
      </c>
      <c r="R1203" t="inlineStr">
        <is>
          <t>🚫重复</t>
        </is>
      </c>
      <c r="S1203" t="inlineStr">
        <is>
          <t>中小学教辅/教材</t>
        </is>
      </c>
      <c r="T1203" t="inlineStr">
        <is>
          <t>0.90</t>
        </is>
      </c>
      <c r="U1203" s="3">
        <v>46112.78107638889</v>
      </c>
      <c r="V1203" t="inlineStr">
        <is>
          <t>虚拟产品</t>
        </is>
      </c>
      <c r="W1203" s="3">
        <v>46041</v>
      </c>
      <c r="X1203" t="inlineStr">
        <is>
          <t>01</t>
        </is>
      </c>
      <c r="Y1203" t="inlineStr">
        <is>
          <t>2026-Q1</t>
        </is>
      </c>
    </row>
    <row r="1204" ht="38.25" customHeight="1">
      <c r="A1204" t="inlineStr">
        <is>
          <t>【单个历史】任选一课 课件PPT+赠送教案 | 鲨鱼</t>
        </is>
      </c>
      <c r="B1204" t="inlineStr">
        <is>
          <t>recv8IBLpnJ4k3.jpg</t>
        </is>
      </c>
      <c r="C1204" s="2" t="str">
        <f>=HYPERLINK("https://xhslink.com/m/1Hs5DKnNtgH", "https://xhslink.com/m/1Hs5DKnNtgH")</f>
        <v>https://xhslink.com/m/1Hs5DKnNtgH</v>
      </c>
      <c r="D1204"/>
      <c r="E1204">
        <v>782</v>
      </c>
      <c r="F1204">
        <v>29.9</v>
      </c>
      <c r="G1204"/>
      <c r="H1204"/>
      <c r="I1204">
        <v>400</v>
      </c>
      <c r="J1204"/>
      <c r="K1204" t="inlineStr">
        <is>
          <t>PPT</t>
        </is>
      </c>
      <c r="L1204"/>
      <c r="M1204" t="inlineStr">
        <is>
          <t>鲨鱼课件的店</t>
        </is>
      </c>
      <c r="N1204">
        <v>7404</v>
      </c>
      <c r="O1204">
        <v>4.06</v>
      </c>
      <c r="P1204">
        <v>2300</v>
      </c>
      <c r="Q1204" t="inlineStr">
        <is>
          <t>68e9ca5dc753610001cb750e</t>
        </is>
      </c>
      <c r="R1204"/>
      <c r="S1204" t="inlineStr">
        <is>
          <t>中小学教辅/教材</t>
        </is>
      </c>
      <c r="T1204" t="inlineStr">
        <is>
          <t>0.11</t>
        </is>
      </c>
      <c r="U1204" s="3">
        <v>46112.78107638889</v>
      </c>
      <c r="V1204" t="inlineStr">
        <is>
          <t>虚拟产品</t>
        </is>
      </c>
      <c r="W1204" s="3">
        <v>46041</v>
      </c>
      <c r="X1204" t="inlineStr">
        <is>
          <t>01</t>
        </is>
      </c>
      <c r="Y1204" t="inlineStr">
        <is>
          <t>2026-Q1</t>
        </is>
      </c>
    </row>
    <row r="1205" ht="38.25" customHeight="1">
      <c r="A1205" t="inlineStr">
        <is>
          <t>【PPT】谐音梗大挑战PPT100题猜谜团建聚会上课年会无水印网盘版</t>
        </is>
      </c>
      <c r="B1205" t="inlineStr">
        <is>
          <t>recv8IBLpnSQEj.jpg</t>
        </is>
      </c>
      <c r="C1205" s="2" t="str">
        <f>=HYPERLINK("https://xhslink.com/m/3Fdb3yBwGF8", "https://xhslink.com/m/3Fdb3yBwGF8")</f>
        <v>https://xhslink.com/m/3Fdb3yBwGF8</v>
      </c>
      <c r="D1205"/>
      <c r="E1205">
        <v>716</v>
      </c>
      <c r="F1205">
        <v>35.6</v>
      </c>
      <c r="G1205"/>
      <c r="H1205"/>
      <c r="I1205">
        <v>400</v>
      </c>
      <c r="J1205"/>
      <c r="K1205" t="inlineStr">
        <is>
          <t>PPT</t>
        </is>
      </c>
      <c r="L1205"/>
      <c r="M1205" t="inlineStr">
        <is>
          <t>画画的思诺的店</t>
        </is>
      </c>
      <c r="N1205">
        <v>59000</v>
      </c>
      <c r="O1205">
        <v>4.17</v>
      </c>
      <c r="P1205">
        <v>944</v>
      </c>
      <c r="Q1205" t="inlineStr">
        <is>
          <t>687f21f7ebefca0001b74fdc</t>
        </is>
      </c>
      <c r="R1205" t="inlineStr">
        <is>
          <t>🚫重复</t>
        </is>
      </c>
      <c r="S1205" t="inlineStr">
        <is>
          <t>PPT模板</t>
        </is>
      </c>
      <c r="T1205" t="inlineStr">
        <is>
          <t>0.01</t>
        </is>
      </c>
      <c r="U1205" s="3">
        <v>46112.78107638889</v>
      </c>
      <c r="V1205" t="inlineStr">
        <is>
          <t>虚拟产品</t>
        </is>
      </c>
      <c r="W1205" s="3">
        <v>46041</v>
      </c>
      <c r="X1205" t="inlineStr">
        <is>
          <t>01</t>
        </is>
      </c>
      <c r="Y1205" t="inlineStr">
        <is>
          <t>2026-Q1</t>
        </is>
      </c>
    </row>
    <row r="1206" ht="38.25" customHeight="1">
      <c r="A1206" t="inlineStr">
        <is>
          <t>32页男生版高端职业规划大赛通用型PPT模版  职规PPT模版 静态版</t>
        </is>
      </c>
      <c r="B1206" t="inlineStr">
        <is>
          <t>recv8IBLpnJx1X.jpg</t>
        </is>
      </c>
      <c r="C1206" s="2" t="str">
        <f>=HYPERLINK("https://xhslink.com/m/8eP1g1wsQ5p", "https://xhslink.com/m/8eP1g1wsQ5p")</f>
        <v>https://xhslink.com/m/8eP1g1wsQ5p</v>
      </c>
      <c r="D1206"/>
      <c r="E1206">
        <v>688</v>
      </c>
      <c r="F1206">
        <v>29.9</v>
      </c>
      <c r="G1206"/>
      <c r="H1206"/>
      <c r="I1206">
        <v>500</v>
      </c>
      <c r="J1206"/>
      <c r="K1206" t="inlineStr">
        <is>
          <t>PPT</t>
        </is>
      </c>
      <c r="L1206"/>
      <c r="M1206" t="inlineStr">
        <is>
          <t>小晨PPT的店</t>
        </is>
      </c>
      <c r="N1206">
        <v>11000</v>
      </c>
      <c r="O1206">
        <v>4.39</v>
      </c>
      <c r="P1206">
        <v>11000</v>
      </c>
      <c r="Q1206" t="inlineStr">
        <is>
          <t>68b16f7582bd7100013686bb</t>
        </is>
      </c>
      <c r="R1206" t="inlineStr">
        <is>
          <t>🚫重复</t>
        </is>
      </c>
      <c r="S1206" t="inlineStr">
        <is>
          <t>PPT模板</t>
        </is>
      </c>
      <c r="T1206" t="inlineStr">
        <is>
          <t>0.06</t>
        </is>
      </c>
      <c r="U1206" s="3">
        <v>46112.78107638889</v>
      </c>
      <c r="V1206" t="inlineStr">
        <is>
          <t>虚拟产品</t>
        </is>
      </c>
      <c r="W1206" s="3">
        <v>46041</v>
      </c>
      <c r="X1206" t="inlineStr">
        <is>
          <t>01</t>
        </is>
      </c>
      <c r="Y1206" t="inlineStr">
        <is>
          <t>2026-Q1</t>
        </is>
      </c>
    </row>
    <row r="1207" ht="38.25" customHeight="1">
      <c r="A1207" t="inlineStr">
        <is>
          <t>英语剧情景剧(文稿背景PPT配乐示范)背景不带字幕</t>
        </is>
      </c>
      <c r="B1207" t="inlineStr">
        <is>
          <t>recv8IBLpnll5j.jpg</t>
        </is>
      </c>
      <c r="C1207" s="2" t="str">
        <f>=HYPERLINK("https://xhslink.com/m/9exPIWNuzKn", "https://xhslink.com/m/9exPIWNuzKn")</f>
        <v>https://xhslink.com/m/9exPIWNuzKn</v>
      </c>
      <c r="D1207"/>
      <c r="E1207">
        <v>605</v>
      </c>
      <c r="F1207">
        <v>35.9</v>
      </c>
      <c r="G1207"/>
      <c r="H1207"/>
      <c r="I1207">
        <v>300</v>
      </c>
      <c r="J1207"/>
      <c r="K1207" t="inlineStr">
        <is>
          <t>PPT</t>
        </is>
      </c>
      <c r="L1207"/>
      <c r="M1207" t="inlineStr">
        <is>
          <t>Midas的发言人的店</t>
        </is>
      </c>
      <c r="N1207">
        <v>1604</v>
      </c>
      <c r="O1207">
        <v>4.63</v>
      </c>
      <c r="P1207">
        <v>2028</v>
      </c>
      <c r="Q1207" t="inlineStr">
        <is>
          <t>686be270a2ec2d00010d405d</t>
        </is>
      </c>
      <c r="R1207"/>
      <c r="S1207" t="inlineStr">
        <is>
          <t>PPT模板</t>
        </is>
      </c>
      <c r="T1207" t="inlineStr">
        <is>
          <t>0.38</t>
        </is>
      </c>
      <c r="U1207" s="3">
        <v>46112.78107638889</v>
      </c>
      <c r="V1207" t="inlineStr">
        <is>
          <t>虚拟产品</t>
        </is>
      </c>
      <c r="W1207" s="3">
        <v>46041</v>
      </c>
      <c r="X1207" t="inlineStr">
        <is>
          <t>01</t>
        </is>
      </c>
      <c r="Y1207" t="inlineStr">
        <is>
          <t>2026-Q1</t>
        </is>
      </c>
    </row>
    <row r="1208" ht="38.25" customHeight="1">
      <c r="A1208" t="inlineStr">
        <is>
          <t>2号父母版中式婚礼请柬 喜宴邀请函 PPT模板</t>
        </is>
      </c>
      <c r="B1208" t="inlineStr">
        <is>
          <t>recv8IBLpnbhfg.jpg</t>
        </is>
      </c>
      <c r="C1208" s="2" t="str">
        <f>=HYPERLINK("https://xhslink.com/m/1UBlGr6ZDJs", "https://xhslink.com/m/1UBlGr6ZDJs")</f>
        <v>https://xhslink.com/m/1UBlGr6ZDJs</v>
      </c>
      <c r="D1208"/>
      <c r="E1208">
        <v>616</v>
      </c>
      <c r="F1208">
        <v>29.9</v>
      </c>
      <c r="G1208"/>
      <c r="H1208"/>
      <c r="I1208">
        <v>300</v>
      </c>
      <c r="J1208"/>
      <c r="K1208" t="inlineStr">
        <is>
          <t>PPT</t>
        </is>
      </c>
      <c r="L1208"/>
      <c r="M1208" t="inlineStr">
        <is>
          <t>美羊羊请柬的店</t>
        </is>
      </c>
      <c r="N1208">
        <v>730</v>
      </c>
      <c r="O1208">
        <v>4.17</v>
      </c>
      <c r="P1208">
        <v>4846</v>
      </c>
      <c r="Q1208" t="inlineStr">
        <is>
          <t>68c3ba8a39f90c0001de7263</t>
        </is>
      </c>
      <c r="R1208"/>
      <c r="S1208" t="inlineStr">
        <is>
          <t>PPT模板</t>
        </is>
      </c>
      <c r="T1208" t="inlineStr">
        <is>
          <t>0.84</t>
        </is>
      </c>
      <c r="U1208" s="3">
        <v>46112.78107638889</v>
      </c>
      <c r="V1208" t="inlineStr">
        <is>
          <t>虚拟产品</t>
        </is>
      </c>
      <c r="W1208" s="3">
        <v>46041</v>
      </c>
      <c r="X1208" t="inlineStr">
        <is>
          <t>01</t>
        </is>
      </c>
      <c r="Y1208" t="inlineStr">
        <is>
          <t>2026-Q1</t>
        </is>
      </c>
    </row>
    <row r="1209" ht="38.25" customHeight="1">
      <c r="A1209" t="inlineStr">
        <is>
          <t>2025秋新版人教版初中英语789年级课件ppt教案资料电子版</t>
        </is>
      </c>
      <c r="B1209" t="inlineStr">
        <is>
          <t>recv8IBLpnlLKN.jpg</t>
        </is>
      </c>
      <c r="C1209" s="2" t="str">
        <f>=HYPERLINK("https://xhslink.com/m/5jU0FjppKEh", "https://xhslink.com/m/5jU0FjppKEh")</f>
        <v>https://xhslink.com/m/5jU0FjppKEh</v>
      </c>
      <c r="D1209"/>
      <c r="E1209">
        <v>607</v>
      </c>
      <c r="F1209">
        <v>29.9</v>
      </c>
      <c r="G1209"/>
      <c r="H1209"/>
      <c r="I1209">
        <v>500</v>
      </c>
      <c r="J1209"/>
      <c r="K1209" t="inlineStr">
        <is>
          <t>PPT</t>
        </is>
      </c>
      <c r="L1209"/>
      <c r="M1209" t="inlineStr">
        <is>
          <t>小谢老师的资料库的店</t>
        </is>
      </c>
      <c r="N1209">
        <v>2607</v>
      </c>
      <c r="O1209">
        <v>4.18</v>
      </c>
      <c r="P1209">
        <v>1980</v>
      </c>
      <c r="Q1209" t="inlineStr">
        <is>
          <t>68f51f787d3b3f00014bf0d3</t>
        </is>
      </c>
      <c r="R1209" t="inlineStr">
        <is>
          <t>🚫重复</t>
        </is>
      </c>
      <c r="S1209" t="inlineStr">
        <is>
          <t>中小学教辅/教材</t>
        </is>
      </c>
      <c r="T1209" t="inlineStr">
        <is>
          <t>0.23</t>
        </is>
      </c>
      <c r="U1209" s="3">
        <v>46112.78107638889</v>
      </c>
      <c r="V1209" t="inlineStr">
        <is>
          <t>虚拟产品</t>
        </is>
      </c>
      <c r="W1209" s="3">
        <v>46041</v>
      </c>
      <c r="X1209" t="inlineStr">
        <is>
          <t>01</t>
        </is>
      </c>
      <c r="Y1209" t="inlineStr">
        <is>
          <t>2026-Q1</t>
        </is>
      </c>
    </row>
    <row r="1210" ht="38.25" customHeight="1">
      <c r="A1210" t="inlineStr">
        <is>
          <t>高级创意图文排版PPT模板/商务宣传/职场汇报/静态+动态/持续更新</t>
        </is>
      </c>
      <c r="B1210" t="inlineStr">
        <is>
          <t>recv8IBLpnhns2.jpg</t>
        </is>
      </c>
      <c r="C1210" s="2" t="str">
        <f>=HYPERLINK("https://xhslink.com/m/5bWdEXU7YKL", "https://xhslink.com/m/5bWdEXU7YKL")</f>
        <v>https://xhslink.com/m/5bWdEXU7YKL</v>
      </c>
      <c r="D1210"/>
      <c r="E1210">
        <v>590</v>
      </c>
      <c r="F1210">
        <v>19.9</v>
      </c>
      <c r="G1210"/>
      <c r="H1210"/>
      <c r="I1210">
        <v>300</v>
      </c>
      <c r="J1210"/>
      <c r="K1210" t="inlineStr">
        <is>
          <t>PPT</t>
        </is>
      </c>
      <c r="L1210"/>
      <c r="M1210" t="inlineStr">
        <is>
          <t>云晞在做PPT的店</t>
        </is>
      </c>
      <c r="N1210">
        <v>574</v>
      </c>
      <c r="O1210">
        <v>4.21</v>
      </c>
      <c r="P1210">
        <v>687</v>
      </c>
      <c r="Q1210" t="inlineStr">
        <is>
          <t>684e64fa57fa160001d140aa</t>
        </is>
      </c>
      <c r="R1210" t="inlineStr">
        <is>
          <t>🚫重复</t>
        </is>
      </c>
      <c r="S1210" t="inlineStr">
        <is>
          <t>PPT模板</t>
        </is>
      </c>
      <c r="T1210" t="inlineStr">
        <is>
          <t>1.03</t>
        </is>
      </c>
      <c r="U1210" s="3">
        <v>46112.78107638889</v>
      </c>
      <c r="V1210" t="inlineStr">
        <is>
          <t>虚拟产品</t>
        </is>
      </c>
      <c r="W1210" s="3">
        <v>46041</v>
      </c>
      <c r="X1210" t="inlineStr">
        <is>
          <t>01</t>
        </is>
      </c>
      <c r="Y1210" t="inlineStr">
        <is>
          <t>2026-Q1</t>
        </is>
      </c>
    </row>
    <row r="1211" ht="38.25" customHeight="1">
      <c r="A1211" t="inlineStr">
        <is>
          <t>20页高端红色国家奖学金答辩/奖学金答辩/职规PPT模版 静态版本</t>
        </is>
      </c>
      <c r="B1211" t="inlineStr">
        <is>
          <t>recv8IBLpnNFb6.jpg</t>
        </is>
      </c>
      <c r="C1211" s="2" t="str">
        <f>=HYPERLINK("https://xhslink.com/m/2AoswE7lKqh", "https://xhslink.com/m/2AoswE7lKqh")</f>
        <v>https://xhslink.com/m/2AoswE7lKqh</v>
      </c>
      <c r="D1211"/>
      <c r="E1211">
        <v>460</v>
      </c>
      <c r="F1211">
        <v>28</v>
      </c>
      <c r="G1211"/>
      <c r="H1211"/>
      <c r="I1211">
        <v>300</v>
      </c>
      <c r="J1211"/>
      <c r="K1211" t="inlineStr">
        <is>
          <t>PPT</t>
        </is>
      </c>
      <c r="L1211"/>
      <c r="M1211" t="inlineStr">
        <is>
          <t>小晨PPT的店</t>
        </is>
      </c>
      <c r="N1211">
        <v>11000</v>
      </c>
      <c r="O1211">
        <v>4.39</v>
      </c>
      <c r="P1211">
        <v>11000</v>
      </c>
      <c r="Q1211" t="inlineStr">
        <is>
          <t>68ccd198e8b4ad0001787c4a</t>
        </is>
      </c>
      <c r="R1211" t="inlineStr">
        <is>
          <t>🚫重复</t>
        </is>
      </c>
      <c r="S1211" t="inlineStr">
        <is>
          <t>PPT模板</t>
        </is>
      </c>
      <c r="T1211" t="inlineStr">
        <is>
          <t>0.04</t>
        </is>
      </c>
      <c r="U1211" s="3">
        <v>46112.78107638889</v>
      </c>
      <c r="V1211" t="inlineStr">
        <is>
          <t>虚拟产品</t>
        </is>
      </c>
      <c r="W1211" s="3">
        <v>46041</v>
      </c>
      <c r="X1211" t="inlineStr">
        <is>
          <t>01</t>
        </is>
      </c>
      <c r="Y1211" t="inlineStr">
        <is>
          <t>2026-Q1</t>
        </is>
      </c>
    </row>
    <row r="1212" ht="38.25" customHeight="1">
      <c r="A1212" t="inlineStr">
        <is>
          <t>蓝色 大学生职业规划大赛 职规赛 PPT模板 就业赛道可编辑可修改</t>
        </is>
      </c>
      <c r="B1212" t="inlineStr">
        <is>
          <t>recv8IBLpno4Qz.jpg</t>
        </is>
      </c>
      <c r="C1212" s="2" t="str">
        <f>=HYPERLINK("https://xhslink.com/m/8kGKaZ8zSvC", "https://xhslink.com/m/8kGKaZ8zSvC")</f>
        <v>https://xhslink.com/m/8kGKaZ8zSvC</v>
      </c>
      <c r="D1212"/>
      <c r="E1212">
        <v>353</v>
      </c>
      <c r="F1212">
        <v>39.9</v>
      </c>
      <c r="G1212"/>
      <c r="H1212"/>
      <c r="I1212">
        <v>300</v>
      </c>
      <c r="J1212"/>
      <c r="K1212" t="inlineStr">
        <is>
          <t>PPT</t>
        </is>
      </c>
      <c r="L1212"/>
      <c r="M1212" t="inlineStr">
        <is>
          <t>清川PPT的店</t>
        </is>
      </c>
      <c r="N1212">
        <v>3194</v>
      </c>
      <c r="O1212">
        <v>4.08</v>
      </c>
      <c r="P1212">
        <v>1813</v>
      </c>
      <c r="Q1212" t="inlineStr">
        <is>
          <t>68873da3417c3f000184698d</t>
        </is>
      </c>
      <c r="R1212"/>
      <c r="S1212" t="inlineStr">
        <is>
          <t>PPT模板</t>
        </is>
      </c>
      <c r="T1212" t="inlineStr">
        <is>
          <t>0.11</t>
        </is>
      </c>
      <c r="U1212" s="3">
        <v>46112.78107638889</v>
      </c>
      <c r="V1212" t="inlineStr">
        <is>
          <t>虚拟产品</t>
        </is>
      </c>
      <c r="W1212" s="3">
        <v>46041</v>
      </c>
      <c r="X1212" t="inlineStr">
        <is>
          <t>01</t>
        </is>
      </c>
      <c r="Y1212" t="inlineStr">
        <is>
          <t>2026-Q1</t>
        </is>
      </c>
    </row>
    <row r="1213" ht="38.25" customHeight="1">
      <c r="A1213" t="inlineStr">
        <is>
          <t>34页蓝色职业规划大赛就业赛道通用PPT模版  10色可选 无动画</t>
        </is>
      </c>
      <c r="B1213" t="inlineStr">
        <is>
          <t>recv8IBLpnPvRW.jpg</t>
        </is>
      </c>
      <c r="C1213" s="2" t="str">
        <f>=HYPERLINK("https://xhslink.com/m/AbhLfXfnMBK", "https://xhslink.com/m/AbhLfXfnMBK")</f>
        <v>https://xhslink.com/m/AbhLfXfnMBK</v>
      </c>
      <c r="D1213"/>
      <c r="E1213">
        <v>344</v>
      </c>
      <c r="F1213">
        <v>29.9</v>
      </c>
      <c r="G1213"/>
      <c r="H1213"/>
      <c r="I1213">
        <v>300</v>
      </c>
      <c r="J1213"/>
      <c r="K1213" t="inlineStr">
        <is>
          <t>PPT</t>
        </is>
      </c>
      <c r="L1213"/>
      <c r="M1213" t="inlineStr">
        <is>
          <t>小晨PPT的店</t>
        </is>
      </c>
      <c r="N1213">
        <v>11000</v>
      </c>
      <c r="O1213">
        <v>4.39</v>
      </c>
      <c r="P1213">
        <v>11000</v>
      </c>
      <c r="Q1213" t="inlineStr">
        <is>
          <t>6906c4a8cdf9d60001003105</t>
        </is>
      </c>
      <c r="R1213" t="inlineStr">
        <is>
          <t>🚫重复</t>
        </is>
      </c>
      <c r="S1213" t="inlineStr">
        <is>
          <t>PPT模板</t>
        </is>
      </c>
      <c r="T1213" t="inlineStr">
        <is>
          <t>0.03</t>
        </is>
      </c>
      <c r="U1213" s="3">
        <v>46112.78107638889</v>
      </c>
      <c r="V1213" t="inlineStr">
        <is>
          <t>虚拟产品</t>
        </is>
      </c>
      <c r="W1213" s="3">
        <v>46041</v>
      </c>
      <c r="X1213" t="inlineStr">
        <is>
          <t>01</t>
        </is>
      </c>
      <c r="Y1213" t="inlineStr">
        <is>
          <t>2026-Q1</t>
        </is>
      </c>
    </row>
    <row r="1214" ht="38.25" customHeight="1">
      <c r="A1214" t="inlineStr">
        <is>
          <t>RealtimeCopilot 面试辅助 AI面试工具 外企留学面试 英文面试</t>
        </is>
      </c>
      <c r="B1214" t="inlineStr">
        <is>
          <t>recv8IBLpnziIC.jpg</t>
        </is>
      </c>
      <c r="C1214" s="2" t="str">
        <f>=HYPERLINK("https://xhslink.com/m/6ieb1QnxOop", "https://xhslink.com/m/6ieb1QnxOop")</f>
        <v>https://xhslink.com/m/6ieb1QnxOop</v>
      </c>
      <c r="D1214"/>
      <c r="E1214">
        <v>3171</v>
      </c>
      <c r="F1214">
        <v>15</v>
      </c>
      <c r="G1214"/>
      <c r="H1214"/>
      <c r="I1214">
        <v>300</v>
      </c>
      <c r="J1214"/>
      <c r="K1214" t="inlineStr">
        <is>
          <t>留学资料</t>
        </is>
      </c>
      <c r="L1214"/>
      <c r="M1214" t="inlineStr">
        <is>
          <t>RealtimeCopilot的店</t>
        </is>
      </c>
      <c r="N1214">
        <v>3045</v>
      </c>
      <c r="O1214">
        <v>3.93</v>
      </c>
      <c r="P1214">
        <v>3555</v>
      </c>
      <c r="Q1214" t="inlineStr">
        <is>
          <t>66fc121d94f7580001bd66b4</t>
        </is>
      </c>
      <c r="R1214" t="inlineStr">
        <is>
          <t>🚫重复</t>
        </is>
      </c>
      <c r="S1214" t="inlineStr">
        <is>
          <t>求职面试/职场</t>
        </is>
      </c>
      <c r="T1214" t="inlineStr">
        <is>
          <t>1.04</t>
        </is>
      </c>
      <c r="U1214" s="3">
        <v>46112.78107638889</v>
      </c>
      <c r="V1214" t="inlineStr">
        <is>
          <t>虚拟产品</t>
        </is>
      </c>
      <c r="W1214" s="3">
        <v>46041</v>
      </c>
      <c r="X1214" t="inlineStr">
        <is>
          <t>01</t>
        </is>
      </c>
      <c r="Y1214" t="inlineStr">
        <is>
          <t>2026-Q1</t>
        </is>
      </c>
    </row>
    <row r="1215" ht="38.25" customHeight="1">
      <c r="A1215" t="inlineStr">
        <is>
          <t>26届法学校招岗位表（含往届可投），真正实现一键投递，全国有岗</t>
        </is>
      </c>
      <c r="B1215" t="inlineStr">
        <is>
          <t>recv8IBLpnSPYU.jpg</t>
        </is>
      </c>
      <c r="C1215" s="2" t="str">
        <f>=HYPERLINK("https://xhslink.com/m/8VtHiVxxbT0", "https://xhslink.com/m/8VtHiVxxbT0")</f>
        <v>https://xhslink.com/m/8VtHiVxxbT0</v>
      </c>
      <c r="D1215"/>
      <c r="E1215">
        <v>1179</v>
      </c>
      <c r="F1215">
        <v>49.9</v>
      </c>
      <c r="G1215"/>
      <c r="H1215"/>
      <c r="I1215">
        <v>1000</v>
      </c>
      <c r="J1215"/>
      <c r="K1215" t="inlineStr">
        <is>
          <t>校招岗位</t>
        </is>
      </c>
      <c r="L1215"/>
      <c r="M1215" t="inlineStr">
        <is>
          <t>不爱探险的法学朵拉的店</t>
        </is>
      </c>
      <c r="N1215">
        <v>5843</v>
      </c>
      <c r="O1215">
        <v>4.21</v>
      </c>
      <c r="P1215">
        <v>1225</v>
      </c>
      <c r="Q1215" t="inlineStr">
        <is>
          <t>6909a99bc6a9770001f11191</t>
        </is>
      </c>
      <c r="R1215"/>
      <c r="S1215" t="inlineStr">
        <is>
          <t>求职面试/职场</t>
        </is>
      </c>
      <c r="T1215" t="inlineStr">
        <is>
          <t>0.20</t>
        </is>
      </c>
      <c r="U1215" s="3">
        <v>46112.78107638889</v>
      </c>
      <c r="V1215" t="inlineStr">
        <is>
          <t>虚拟产品</t>
        </is>
      </c>
      <c r="W1215" s="3">
        <v>46041</v>
      </c>
      <c r="X1215" t="inlineStr">
        <is>
          <t>01</t>
        </is>
      </c>
      <c r="Y1215" t="inlineStr">
        <is>
          <t>2026-Q1</t>
        </is>
      </c>
    </row>
    <row r="1216" ht="38.25" customHeight="1">
      <c r="A1216" t="inlineStr">
        <is>
          <t>网友红领巾神题本刷题跟练本言语数量资料判断国省考活页夹纸质版</t>
        </is>
      </c>
      <c r="B1216" t="inlineStr">
        <is>
          <t>__upload_recv8IBLpnYm19.jpg</t>
        </is>
      </c>
      <c r="C1216" s="2" t="str">
        <f>=HYPERLINK("https://xhslink.com/m/6RSRgNIUUtK", "https://xhslink.com/m/6RSRgNIUUtK")</f>
        <v>https://xhslink.com/m/6RSRgNIUUtK</v>
      </c>
      <c r="D1216"/>
      <c r="E1216">
        <v>6593</v>
      </c>
      <c r="F1216">
        <v>90.8</v>
      </c>
      <c r="G1216"/>
      <c r="H1216"/>
      <c r="I1216">
        <v>500</v>
      </c>
      <c r="J1216">
        <v>100</v>
      </c>
      <c r="K1216" t="inlineStr">
        <is>
          <t>省考</t>
        </is>
      </c>
      <c r="L1216" t="inlineStr">
        <is>
          <t>🔥低粉爆款</t>
        </is>
      </c>
      <c r="M1216" t="inlineStr">
        <is>
          <t>公考打印的店</t>
        </is>
      </c>
      <c r="N1216">
        <v>114</v>
      </c>
      <c r="O1216">
        <v>4.28</v>
      </c>
      <c r="P1216">
        <v>10000</v>
      </c>
      <c r="Q1216" t="inlineStr">
        <is>
          <t>687f567286c0df00014e1d62</t>
        </is>
      </c>
      <c r="R1216" t="inlineStr">
        <is>
          <t>🚫重复</t>
        </is>
      </c>
      <c r="S1216" t="inlineStr">
        <is>
          <t>考公资料</t>
        </is>
      </c>
      <c r="T1216" t="inlineStr">
        <is>
          <t>57.83</t>
        </is>
      </c>
      <c r="U1216" s="3">
        <v>46112.78107638889</v>
      </c>
      <c r="V1216" t="inlineStr">
        <is>
          <t>虚拟产品</t>
        </is>
      </c>
      <c r="W1216" s="3">
        <v>46041</v>
      </c>
      <c r="X1216" t="inlineStr">
        <is>
          <t>01</t>
        </is>
      </c>
      <c r="Y1216" t="inlineStr">
        <is>
          <t>2026-Q1</t>
        </is>
      </c>
    </row>
    <row r="1217" ht="38.25" customHeight="1">
      <c r="A1217" t="inlineStr">
        <is>
          <t>【5000+考研人选择】阅读中背单词逐词翻译笔记英一英二笔记本</t>
        </is>
      </c>
      <c r="B1217" t="inlineStr">
        <is>
          <t>recv8IBLpnBmrQ.jpg</t>
        </is>
      </c>
      <c r="C1217" s="2" t="str">
        <f>=HYPERLINK("https://xhslink.com/m/76QkOaL9TV", "https://xhslink.com/m/76QkOaL9TV")</f>
        <v>https://xhslink.com/m/76QkOaL9TV</v>
      </c>
      <c r="D1217"/>
      <c r="E1217">
        <v>3448</v>
      </c>
      <c r="F1217">
        <v>84.9</v>
      </c>
      <c r="G1217"/>
      <c r="H1217"/>
      <c r="I1217">
        <v>1000</v>
      </c>
      <c r="J1217"/>
      <c r="K1217" t="inlineStr">
        <is>
          <t>考研英语</t>
        </is>
      </c>
      <c r="L1217"/>
      <c r="M1217" t="inlineStr">
        <is>
          <t>小鹅资料的店</t>
        </is>
      </c>
      <c r="N1217">
        <v>2969</v>
      </c>
      <c r="O1217">
        <v>4.61</v>
      </c>
      <c r="P1217">
        <v>14000</v>
      </c>
      <c r="Q1217" t="inlineStr">
        <is>
          <t>68b1b3426f3f720001b2f01d</t>
        </is>
      </c>
      <c r="R1217" t="inlineStr">
        <is>
          <t>🚫重复</t>
        </is>
      </c>
      <c r="S1217" t="inlineStr">
        <is>
          <t>考研资料</t>
        </is>
      </c>
      <c r="T1217" t="inlineStr">
        <is>
          <t>1.16</t>
        </is>
      </c>
      <c r="U1217" s="3">
        <v>46112.78107638889</v>
      </c>
      <c r="V1217" t="inlineStr">
        <is>
          <t>虚拟产品</t>
        </is>
      </c>
      <c r="W1217" s="3">
        <v>46041</v>
      </c>
      <c r="X1217" t="inlineStr">
        <is>
          <t>01</t>
        </is>
      </c>
      <c r="Y1217" t="inlineStr">
        <is>
          <t>2026-Q1</t>
        </is>
      </c>
    </row>
    <row r="1218" ht="38.25" customHeight="1">
      <c r="A1218" t="inlineStr">
        <is>
          <t>考研英语必背考纲词表（5500词+998高频词+300组同义替换+默写）</t>
        </is>
      </c>
      <c r="B1218" t="inlineStr">
        <is>
          <t>recv8IBLpnbHzM.jpg</t>
        </is>
      </c>
      <c r="C1218" s="2" t="str">
        <f>=HYPERLINK("https://xhslink.com/m/TAi11TVhaN", "https://xhslink.com/m/TAi11TVhaN")</f>
        <v>https://xhslink.com/m/TAi11TVhaN</v>
      </c>
      <c r="D1218"/>
      <c r="E1218">
        <v>2394</v>
      </c>
      <c r="F1218">
        <v>9.9</v>
      </c>
      <c r="G1218"/>
      <c r="H1218"/>
      <c r="I1218">
        <v>1000</v>
      </c>
      <c r="J1218"/>
      <c r="K1218" t="inlineStr">
        <is>
          <t>考研英语</t>
        </is>
      </c>
      <c r="L1218"/>
      <c r="M1218" t="inlineStr">
        <is>
          <t>猫叔英语研究所的店</t>
        </is>
      </c>
      <c r="N1218">
        <v>3414</v>
      </c>
      <c r="O1218">
        <v>4.25</v>
      </c>
      <c r="P1218">
        <v>16000</v>
      </c>
      <c r="Q1218" t="inlineStr">
        <is>
          <t>68a05f6f33fcf80001654773</t>
        </is>
      </c>
      <c r="R1218" t="inlineStr">
        <is>
          <t>🚫重复</t>
        </is>
      </c>
      <c r="S1218" t="inlineStr">
        <is>
          <t>考研资料</t>
        </is>
      </c>
      <c r="T1218" t="inlineStr">
        <is>
          <t>0.70</t>
        </is>
      </c>
      <c r="U1218" s="3">
        <v>46112.78107638889</v>
      </c>
      <c r="V1218" t="inlineStr">
        <is>
          <t>虚拟产品</t>
        </is>
      </c>
      <c r="W1218" s="3">
        <v>46041</v>
      </c>
      <c r="X1218" t="inlineStr">
        <is>
          <t>01</t>
        </is>
      </c>
      <c r="Y1218" t="inlineStr">
        <is>
          <t>2026-Q1</t>
        </is>
      </c>
    </row>
    <row r="1219" ht="38.25" customHeight="1">
      <c r="A1219" t="inlineStr">
        <is>
          <t>26考研英语王江涛作文考前预测20篇电子版 考前急救</t>
        </is>
      </c>
      <c r="B1219" t="inlineStr">
        <is>
          <t>recv8IBLpng4a5.jpg</t>
        </is>
      </c>
      <c r="C1219" s="2" t="str">
        <f>=HYPERLINK("https://xhslink.com/m/AgeApBGVYoO", "https://xhslink.com/m/AgeApBGVYoO")</f>
        <v>https://xhslink.com/m/AgeApBGVYoO</v>
      </c>
      <c r="D1219"/>
      <c r="E1219">
        <v>1233</v>
      </c>
      <c r="F1219">
        <v>1.49</v>
      </c>
      <c r="G1219"/>
      <c r="H1219"/>
      <c r="I1219">
        <v>1000</v>
      </c>
      <c r="J1219"/>
      <c r="K1219" t="inlineStr">
        <is>
          <t>考研英语</t>
        </is>
      </c>
      <c r="L1219" t="inlineStr">
        <is>
          <t>🔥低粉爆款</t>
        </is>
      </c>
      <c r="M1219" t="inlineStr">
        <is>
          <t>拾光上岸屋的店</t>
        </is>
      </c>
      <c r="N1219">
        <v>138</v>
      </c>
      <c r="O1219">
        <v>4.41</v>
      </c>
      <c r="P1219">
        <v>10000</v>
      </c>
      <c r="Q1219" t="inlineStr">
        <is>
          <t>69142d0f1b787900014574a2</t>
        </is>
      </c>
      <c r="R1219"/>
      <c r="S1219" t="inlineStr">
        <is>
          <t>考研资料</t>
        </is>
      </c>
      <c r="T1219" t="inlineStr">
        <is>
          <t>8.93</t>
        </is>
      </c>
      <c r="U1219" s="3">
        <v>46112.78107638889</v>
      </c>
      <c r="V1219" t="inlineStr">
        <is>
          <t>虚拟产品</t>
        </is>
      </c>
      <c r="W1219" s="3">
        <v>46041</v>
      </c>
      <c r="X1219" t="inlineStr">
        <is>
          <t>01</t>
        </is>
      </c>
      <c r="Y1219" t="inlineStr">
        <is>
          <t>2026-Q1</t>
        </is>
      </c>
    </row>
    <row r="1220" ht="38.25" customHeight="1">
      <c r="A1220" t="inlineStr">
        <is>
          <t>全新考研英语作文模板（图画+图表+小作文+万能原因+30个功能句）</t>
        </is>
      </c>
      <c r="B1220" t="inlineStr">
        <is>
          <t>recv8IBLpn8LaL.jpg</t>
        </is>
      </c>
      <c r="C1220" s="2" t="str">
        <f>=HYPERLINK("https://xhslink.com/m/5kkJUIJEzUR", "https://xhslink.com/m/5kkJUIJEzUR")</f>
        <v>https://xhslink.com/m/5kkJUIJEzUR</v>
      </c>
      <c r="D1220"/>
      <c r="E1220">
        <v>1331</v>
      </c>
      <c r="F1220">
        <v>1.99</v>
      </c>
      <c r="G1220"/>
      <c r="H1220"/>
      <c r="I1220">
        <v>600</v>
      </c>
      <c r="J1220"/>
      <c r="K1220" t="inlineStr">
        <is>
          <t>考研英语</t>
        </is>
      </c>
      <c r="L1220"/>
      <c r="M1220" t="inlineStr">
        <is>
          <t>舍予舍予七的店</t>
        </is>
      </c>
      <c r="N1220">
        <v>15000</v>
      </c>
      <c r="O1220">
        <v>4.08</v>
      </c>
      <c r="P1220">
        <v>9339</v>
      </c>
      <c r="Q1220" t="inlineStr">
        <is>
          <t>691024ab49e46a0001a0e6c0</t>
        </is>
      </c>
      <c r="R1220" t="inlineStr">
        <is>
          <t>🚫重复</t>
        </is>
      </c>
      <c r="S1220" t="inlineStr">
        <is>
          <t>考研资料</t>
        </is>
      </c>
      <c r="T1220" t="inlineStr">
        <is>
          <t>0.09</t>
        </is>
      </c>
      <c r="U1220" s="3">
        <v>46112.78107638889</v>
      </c>
      <c r="V1220" t="inlineStr">
        <is>
          <t>虚拟产品</t>
        </is>
      </c>
      <c r="W1220" s="3">
        <v>46041</v>
      </c>
      <c r="X1220" t="inlineStr">
        <is>
          <t>01</t>
        </is>
      </c>
      <c r="Y1220" t="inlineStr">
        <is>
          <t>2026-Q1</t>
        </is>
      </c>
    </row>
    <row r="1221" ht="38.25" customHeight="1">
      <c r="A1221" t="inlineStr">
        <is>
          <t>考研英语阅读真题词组 英一|英二 2000-2025年</t>
        </is>
      </c>
      <c r="B1221" t="inlineStr">
        <is>
          <t>recv8IBLpnV9KF.jpg</t>
        </is>
      </c>
      <c r="C1221" s="2" t="str">
        <f>=HYPERLINK("https://xhslink.com/m/7iXglUaLVTo", "https://xhslink.com/m/7iXglUaLVTo")</f>
        <v>https://xhslink.com/m/7iXglUaLVTo</v>
      </c>
      <c r="D1221"/>
      <c r="E1221">
        <v>1202</v>
      </c>
      <c r="F1221">
        <v>9.9</v>
      </c>
      <c r="G1221"/>
      <c r="H1221"/>
      <c r="I1221">
        <v>300</v>
      </c>
      <c r="J1221"/>
      <c r="K1221" t="inlineStr">
        <is>
          <t>考研英语</t>
        </is>
      </c>
      <c r="L1221"/>
      <c r="M1221" t="inlineStr">
        <is>
          <t>言玖姐的店</t>
        </is>
      </c>
      <c r="N1221">
        <v>2922</v>
      </c>
      <c r="O1221">
        <v>4.41</v>
      </c>
      <c r="P1221">
        <v>8556</v>
      </c>
      <c r="Q1221" t="inlineStr">
        <is>
          <t>688b38fe02d7b00001fe60d8</t>
        </is>
      </c>
      <c r="R1221"/>
      <c r="S1221" t="inlineStr">
        <is>
          <t>考研资料</t>
        </is>
      </c>
      <c r="T1221" t="inlineStr">
        <is>
          <t>0.41</t>
        </is>
      </c>
      <c r="U1221" s="3">
        <v>46112.78107638889</v>
      </c>
      <c r="V1221" t="inlineStr">
        <is>
          <t>虚拟产品</t>
        </is>
      </c>
      <c r="W1221" s="3">
        <v>46041</v>
      </c>
      <c r="X1221" t="inlineStr">
        <is>
          <t>01</t>
        </is>
      </c>
      <c r="Y1221" t="inlineStr">
        <is>
          <t>2026-Q1</t>
        </is>
      </c>
    </row>
    <row r="1222" ht="38.25" customHeight="1">
      <c r="A1222" t="inlineStr">
        <is>
          <t>2000-2025考研英语一历年真题单词、短语（注意勾选规格）-电子版</t>
        </is>
      </c>
      <c r="B1222" t="inlineStr">
        <is>
          <t>recv8IBLpnwIR1.jpg</t>
        </is>
      </c>
      <c r="C1222" s="2" t="str">
        <f>=HYPERLINK("https://xhslink.com/m/6u4y1YEcjCA", "https://xhslink.com/m/6u4y1YEcjCA")</f>
        <v>https://xhslink.com/m/6u4y1YEcjCA</v>
      </c>
      <c r="D1222"/>
      <c r="E1222">
        <v>471</v>
      </c>
      <c r="F1222">
        <v>3.98</v>
      </c>
      <c r="G1222"/>
      <c r="H1222"/>
      <c r="I1222">
        <v>400</v>
      </c>
      <c r="J1222"/>
      <c r="K1222" t="inlineStr">
        <is>
          <t>考研英语</t>
        </is>
      </c>
      <c r="L1222"/>
      <c r="M1222" t="inlineStr">
        <is>
          <t>椰椰生活笔记的店</t>
        </is>
      </c>
      <c r="N1222">
        <v>170</v>
      </c>
      <c r="O1222">
        <v>4.31</v>
      </c>
      <c r="P1222">
        <v>2992</v>
      </c>
      <c r="Q1222" t="inlineStr">
        <is>
          <t>68fd8e4dee3e410001c3945c</t>
        </is>
      </c>
      <c r="R1222"/>
      <c r="S1222" t="inlineStr">
        <is>
          <t>考研资料</t>
        </is>
      </c>
      <c r="T1222" t="inlineStr">
        <is>
          <t>2.77</t>
        </is>
      </c>
      <c r="U1222" s="3">
        <v>46112.78107638889</v>
      </c>
      <c r="V1222" t="inlineStr">
        <is>
          <t>虚拟产品</t>
        </is>
      </c>
      <c r="W1222" s="3">
        <v>46041</v>
      </c>
      <c r="X1222" t="inlineStr">
        <is>
          <t>01</t>
        </is>
      </c>
      <c r="Y1222" t="inlineStr">
        <is>
          <t>2026-Q1</t>
        </is>
      </c>
    </row>
    <row r="1223" ht="38.25" customHeight="1">
      <c r="A1223" t="inlineStr">
        <is>
          <t>天星教育 · 【一轮刷题】2026金考卷高考领航预测测评卷全国百校联盟高三复习</t>
        </is>
      </c>
      <c r="B1223" t="inlineStr">
        <is>
          <t>recv8IBLpnCyP6.jpg</t>
        </is>
      </c>
      <c r="C1223" s="2" t="str">
        <f>=HYPERLINK("https://xhslink.com/m/3wShJilrtT9", "https://xhslink.com/m/3wShJilrtT9")</f>
        <v>https://xhslink.com/m/3wShJilrtT9</v>
      </c>
      <c r="D1223"/>
      <c r="E1223">
        <v>2650</v>
      </c>
      <c r="F1223">
        <v>16.6</v>
      </c>
      <c r="G1223"/>
      <c r="H1223"/>
      <c r="I1223">
        <v>400</v>
      </c>
      <c r="J1223"/>
      <c r="K1223" t="inlineStr">
        <is>
          <t>山东省考</t>
        </is>
      </c>
      <c r="L1223"/>
      <c r="M1223" t="inlineStr">
        <is>
          <t>天星教育旗舰店</t>
        </is>
      </c>
      <c r="N1223">
        <v>228000</v>
      </c>
      <c r="O1223">
        <v>4.63</v>
      </c>
      <c r="P1223">
        <v>136000</v>
      </c>
      <c r="Q1223" t="inlineStr">
        <is>
          <t>693cd1b8a454e8000177c54c</t>
        </is>
      </c>
      <c r="R1223" t="inlineStr">
        <is>
          <t>🚫重复</t>
        </is>
      </c>
      <c r="S1223" t="inlineStr">
        <is>
          <t>高中/高考资料</t>
        </is>
      </c>
      <c r="T1223" t="inlineStr">
        <is>
          <t>0.01</t>
        </is>
      </c>
      <c r="U1223" s="3">
        <v>46112.78107638889</v>
      </c>
      <c r="V1223" t="inlineStr">
        <is>
          <t>虚拟产品</t>
        </is>
      </c>
      <c r="W1223" s="3">
        <v>46041</v>
      </c>
      <c r="X1223" t="inlineStr">
        <is>
          <t>01</t>
        </is>
      </c>
      <c r="Y1223" t="inlineStr">
        <is>
          <t>2026-Q1</t>
        </is>
      </c>
    </row>
    <row r="1224" ht="38.25" customHeight="1">
      <c r="A1224" t="inlineStr">
        <is>
          <t>2026公务员国考省考16-25年行测申论历年真题套卷考试刷题必备</t>
        </is>
      </c>
      <c r="B1224" t="inlineStr">
        <is>
          <t>recv8IBLpnJ6Yp.jpg</t>
        </is>
      </c>
      <c r="C1224" s="2" t="str">
        <f>=HYPERLINK("https://xhslink.com/m/486gWMcP55O", "https://xhslink.com/m/486gWMcP55O")</f>
        <v>https://xhslink.com/m/486gWMcP55O</v>
      </c>
      <c r="D1224"/>
      <c r="E1224">
        <v>1582</v>
      </c>
      <c r="F1224">
        <v>16</v>
      </c>
      <c r="G1224"/>
      <c r="H1224"/>
      <c r="I1224">
        <v>500</v>
      </c>
      <c r="J1224"/>
      <c r="K1224" t="inlineStr">
        <is>
          <t>山东省考</t>
        </is>
      </c>
      <c r="L1224" t="inlineStr">
        <is>
          <t>🔥低粉爆款</t>
        </is>
      </c>
      <c r="M1224" t="inlineStr">
        <is>
          <t>公考打印的店</t>
        </is>
      </c>
      <c r="N1224">
        <v>114</v>
      </c>
      <c r="O1224">
        <v>4.28</v>
      </c>
      <c r="P1224">
        <v>10000</v>
      </c>
      <c r="Q1224" t="inlineStr">
        <is>
          <t>68ad6b130991b40001b55d45</t>
        </is>
      </c>
      <c r="R1224" t="inlineStr">
        <is>
          <t>🚫重复</t>
        </is>
      </c>
      <c r="S1224" t="inlineStr">
        <is>
          <t>考公资料</t>
        </is>
      </c>
      <c r="T1224" t="inlineStr">
        <is>
          <t>13.88</t>
        </is>
      </c>
      <c r="U1224" s="3">
        <v>46112.78107638889</v>
      </c>
      <c r="V1224" t="inlineStr">
        <is>
          <t>虚拟产品</t>
        </is>
      </c>
      <c r="W1224" s="3">
        <v>46041</v>
      </c>
      <c r="X1224" t="inlineStr">
        <is>
          <t>01</t>
        </is>
      </c>
      <c r="Y1224" t="inlineStr">
        <is>
          <t>2026-Q1</t>
        </is>
      </c>
    </row>
    <row r="1225" ht="38.25" customHeight="1">
      <c r="A1225" t="inlineStr">
        <is>
          <t>2025山东省情+工作报告+每月时政及习题+全国时政热点押题包更新</t>
        </is>
      </c>
      <c r="B1225" t="inlineStr">
        <is>
          <t>recv8IBLpn8nTK.jpg</t>
        </is>
      </c>
      <c r="C1225" s="2" t="str">
        <f>=HYPERLINK("https://xhslink.com/m/vq5k3dUZdR", "https://xhslink.com/m/vq5k3dUZdR")</f>
        <v>https://xhslink.com/m/vq5k3dUZdR</v>
      </c>
      <c r="D1225"/>
      <c r="E1225">
        <v>474</v>
      </c>
      <c r="F1225">
        <v>16.9</v>
      </c>
      <c r="G1225"/>
      <c r="H1225"/>
      <c r="I1225">
        <v>400</v>
      </c>
      <c r="J1225"/>
      <c r="K1225" t="inlineStr">
        <is>
          <t>山东省考</t>
        </is>
      </c>
      <c r="L1225" t="inlineStr">
        <is>
          <t>🔥低粉爆款</t>
        </is>
      </c>
      <c r="M1225" t="inlineStr">
        <is>
          <t>一切都是种子的店</t>
        </is>
      </c>
      <c r="N1225">
        <v>60</v>
      </c>
      <c r="O1225">
        <v>4.3</v>
      </c>
      <c r="P1225">
        <v>3008</v>
      </c>
      <c r="Q1225" t="inlineStr">
        <is>
          <t>6911c58791014300013bb42a</t>
        </is>
      </c>
      <c r="R1225" t="inlineStr">
        <is>
          <t>🚫重复</t>
        </is>
      </c>
      <c r="S1225" t="inlineStr">
        <is>
          <t>无匹配类别</t>
        </is>
      </c>
      <c r="T1225" t="inlineStr">
        <is>
          <t>7.90</t>
        </is>
      </c>
      <c r="U1225" s="3">
        <v>46112.78107638889</v>
      </c>
      <c r="V1225" t="inlineStr">
        <is>
          <t>虚拟产品</t>
        </is>
      </c>
      <c r="W1225" s="3">
        <v>46041</v>
      </c>
      <c r="X1225" t="inlineStr">
        <is>
          <t>01</t>
        </is>
      </c>
      <c r="Y1225" t="inlineStr">
        <is>
          <t>2026-Q1</t>
        </is>
      </c>
    </row>
    <row r="1226" ht="38.25" customHeight="1">
      <c r="A1226" t="inlineStr">
        <is>
          <t>（初中/高中）英语教资面试/笔试（逐字稿+知识点+思维导图）PDF</t>
        </is>
      </c>
      <c r="B1226" t="inlineStr">
        <is>
          <t>recv8IBLpn3k9B.jpg</t>
        </is>
      </c>
      <c r="C1226" s="2" t="str">
        <f>=HYPERLINK("https://xhslink.com/m/1DsMFdD44WM", "https://xhslink.com/m/1DsMFdD44WM")</f>
        <v>https://xhslink.com/m/1DsMFdD44WM</v>
      </c>
      <c r="D1226"/>
      <c r="E1226">
        <v>12000</v>
      </c>
      <c r="F1226">
        <v>39.9</v>
      </c>
      <c r="G1226"/>
      <c r="H1226"/>
      <c r="I1226">
        <v>3000</v>
      </c>
      <c r="J1226"/>
      <c r="K1226" t="inlineStr">
        <is>
          <t>教资面试</t>
        </is>
      </c>
      <c r="L1226"/>
      <c r="M1226" t="inlineStr">
        <is>
          <t>藕泥没有酱（教资＋MTI🍀）的店</t>
        </is>
      </c>
      <c r="N1226">
        <v>50000</v>
      </c>
      <c r="O1226">
        <v>4.59</v>
      </c>
      <c r="P1226">
        <v>14000</v>
      </c>
      <c r="Q1226" t="inlineStr">
        <is>
          <t>66efee4f62ddc5000124a470</t>
        </is>
      </c>
      <c r="R1226" t="inlineStr">
        <is>
          <t>🚫重复</t>
        </is>
      </c>
      <c r="S1226" t="inlineStr">
        <is>
          <t>教资资料</t>
        </is>
      </c>
      <c r="T1226" t="inlineStr">
        <is>
          <t>0.24</t>
        </is>
      </c>
      <c r="U1226" s="3">
        <v>46112.78107638889</v>
      </c>
      <c r="V1226" t="inlineStr">
        <is>
          <t>虚拟产品</t>
        </is>
      </c>
      <c r="W1226" s="3">
        <v>46041</v>
      </c>
      <c r="X1226" t="inlineStr">
        <is>
          <t>01</t>
        </is>
      </c>
      <c r="Y1226" t="inlineStr">
        <is>
          <t>2026-Q1</t>
        </is>
      </c>
    </row>
    <row r="1227" ht="38.25" customHeight="1">
      <c r="A1227" t="inlineStr">
        <is>
          <t>西装套装女春秋大学生答辩正装公务员教资面试工作服高端职业西服</t>
        </is>
      </c>
      <c r="B1227" t="inlineStr">
        <is>
          <t>recv8IBLpngcDE.jpg</t>
        </is>
      </c>
      <c r="C1227" s="2" t="str">
        <f>=HYPERLINK("https://xhslink.com/m/7CuohKmTOIj", "https://xhslink.com/m/7CuohKmTOIj")</f>
        <v>https://xhslink.com/m/7CuohKmTOIj</v>
      </c>
      <c r="D1227"/>
      <c r="E1227">
        <v>3039</v>
      </c>
      <c r="F1227">
        <v>188</v>
      </c>
      <c r="G1227"/>
      <c r="H1227"/>
      <c r="I1227">
        <v>800</v>
      </c>
      <c r="J1227"/>
      <c r="K1227" t="inlineStr">
        <is>
          <t>教资面试</t>
        </is>
      </c>
      <c r="L1227" t="inlineStr">
        <is>
          <t>🔥低粉爆款</t>
        </is>
      </c>
      <c r="M1227" t="inlineStr">
        <is>
          <t>NN323高端正装女装穿搭的店</t>
        </is>
      </c>
      <c r="N1227">
        <v>452</v>
      </c>
      <c r="O1227">
        <v>4.67</v>
      </c>
      <c r="P1227">
        <v>8712</v>
      </c>
      <c r="Q1227" t="inlineStr">
        <is>
          <t>670a6af94c161f00013e3bae</t>
        </is>
      </c>
      <c r="R1227"/>
      <c r="S1227" t="inlineStr">
        <is>
          <t>教资资料</t>
        </is>
      </c>
      <c r="T1227" t="inlineStr">
        <is>
          <t>6.72</t>
        </is>
      </c>
      <c r="U1227" s="3">
        <v>46112.78107638889</v>
      </c>
      <c r="V1227" t="inlineStr">
        <is>
          <t>虚拟产品</t>
        </is>
      </c>
      <c r="W1227" s="3">
        <v>46041</v>
      </c>
      <c r="X1227" t="inlineStr">
        <is>
          <t>01</t>
        </is>
      </c>
      <c r="Y1227" t="inlineStr">
        <is>
          <t>2026-Q1</t>
        </is>
      </c>
    </row>
    <row r="1228" ht="38.25" customHeight="1">
      <c r="A1228" t="inlineStr">
        <is>
          <t>25下教资面试︱教招面试︱小学各科目结构化︱试讲教案逐字稿</t>
        </is>
      </c>
      <c r="B1228" t="inlineStr">
        <is>
          <t>recv8IBLpnb9jI.jpg</t>
        </is>
      </c>
      <c r="C1228" s="2" t="str">
        <f>=HYPERLINK("https://xhslink.com/m/8nsdg9eV0N2", "https://xhslink.com/m/8nsdg9eV0N2")</f>
        <v>https://xhslink.com/m/8nsdg9eV0N2</v>
      </c>
      <c r="D1228"/>
      <c r="E1228">
        <v>3921</v>
      </c>
      <c r="F1228">
        <v>28.9</v>
      </c>
      <c r="G1228"/>
      <c r="H1228"/>
      <c r="I1228">
        <v>800</v>
      </c>
      <c r="J1228"/>
      <c r="K1228" t="inlineStr">
        <is>
          <t>教资面试</t>
        </is>
      </c>
      <c r="L1228"/>
      <c r="M1228" t="inlineStr">
        <is>
          <t>珞珞Y资料库的店</t>
        </is>
      </c>
      <c r="N1228">
        <v>6430</v>
      </c>
      <c r="O1228">
        <v>4.66</v>
      </c>
      <c r="P1228">
        <v>17000</v>
      </c>
      <c r="Q1228" t="inlineStr">
        <is>
          <t>67be883c9759260001ac3637</t>
        </is>
      </c>
      <c r="R1228" t="inlineStr">
        <is>
          <t>🚫重复</t>
        </is>
      </c>
      <c r="S1228" t="inlineStr">
        <is>
          <t>教资资料</t>
        </is>
      </c>
      <c r="T1228" t="inlineStr">
        <is>
          <t>0.61</t>
        </is>
      </c>
      <c r="U1228" s="3">
        <v>46112.78107638889</v>
      </c>
      <c r="V1228" t="inlineStr">
        <is>
          <t>虚拟产品</t>
        </is>
      </c>
      <c r="W1228" s="3">
        <v>46041</v>
      </c>
      <c r="X1228" t="inlineStr">
        <is>
          <t>01</t>
        </is>
      </c>
      <c r="Y1228" t="inlineStr">
        <is>
          <t>2026-Q1</t>
        </is>
      </c>
    </row>
    <row r="1229" ht="38.25" customHeight="1">
      <c r="A1229" t="inlineStr">
        <is>
          <t>小学语文教资面试/教招面试/试讲教案逐字稿413篇/结构化/答辩</t>
        </is>
      </c>
      <c r="B1229" t="inlineStr">
        <is>
          <t>recv8IBLpnQg7X.jpg</t>
        </is>
      </c>
      <c r="C1229" s="2" t="str">
        <f>=HYPERLINK("https://xhslink.com/m/96KI2F1tDHd", "https://xhslink.com/m/96KI2F1tDHd")</f>
        <v>https://xhslink.com/m/96KI2F1tDHd</v>
      </c>
      <c r="D1229"/>
      <c r="E1229">
        <v>1866</v>
      </c>
      <c r="F1229">
        <v>12.9</v>
      </c>
      <c r="G1229"/>
      <c r="H1229"/>
      <c r="I1229">
        <v>400</v>
      </c>
      <c r="J1229"/>
      <c r="K1229" t="inlineStr">
        <is>
          <t>教资面试</t>
        </is>
      </c>
      <c r="L1229"/>
      <c r="M1229" t="inlineStr">
        <is>
          <t>考考资料库的店</t>
        </is>
      </c>
      <c r="N1229">
        <v>2758</v>
      </c>
      <c r="O1229">
        <v>4.21</v>
      </c>
      <c r="P1229">
        <v>11000</v>
      </c>
      <c r="Q1229" t="inlineStr">
        <is>
          <t>66383907392bd5000105d10b</t>
        </is>
      </c>
      <c r="R1229" t="inlineStr">
        <is>
          <t>🚫重复</t>
        </is>
      </c>
      <c r="S1229" t="inlineStr">
        <is>
          <t>教资资料</t>
        </is>
      </c>
      <c r="T1229" t="inlineStr">
        <is>
          <t>0.68</t>
        </is>
      </c>
      <c r="U1229" s="3">
        <v>46112.78107638889</v>
      </c>
      <c r="V1229" t="inlineStr">
        <is>
          <t>虚拟产品</t>
        </is>
      </c>
      <c r="W1229" s="3">
        <v>46041</v>
      </c>
      <c r="X1229" t="inlineStr">
        <is>
          <t>01</t>
        </is>
      </c>
      <c r="Y1229" t="inlineStr">
        <is>
          <t>2026-Q1</t>
        </is>
      </c>
    </row>
    <row r="1230" ht="38.25" customHeight="1">
      <c r="A1230" t="inlineStr">
        <is>
          <t>2026部编版初中语文教资面试试讲逐字稿电子版</t>
        </is>
      </c>
      <c r="B1230" t="inlineStr">
        <is>
          <t>recv8IBLpnA0Kd.jpg</t>
        </is>
      </c>
      <c r="C1230" s="2" t="str">
        <f>=HYPERLINK("https://xhslink.com/m/AM1mbhoUg9Y", "https://xhslink.com/m/AM1mbhoUg9Y")</f>
        <v>https://xhslink.com/m/AM1mbhoUg9Y</v>
      </c>
      <c r="D1230"/>
      <c r="E1230">
        <v>1385</v>
      </c>
      <c r="F1230">
        <v>3.88</v>
      </c>
      <c r="G1230"/>
      <c r="H1230"/>
      <c r="I1230">
        <v>1000</v>
      </c>
      <c r="J1230"/>
      <c r="K1230" t="inlineStr">
        <is>
          <t>教资面试</t>
        </is>
      </c>
      <c r="L1230"/>
      <c r="M1230" t="inlineStr">
        <is>
          <t>若若学姐知识库的店</t>
        </is>
      </c>
      <c r="N1230">
        <v>1666</v>
      </c>
      <c r="O1230">
        <v>4.26</v>
      </c>
      <c r="P1230">
        <v>6326</v>
      </c>
      <c r="Q1230" t="inlineStr">
        <is>
          <t>68df581a4daabe000167e2a6</t>
        </is>
      </c>
      <c r="R1230"/>
      <c r="S1230" t="inlineStr">
        <is>
          <t>教资资料</t>
        </is>
      </c>
      <c r="T1230" t="inlineStr">
        <is>
          <t>0.83</t>
        </is>
      </c>
      <c r="U1230" s="3">
        <v>46112.78107638889</v>
      </c>
      <c r="V1230" t="inlineStr">
        <is>
          <t>虚拟产品</t>
        </is>
      </c>
      <c r="W1230" s="3">
        <v>46041</v>
      </c>
      <c r="X1230" t="inlineStr">
        <is>
          <t>01</t>
        </is>
      </c>
      <c r="Y1230" t="inlineStr">
        <is>
          <t>2026-Q1</t>
        </is>
      </c>
    </row>
    <row r="1231" ht="38.25" customHeight="1">
      <c r="A1231" t="inlineStr">
        <is>
          <t>26上教师资格证笔试刷题题库背诵资料网课幼儿小学中学各科都有</t>
        </is>
      </c>
      <c r="B1231" t="inlineStr">
        <is>
          <t>recv8IBLpnZjT9.jpg</t>
        </is>
      </c>
      <c r="C1231" s="2" t="str">
        <f>=HYPERLINK("https://xhslink.com/m/52z89pmX8qA", "https://xhslink.com/m/52z89pmX8qA")</f>
        <v>https://xhslink.com/m/52z89pmX8qA</v>
      </c>
      <c r="D1231"/>
      <c r="E1231">
        <v>4474</v>
      </c>
      <c r="F1231">
        <v>9.9</v>
      </c>
      <c r="G1231"/>
      <c r="H1231"/>
      <c r="I1231">
        <v>600</v>
      </c>
      <c r="J1231"/>
      <c r="K1231" t="inlineStr">
        <is>
          <t>教师资格证</t>
        </is>
      </c>
      <c r="L1231" t="inlineStr">
        <is>
          <t>🔥低粉爆款</t>
        </is>
      </c>
      <c r="M1231" t="inlineStr">
        <is>
          <t>77是我吖的店</t>
        </is>
      </c>
      <c r="N1231">
        <v>893</v>
      </c>
      <c r="O1231">
        <v>4.04</v>
      </c>
      <c r="P1231">
        <v>7163</v>
      </c>
      <c r="Q1231" t="inlineStr">
        <is>
          <t>694b3fbc110a7f0001b57d6e</t>
        </is>
      </c>
      <c r="R1231" t="inlineStr">
        <is>
          <t>🚫重复</t>
        </is>
      </c>
      <c r="S1231" t="inlineStr">
        <is>
          <t>教资资料</t>
        </is>
      </c>
      <c r="T1231" t="inlineStr">
        <is>
          <t>5.01</t>
        </is>
      </c>
      <c r="U1231" s="3">
        <v>46112.78107638889</v>
      </c>
      <c r="V1231" t="inlineStr">
        <is>
          <t>虚拟产品</t>
        </is>
      </c>
      <c r="W1231" s="3">
        <v>46041</v>
      </c>
      <c r="X1231" t="inlineStr">
        <is>
          <t>01</t>
        </is>
      </c>
      <c r="Y1231" t="inlineStr">
        <is>
          <t>2026-Q1</t>
        </is>
      </c>
    </row>
    <row r="1232" ht="38.25" customHeight="1">
      <c r="A1232" t="inlineStr">
        <is>
          <t>26上教资笔试COCO笔记+讲义资料</t>
        </is>
      </c>
      <c r="B1232" t="inlineStr">
        <is>
          <t>__upload_recv8IBLpn6LFA.jpg</t>
        </is>
      </c>
      <c r="C1232" s="2" t="str">
        <f>=HYPERLINK("https://xhslink.com/m/7IvUwhZYEKk", "https://xhslink.com/m/7IvUwhZYEKk")</f>
        <v>https://xhslink.com/m/7IvUwhZYEKk</v>
      </c>
      <c r="D1232"/>
      <c r="E1232">
        <v>4667</v>
      </c>
      <c r="F1232">
        <v>2.99</v>
      </c>
      <c r="G1232"/>
      <c r="H1232"/>
      <c r="I1232"/>
      <c r="J1232">
        <v>100</v>
      </c>
      <c r="K1232" t="inlineStr">
        <is>
          <t>教师资格证</t>
        </is>
      </c>
      <c r="L1232" t="inlineStr">
        <is>
          <t>🔥低粉爆款</t>
        </is>
      </c>
      <c r="M1232" t="inlineStr">
        <is>
          <t>蜜桃气泡水🎊（回复不了私信 有事咨询客服）的店</t>
        </is>
      </c>
      <c r="N1232">
        <v>676</v>
      </c>
      <c r="O1232">
        <v>4.43</v>
      </c>
      <c r="P1232">
        <v>14000</v>
      </c>
      <c r="Q1232" t="inlineStr">
        <is>
          <t>694215e8ab7cc40001dcf182</t>
        </is>
      </c>
      <c r="R1232"/>
      <c r="S1232" t="inlineStr">
        <is>
          <t>教资资料</t>
        </is>
      </c>
      <c r="T1232" t="inlineStr">
        <is>
          <t>6.90</t>
        </is>
      </c>
      <c r="U1232" s="3">
        <v>46112.78107638889</v>
      </c>
      <c r="V1232" t="inlineStr">
        <is>
          <t>虚拟产品</t>
        </is>
      </c>
      <c r="W1232" s="3">
        <v>46041</v>
      </c>
      <c r="X1232" t="inlineStr">
        <is>
          <t>01</t>
        </is>
      </c>
      <c r="Y1232" t="inlineStr">
        <is>
          <t>2026-Q1</t>
        </is>
      </c>
    </row>
    <row r="1233" ht="38.25" customHeight="1">
      <c r="A1233" t="inlineStr">
        <is>
          <t>上岸熊·26上教资笔试中学科三重点笔记/精讲课</t>
        </is>
      </c>
      <c r="B1233" t="inlineStr">
        <is>
          <t>recv8IBLpnTA6d.jpg</t>
        </is>
      </c>
      <c r="C1233" s="2" t="str">
        <f>=HYPERLINK("https://xhslink.com/m/uQNBCeZ2SC", "https://xhslink.com/m/uQNBCeZ2SC")</f>
        <v>https://xhslink.com/m/uQNBCeZ2SC</v>
      </c>
      <c r="D1233"/>
      <c r="E1233">
        <v>2399</v>
      </c>
      <c r="F1233">
        <v>29.9</v>
      </c>
      <c r="G1233"/>
      <c r="H1233"/>
      <c r="I1233">
        <v>1000</v>
      </c>
      <c r="J1233"/>
      <c r="K1233" t="inlineStr">
        <is>
          <t>教师资格证</t>
        </is>
      </c>
      <c r="L1233"/>
      <c r="M1233" t="inlineStr">
        <is>
          <t>珞珞Y资料库的店</t>
        </is>
      </c>
      <c r="N1233">
        <v>6430</v>
      </c>
      <c r="O1233">
        <v>4.66</v>
      </c>
      <c r="P1233">
        <v>17000</v>
      </c>
      <c r="Q1233" t="inlineStr">
        <is>
          <t>681ad64a0e004a00010767f1</t>
        </is>
      </c>
      <c r="R1233" t="inlineStr">
        <is>
          <t>🚫重复</t>
        </is>
      </c>
      <c r="S1233" t="inlineStr">
        <is>
          <t>教资资料</t>
        </is>
      </c>
      <c r="T1233" t="inlineStr">
        <is>
          <t>0.37</t>
        </is>
      </c>
      <c r="U1233" s="3">
        <v>46112.78107638889</v>
      </c>
      <c r="V1233" t="inlineStr">
        <is>
          <t>虚拟产品</t>
        </is>
      </c>
      <c r="W1233" s="3">
        <v>46041</v>
      </c>
      <c r="X1233" t="inlineStr">
        <is>
          <t>01</t>
        </is>
      </c>
      <c r="Y1233" t="inlineStr">
        <is>
          <t>2026-Q1</t>
        </is>
      </c>
    </row>
    <row r="1234" ht="38.25" customHeight="1">
      <c r="A1234" t="inlineStr">
        <is>
          <t>上岸熊 · 25下教师资格证面试初中各科试讲 · 题本+教案+逐字稿+答辩</t>
        </is>
      </c>
      <c r="B1234" t="inlineStr">
        <is>
          <t>recv8IBLpnCTi2.jpg</t>
        </is>
      </c>
      <c r="C1234" s="2" t="str">
        <f>=HYPERLINK("https://xhslink.com/m/3T4vbAlL5Rs", "https://xhslink.com/m/3T4vbAlL5Rs")</f>
        <v>https://xhslink.com/m/3T4vbAlL5Rs</v>
      </c>
      <c r="D1234"/>
      <c r="E1234">
        <v>404</v>
      </c>
      <c r="F1234">
        <v>29.9</v>
      </c>
      <c r="G1234"/>
      <c r="H1234"/>
      <c r="I1234">
        <v>300</v>
      </c>
      <c r="J1234"/>
      <c r="K1234" t="inlineStr">
        <is>
          <t>教师资格证</t>
        </is>
      </c>
      <c r="L1234"/>
      <c r="M1234" t="inlineStr">
        <is>
          <t>章章学姐的店</t>
        </is>
      </c>
      <c r="N1234">
        <v>642</v>
      </c>
      <c r="O1234">
        <v>4.21</v>
      </c>
      <c r="P1234">
        <v>3711</v>
      </c>
      <c r="Q1234" t="inlineStr">
        <is>
          <t>67ebaa53b2c30c0001236f3d</t>
        </is>
      </c>
      <c r="R1234"/>
      <c r="S1234" t="inlineStr">
        <is>
          <t>教资资料</t>
        </is>
      </c>
      <c r="T1234" t="inlineStr">
        <is>
          <t>0.63</t>
        </is>
      </c>
      <c r="U1234" s="3">
        <v>46112.78107638889</v>
      </c>
      <c r="V1234" t="inlineStr">
        <is>
          <t>虚拟产品</t>
        </is>
      </c>
      <c r="W1234" s="3">
        <v>46041</v>
      </c>
      <c r="X1234" t="inlineStr">
        <is>
          <t>01</t>
        </is>
      </c>
      <c r="Y1234" t="inlineStr">
        <is>
          <t>2026-Q1</t>
        </is>
      </c>
    </row>
    <row r="1235" ht="38.25" customHeight="1">
      <c r="A1235" t="inlineStr">
        <is>
          <t>上岸熊 · 高中教资面试各科试讲真题题本+教案+逐字稿+答辩</t>
        </is>
      </c>
      <c r="B1235" t="inlineStr">
        <is>
          <t>recv8IBLpn4x8z.jpg</t>
        </is>
      </c>
      <c r="C1235" s="2" t="str">
        <f>=HYPERLINK("https://xhslink.com/m/85stKVOqaXA", "https://xhslink.com/m/85stKVOqaXA")</f>
        <v>https://xhslink.com/m/85stKVOqaXA</v>
      </c>
      <c r="D1235"/>
      <c r="E1235">
        <v>365</v>
      </c>
      <c r="F1235">
        <v>59.8</v>
      </c>
      <c r="G1235"/>
      <c r="H1235"/>
      <c r="I1235">
        <v>300</v>
      </c>
      <c r="J1235"/>
      <c r="K1235" t="inlineStr">
        <is>
          <t>教师资格证</t>
        </is>
      </c>
      <c r="L1235"/>
      <c r="M1235" t="inlineStr">
        <is>
          <t>小渔学长的店</t>
        </is>
      </c>
      <c r="N1235">
        <v>1208</v>
      </c>
      <c r="O1235">
        <v>3.98</v>
      </c>
      <c r="P1235">
        <v>12000</v>
      </c>
      <c r="Q1235" t="inlineStr">
        <is>
          <t>68ec6666702da10001b92574</t>
        </is>
      </c>
      <c r="R1235" t="inlineStr">
        <is>
          <t>🚫重复</t>
        </is>
      </c>
      <c r="S1235" t="inlineStr">
        <is>
          <t>教资资料</t>
        </is>
      </c>
      <c r="T1235" t="inlineStr">
        <is>
          <t>0.30</t>
        </is>
      </c>
      <c r="U1235" s="3">
        <v>46112.78107638889</v>
      </c>
      <c r="V1235" t="inlineStr">
        <is>
          <t>虚拟产品</t>
        </is>
      </c>
      <c r="W1235" s="3">
        <v>46041</v>
      </c>
      <c r="X1235" t="inlineStr">
        <is>
          <t>01</t>
        </is>
      </c>
      <c r="Y1235" t="inlineStr">
        <is>
          <t>2026-Q1</t>
        </is>
      </c>
    </row>
    <row r="1236" ht="38.25" customHeight="1">
      <c r="A1236" t="inlineStr">
        <is>
          <t>霍老师系统解剖高清手写笔记</t>
        </is>
      </c>
      <c r="B1236" t="inlineStr">
        <is>
          <t>recv8IBLpnVkAa.jpg</t>
        </is>
      </c>
      <c r="C1236" s="2" t="str">
        <f>=HYPERLINK("https://xhslink.com/m/2XJDDwtzTFO", "https://xhslink.com/m/2XJDDwtzTFO")</f>
        <v>https://xhslink.com/m/2XJDDwtzTFO</v>
      </c>
      <c r="D1236"/>
      <c r="E1236">
        <v>5249</v>
      </c>
      <c r="F1236">
        <v>5.99</v>
      </c>
      <c r="G1236"/>
      <c r="H1236"/>
      <c r="I1236">
        <v>1000</v>
      </c>
      <c r="J1236"/>
      <c r="K1236" t="inlineStr">
        <is>
          <t>医学生笔记</t>
        </is>
      </c>
      <c r="L1236"/>
      <c r="M1236" t="inlineStr">
        <is>
          <t>阿明学习日常的店</t>
        </is>
      </c>
      <c r="N1236">
        <v>5191</v>
      </c>
      <c r="O1236">
        <v>4.43</v>
      </c>
      <c r="P1236">
        <v>13000</v>
      </c>
      <c r="Q1236" t="inlineStr">
        <is>
          <t>673b0af86189c20001dee8bb</t>
        </is>
      </c>
      <c r="R1236"/>
      <c r="S1236" t="inlineStr">
        <is>
          <t>老师资料</t>
        </is>
      </c>
      <c r="T1236" t="inlineStr">
        <is>
          <t>1.01</t>
        </is>
      </c>
      <c r="U1236" s="3">
        <v>46112.78107638889</v>
      </c>
      <c r="V1236" t="inlineStr">
        <is>
          <t>虚拟产品</t>
        </is>
      </c>
      <c r="W1236" s="3">
        <v>46041</v>
      </c>
      <c r="X1236" t="inlineStr">
        <is>
          <t>01</t>
        </is>
      </c>
      <c r="Y1236" t="inlineStr">
        <is>
          <t>2026-Q1</t>
        </is>
      </c>
    </row>
    <row r="1237" ht="38.25" customHeight="1">
      <c r="A1237" t="inlineStr">
        <is>
          <t>【悦小绒】一线悦己钩织diy手工人偶玩偶毛线材料包ob娃衣编织</t>
        </is>
      </c>
      <c r="B1237" t="inlineStr">
        <is>
          <t>recv8IBLpnHDuH.jpg</t>
        </is>
      </c>
      <c r="C1237" s="2" t="str">
        <f>=HYPERLINK("https://xhslink.com/m/1Tlh22SR0e0", "https://xhslink.com/m/1Tlh22SR0e0")</f>
        <v>https://xhslink.com/m/1Tlh22SR0e0</v>
      </c>
      <c r="D1237"/>
      <c r="E1237">
        <v>12000</v>
      </c>
      <c r="F1237">
        <v>235</v>
      </c>
      <c r="G1237"/>
      <c r="H1237"/>
      <c r="I1237">
        <v>300</v>
      </c>
      <c r="J1237"/>
      <c r="K1237" t="inlineStr">
        <is>
          <t>手工DIY教程</t>
        </is>
      </c>
      <c r="L1237"/>
      <c r="M1237" t="inlineStr">
        <is>
          <t>悦悦的手工店的店</t>
        </is>
      </c>
      <c r="N1237">
        <v>15000</v>
      </c>
      <c r="O1237">
        <v>4.67</v>
      </c>
      <c r="P1237">
        <v>30000</v>
      </c>
      <c r="Q1237" t="inlineStr">
        <is>
          <t>68d558d4ce94ee0001ce7f16</t>
        </is>
      </c>
      <c r="R1237"/>
      <c r="S1237" t="inlineStr">
        <is>
          <t>无匹配类别</t>
        </is>
      </c>
      <c r="T1237" t="inlineStr">
        <is>
          <t>0.80</t>
        </is>
      </c>
      <c r="U1237" s="3">
        <v>46112.78107638889</v>
      </c>
      <c r="V1237" t="inlineStr">
        <is>
          <t>虚拟产品</t>
        </is>
      </c>
      <c r="W1237" s="3">
        <v>46041</v>
      </c>
      <c r="X1237" t="inlineStr">
        <is>
          <t>01</t>
        </is>
      </c>
      <c r="Y1237" t="inlineStr">
        <is>
          <t>2026-Q1</t>
        </is>
      </c>
    </row>
    <row r="1238" ht="38.25" customHeight="1">
      <c r="A1238" t="inlineStr">
        <is>
          <t>志行趣学 · 正姿镜DIY器材包~读写台平替～让孩子不再低头写作业</t>
        </is>
      </c>
      <c r="B1238" t="inlineStr">
        <is>
          <t>recv8IBLpnEtXN.jpg</t>
        </is>
      </c>
      <c r="C1238" s="2" t="str">
        <f>=HYPERLINK("https://xhslink.com/m/5UxhboAUYd7", "https://xhslink.com/m/5UxhboAUYd7")</f>
        <v>https://xhslink.com/m/5UxhboAUYd7</v>
      </c>
      <c r="D1238"/>
      <c r="E1238">
        <v>1091</v>
      </c>
      <c r="F1238">
        <v>499</v>
      </c>
      <c r="G1238"/>
      <c r="H1238"/>
      <c r="I1238">
        <v>300</v>
      </c>
      <c r="J1238"/>
      <c r="K1238" t="inlineStr">
        <is>
          <t>手工DIY教程</t>
        </is>
      </c>
      <c r="L1238"/>
      <c r="M1238" t="inlineStr">
        <is>
          <t>临沂趣学编程杨开心的店</t>
        </is>
      </c>
      <c r="N1238">
        <v>5223</v>
      </c>
      <c r="O1238">
        <v>4.54</v>
      </c>
      <c r="P1238">
        <v>1331</v>
      </c>
      <c r="Q1238" t="inlineStr">
        <is>
          <t>67d819600144270001eb84df</t>
        </is>
      </c>
      <c r="R1238"/>
      <c r="S1238" t="inlineStr">
        <is>
          <t>中小学教辅/教材</t>
        </is>
      </c>
      <c r="T1238" t="inlineStr">
        <is>
          <t>0.21</t>
        </is>
      </c>
      <c r="U1238" s="3">
        <v>46112.78107638889</v>
      </c>
      <c r="V1238" t="inlineStr">
        <is>
          <t>虚拟产品</t>
        </is>
      </c>
      <c r="W1238" s="3">
        <v>46041</v>
      </c>
      <c r="X1238" t="inlineStr">
        <is>
          <t>01</t>
        </is>
      </c>
      <c r="Y1238" t="inlineStr">
        <is>
          <t>2026-Q1</t>
        </is>
      </c>
    </row>
    <row r="1239" ht="38.25" customHeight="1">
      <c r="A1239" t="inlineStr">
        <is>
          <t>最新一二三四五六年级语文上下册配套ppt课件教案非温儒敏课件</t>
        </is>
      </c>
      <c r="B1239" t="inlineStr">
        <is>
          <t>recv8IBLpn0cw4.jpg</t>
        </is>
      </c>
      <c r="C1239" s="2" t="str">
        <f>=HYPERLINK("https://xhslink.com/m/AwEskc2p9xi", "https://xhslink.com/m/AwEskc2p9xi")</f>
        <v>https://xhslink.com/m/AwEskc2p9xi</v>
      </c>
      <c r="D1239"/>
      <c r="E1239">
        <v>1746</v>
      </c>
      <c r="F1239">
        <v>25.9</v>
      </c>
      <c r="G1239"/>
      <c r="H1239"/>
      <c r="I1239">
        <v>900</v>
      </c>
      <c r="J1239"/>
      <c r="K1239" t="inlineStr">
        <is>
          <t>PPT</t>
        </is>
      </c>
      <c r="L1239"/>
      <c r="M1239" t="inlineStr">
        <is>
          <t>教案补给站李老师的店</t>
        </is>
      </c>
      <c r="N1239">
        <v>6025</v>
      </c>
      <c r="O1239">
        <v>4.36</v>
      </c>
      <c r="P1239">
        <v>7501</v>
      </c>
      <c r="Q1239" t="inlineStr">
        <is>
          <t>68b300078ec6fa00016a9d55</t>
        </is>
      </c>
      <c r="R1239" t="inlineStr">
        <is>
          <t>🚫重复</t>
        </is>
      </c>
      <c r="S1239" t="inlineStr">
        <is>
          <t>中小学教辅/教材</t>
        </is>
      </c>
      <c r="T1239" t="inlineStr">
        <is>
          <t>0.29</t>
        </is>
      </c>
      <c r="U1239" s="3">
        <v>46112.78107638889</v>
      </c>
      <c r="V1239" t="inlineStr">
        <is>
          <t>虚拟产品</t>
        </is>
      </c>
      <c r="W1239" s="3">
        <v>46041</v>
      </c>
      <c r="X1239" t="inlineStr">
        <is>
          <t>01</t>
        </is>
      </c>
      <c r="Y1239" t="inlineStr">
        <is>
          <t>2026-Q1</t>
        </is>
      </c>
    </row>
    <row r="1240" ht="38.25" customHeight="1">
      <c r="A1240" t="inlineStr">
        <is>
          <t>幼儿园优质公开课单节资料教案ppt课件课堂实录五大领域</t>
        </is>
      </c>
      <c r="B1240" t="inlineStr">
        <is>
          <t>recv8IBLpnpZkZ.jpg</t>
        </is>
      </c>
      <c r="C1240" s="2" t="str">
        <f>=HYPERLINK("https://xhslink.com/m/IyJKvMcJU5", "https://xhslink.com/m/IyJKvMcJU5")</f>
        <v>https://xhslink.com/m/IyJKvMcJU5</v>
      </c>
      <c r="D1240"/>
      <c r="E1240">
        <v>1079</v>
      </c>
      <c r="F1240">
        <v>49.9</v>
      </c>
      <c r="G1240"/>
      <c r="H1240"/>
      <c r="I1240">
        <v>1000</v>
      </c>
      <c r="J1240"/>
      <c r="K1240" t="inlineStr">
        <is>
          <t>PPT</t>
        </is>
      </c>
      <c r="L1240" t="inlineStr">
        <is>
          <t>🔥低粉爆款</t>
        </is>
      </c>
      <c r="M1240" t="inlineStr">
        <is>
          <t>芋泥老师呢（自动发货）的店</t>
        </is>
      </c>
      <c r="N1240">
        <v>93</v>
      </c>
      <c r="O1240">
        <v>4.19</v>
      </c>
      <c r="P1240">
        <v>1234</v>
      </c>
      <c r="Q1240" t="inlineStr">
        <is>
          <t>694e4ddfb8f0bb00019fe119</t>
        </is>
      </c>
      <c r="R1240"/>
      <c r="S1240" t="inlineStr">
        <is>
          <t>幼教资料</t>
        </is>
      </c>
      <c r="T1240" t="inlineStr">
        <is>
          <t>11.60</t>
        </is>
      </c>
      <c r="U1240" s="3">
        <v>46112.78107638889</v>
      </c>
      <c r="V1240" t="inlineStr">
        <is>
          <t>虚拟产品</t>
        </is>
      </c>
      <c r="W1240" s="3">
        <v>46041</v>
      </c>
      <c r="X1240" t="inlineStr">
        <is>
          <t>01</t>
        </is>
      </c>
      <c r="Y1240" t="inlineStr">
        <is>
          <t>2026-Q1</t>
        </is>
      </c>
    </row>
    <row r="1241" ht="38.25" customHeight="1">
      <c r="A1241" t="inlineStr">
        <is>
          <t>【34页x10色可选】职业规划大赛就业赛道通用PPT模版  无动画</t>
        </is>
      </c>
      <c r="B1241" t="inlineStr">
        <is>
          <t>recv8IBLpnses6.jpg</t>
        </is>
      </c>
      <c r="C1241" s="2" t="str">
        <f>=HYPERLINK("https://xhslink.com/m/AyeUWS6bojt", "https://xhslink.com/m/AyeUWS6bojt")</f>
        <v>https://xhslink.com/m/AyeUWS6bojt</v>
      </c>
      <c r="D1241"/>
      <c r="E1241">
        <v>561</v>
      </c>
      <c r="F1241">
        <v>29.9</v>
      </c>
      <c r="G1241"/>
      <c r="H1241"/>
      <c r="I1241"/>
      <c r="J1241"/>
      <c r="K1241" t="inlineStr">
        <is>
          <t>PPT</t>
        </is>
      </c>
      <c r="L1241"/>
      <c r="M1241" t="inlineStr">
        <is>
          <t>小晨PPT的店</t>
        </is>
      </c>
      <c r="N1241">
        <v>11000</v>
      </c>
      <c r="O1241">
        <v>4.39</v>
      </c>
      <c r="P1241">
        <v>11000</v>
      </c>
      <c r="Q1241" t="inlineStr">
        <is>
          <t>69057604dcedc700011561bf</t>
        </is>
      </c>
      <c r="R1241" t="inlineStr">
        <is>
          <t>🚫重复</t>
        </is>
      </c>
      <c r="S1241" t="inlineStr">
        <is>
          <t>PPT模板</t>
        </is>
      </c>
      <c r="T1241" t="inlineStr">
        <is>
          <t>0.05</t>
        </is>
      </c>
      <c r="U1241" s="3">
        <v>46112.78107638889</v>
      </c>
      <c r="V1241" t="inlineStr">
        <is>
          <t>虚拟产品</t>
        </is>
      </c>
      <c r="W1241" s="3">
        <v>46041</v>
      </c>
      <c r="X1241" t="inlineStr">
        <is>
          <t>01</t>
        </is>
      </c>
      <c r="Y1241" t="inlineStr">
        <is>
          <t>2026-Q1</t>
        </is>
      </c>
    </row>
    <row r="1242" ht="38.25" customHeight="1">
      <c r="A1242" t="inlineStr">
        <is>
          <t>2025版 ‖ 词语闯关表每课一练【电子版】</t>
        </is>
      </c>
      <c r="B1242" t="inlineStr">
        <is>
          <t>recv8IBLpnQrCS.jpg</t>
        </is>
      </c>
      <c r="C1242" s="2" t="str">
        <f>=HYPERLINK("https://xhslink.com/m/1DRHryKrZug", "https://xhslink.com/m/1DRHryKrZug")</f>
        <v>https://xhslink.com/m/1DRHryKrZug</v>
      </c>
      <c r="D1242"/>
      <c r="E1242">
        <v>5728</v>
      </c>
      <c r="F1242">
        <v>2</v>
      </c>
      <c r="G1242"/>
      <c r="H1242"/>
      <c r="I1242">
        <v>500</v>
      </c>
      <c r="J1242"/>
      <c r="K1242" t="inlineStr">
        <is>
          <t>小学资料</t>
        </is>
      </c>
      <c r="L1242"/>
      <c r="M1242" t="inlineStr">
        <is>
          <t>小羊同学！的店</t>
        </is>
      </c>
      <c r="N1242">
        <v>280000</v>
      </c>
      <c r="O1242">
        <v>4.51</v>
      </c>
      <c r="P1242">
        <v>215000</v>
      </c>
      <c r="Q1242" t="inlineStr">
        <is>
          <t>677b850c771e520001d5e633</t>
        </is>
      </c>
      <c r="R1242" t="inlineStr">
        <is>
          <t>🚫重复</t>
        </is>
      </c>
      <c r="S1242" t="inlineStr">
        <is>
          <t>中小学教辅/教材</t>
        </is>
      </c>
      <c r="T1242" t="inlineStr">
        <is>
          <t>0.02</t>
        </is>
      </c>
      <c r="U1242" s="3">
        <v>46112.78107638889</v>
      </c>
      <c r="V1242" t="inlineStr">
        <is>
          <t>虚拟产品</t>
        </is>
      </c>
      <c r="W1242" s="3">
        <v>46041</v>
      </c>
      <c r="X1242" t="inlineStr">
        <is>
          <t>01</t>
        </is>
      </c>
      <c r="Y1242" t="inlineStr">
        <is>
          <t>2026-Q1</t>
        </is>
      </c>
    </row>
    <row r="1243" ht="38.25" customHeight="1">
      <c r="A1243" t="inlineStr">
        <is>
          <t>意林 · 2026/25年少年版杂志订阅（全年24本）中小学课外阅读写作提升</t>
        </is>
      </c>
      <c r="B1243" t="inlineStr">
        <is>
          <t>recv8IBLpnzORO.jpg</t>
        </is>
      </c>
      <c r="C1243" s="2" t="str">
        <f>=HYPERLINK("https://xhslink.com/m/8sD0WdU6omf", "https://xhslink.com/m/8sD0WdU6omf")</f>
        <v>https://xhslink.com/m/8sD0WdU6omf</v>
      </c>
      <c r="D1243"/>
      <c r="E1243">
        <v>1862</v>
      </c>
      <c r="F1243">
        <v>259.2</v>
      </c>
      <c r="G1243"/>
      <c r="H1243"/>
      <c r="I1243">
        <v>300</v>
      </c>
      <c r="J1243"/>
      <c r="K1243" t="inlineStr">
        <is>
          <t>小学资料</t>
        </is>
      </c>
      <c r="L1243"/>
      <c r="M1243" t="inlineStr">
        <is>
          <t>意林旗舰店</t>
        </is>
      </c>
      <c r="N1243">
        <v>226000</v>
      </c>
      <c r="O1243">
        <v>4.67</v>
      </c>
      <c r="P1243">
        <v>104000</v>
      </c>
      <c r="Q1243" t="inlineStr">
        <is>
          <t>6911b728d1a4c5000110a112</t>
        </is>
      </c>
      <c r="R1243" t="inlineStr">
        <is>
          <t>🚫重复</t>
        </is>
      </c>
      <c r="S1243" t="inlineStr">
        <is>
          <t>中小学教辅/教材</t>
        </is>
      </c>
      <c r="T1243" t="inlineStr">
        <is>
          <t>0.01</t>
        </is>
      </c>
      <c r="U1243" s="3">
        <v>46112.78107638889</v>
      </c>
      <c r="V1243" t="inlineStr">
        <is>
          <t>虚拟产品</t>
        </is>
      </c>
      <c r="W1243" s="3">
        <v>46041</v>
      </c>
      <c r="X1243" t="inlineStr">
        <is>
          <t>01</t>
        </is>
      </c>
      <c r="Y1243" t="inlineStr">
        <is>
          <t>2026-Q1</t>
        </is>
      </c>
    </row>
    <row r="1244" ht="38.25" customHeight="1">
      <c r="A1244" t="inlineStr">
        <is>
          <t>五年级上册语文 期末复习 知识点 默写通关 阅读理解 电子版1</t>
        </is>
      </c>
      <c r="B1244" t="inlineStr">
        <is>
          <t>recv8IBLpneQNu.jpg</t>
        </is>
      </c>
      <c r="C1244" s="2" t="str">
        <f>=HYPERLINK("https://xhslink.com/m/7NCwsbFi1TG", "https://xhslink.com/m/7NCwsbFi1TG")</f>
        <v>https://xhslink.com/m/7NCwsbFi1TG</v>
      </c>
      <c r="D1244"/>
      <c r="E1244">
        <v>1875</v>
      </c>
      <c r="F1244">
        <v>4.9</v>
      </c>
      <c r="G1244"/>
      <c r="H1244"/>
      <c r="I1244">
        <v>1000</v>
      </c>
      <c r="J1244"/>
      <c r="K1244" t="inlineStr">
        <is>
          <t>小学资料</t>
        </is>
      </c>
      <c r="L1244"/>
      <c r="M1244" t="inlineStr">
        <is>
          <t>明明同学的店</t>
        </is>
      </c>
      <c r="N1244">
        <v>1412</v>
      </c>
      <c r="O1244">
        <v>4.22</v>
      </c>
      <c r="P1244">
        <v>6999</v>
      </c>
      <c r="Q1244" t="inlineStr">
        <is>
          <t>69212da401312b000102c9da</t>
        </is>
      </c>
      <c r="R1244"/>
      <c r="S1244" t="inlineStr">
        <is>
          <t>中小学教辅/教材</t>
        </is>
      </c>
      <c r="T1244" t="inlineStr">
        <is>
          <t>1.33</t>
        </is>
      </c>
      <c r="U1244" s="3">
        <v>46112.78107638889</v>
      </c>
      <c r="V1244" t="inlineStr">
        <is>
          <t>虚拟产品</t>
        </is>
      </c>
      <c r="W1244" s="3">
        <v>46041</v>
      </c>
      <c r="X1244" t="inlineStr">
        <is>
          <t>01</t>
        </is>
      </c>
      <c r="Y1244" t="inlineStr">
        <is>
          <t>2026-Q1</t>
        </is>
      </c>
    </row>
    <row r="1245" ht="38.25" customHeight="1">
      <c r="A1245" t="inlineStr">
        <is>
          <t>26语文中高考基础百题，26语文53A版，26小题，教师编教招特岗</t>
        </is>
      </c>
      <c r="B1245" t="inlineStr">
        <is>
          <t>recv8IBLpnrztU.jpg</t>
        </is>
      </c>
      <c r="C1245" s="2" t="str">
        <f>=HYPERLINK("https://xhslink.com/m/7g57ize8fQb", "https://xhslink.com/m/7g57ize8fQb")</f>
        <v>https://xhslink.com/m/7g57ize8fQb</v>
      </c>
      <c r="D1245"/>
      <c r="E1245">
        <v>988</v>
      </c>
      <c r="F1245">
        <v>8.88</v>
      </c>
      <c r="G1245"/>
      <c r="H1245"/>
      <c r="I1245">
        <v>600</v>
      </c>
      <c r="J1245"/>
      <c r="K1245" t="inlineStr">
        <is>
          <t>老师资料</t>
        </is>
      </c>
      <c r="L1245"/>
      <c r="M1245" t="inlineStr">
        <is>
          <t>旺仔瓶盖的店</t>
        </is>
      </c>
      <c r="N1245">
        <v>412</v>
      </c>
      <c r="O1245">
        <v>4.16</v>
      </c>
      <c r="P1245">
        <v>6830</v>
      </c>
      <c r="Q1245" t="inlineStr">
        <is>
          <t>68c1523c24f1f800016a971a</t>
        </is>
      </c>
      <c r="R1245" t="inlineStr">
        <is>
          <t>🚫重复</t>
        </is>
      </c>
      <c r="S1245" t="inlineStr">
        <is>
          <t>老师资料</t>
        </is>
      </c>
      <c r="T1245" t="inlineStr">
        <is>
          <t>2.40</t>
        </is>
      </c>
      <c r="U1245" s="3">
        <v>46112.78107638889</v>
      </c>
      <c r="V1245" t="inlineStr">
        <is>
          <t>虚拟产品</t>
        </is>
      </c>
      <c r="W1245" s="3">
        <v>46041</v>
      </c>
      <c r="X1245" t="inlineStr">
        <is>
          <t>01</t>
        </is>
      </c>
      <c r="Y1245" t="inlineStr">
        <is>
          <t>2026-Q1</t>
        </is>
      </c>
    </row>
    <row r="1246" ht="38.25" customHeight="1">
      <c r="A1246" t="inlineStr">
        <is>
          <t>上岸熊·26上教资笔试中学科三重点笔记/精讲课</t>
        </is>
      </c>
      <c r="B1246" t="inlineStr">
        <is>
          <t>recv8IBLpn2JUe.jpg</t>
        </is>
      </c>
      <c r="C1246" s="2" t="str">
        <f>=HYPERLINK("https://xhslink.com/m/5dAiB2cAXWC", "https://xhslink.com/m/5dAiB2cAXWC")</f>
        <v>https://xhslink.com/m/5dAiB2cAXWC</v>
      </c>
      <c r="D1246"/>
      <c r="E1246">
        <v>2373</v>
      </c>
      <c r="F1246">
        <v>59.9</v>
      </c>
      <c r="G1246"/>
      <c r="H1246"/>
      <c r="I1246">
        <v>1000</v>
      </c>
      <c r="J1246"/>
      <c r="K1246" t="inlineStr">
        <is>
          <t>初中数学资料</t>
        </is>
      </c>
      <c r="L1246"/>
      <c r="M1246" t="inlineStr">
        <is>
          <t>珞珞Y资料库的店</t>
        </is>
      </c>
      <c r="N1246">
        <v>6430</v>
      </c>
      <c r="O1246">
        <v>4.66</v>
      </c>
      <c r="P1246">
        <v>17000</v>
      </c>
      <c r="Q1246" t="inlineStr">
        <is>
          <t>681ad64a0e004a000107679a</t>
        </is>
      </c>
      <c r="R1246" t="inlineStr">
        <is>
          <t>🚫重复</t>
        </is>
      </c>
      <c r="S1246" t="inlineStr">
        <is>
          <t>教资资料</t>
        </is>
      </c>
      <c r="T1246" t="inlineStr">
        <is>
          <t>0.37</t>
        </is>
      </c>
      <c r="U1246" s="3">
        <v>46112.78107638889</v>
      </c>
      <c r="V1246" t="inlineStr">
        <is>
          <t>虚拟产品</t>
        </is>
      </c>
      <c r="W1246" s="3">
        <v>46041</v>
      </c>
      <c r="X1246" t="inlineStr">
        <is>
          <t>01</t>
        </is>
      </c>
      <c r="Y1246" t="inlineStr">
        <is>
          <t>2026-Q1</t>
        </is>
      </c>
    </row>
    <row r="1247" ht="38.25" customHeight="1">
      <c r="A1247" t="inlineStr">
        <is>
          <t>2025秋初中数学多版本专题训练习电子版资料</t>
        </is>
      </c>
      <c r="B1247" t="inlineStr">
        <is>
          <t>recv8IBLpn15rU.jpg</t>
        </is>
      </c>
      <c r="C1247" s="2" t="str">
        <f>=HYPERLINK("https://xhslink.com/m/1bA3FoCNmsJ", "https://xhslink.com/m/1bA3FoCNmsJ")</f>
        <v>https://xhslink.com/m/1bA3FoCNmsJ</v>
      </c>
      <c r="D1247"/>
      <c r="E1247">
        <v>2364</v>
      </c>
      <c r="F1247">
        <v>7.9</v>
      </c>
      <c r="G1247"/>
      <c r="H1247"/>
      <c r="I1247">
        <v>1000</v>
      </c>
      <c r="J1247"/>
      <c r="K1247" t="inlineStr">
        <is>
          <t>初中数学资料</t>
        </is>
      </c>
      <c r="L1247" t="inlineStr">
        <is>
          <t>🔥低粉爆款</t>
        </is>
      </c>
      <c r="M1247" t="inlineStr">
        <is>
          <t>木子老师吖的店</t>
        </is>
      </c>
      <c r="N1247">
        <v>296</v>
      </c>
      <c r="O1247">
        <v>4.07</v>
      </c>
      <c r="P1247">
        <v>2722</v>
      </c>
      <c r="Q1247" t="inlineStr">
        <is>
          <t>688b3a260e13d500013421ab</t>
        </is>
      </c>
      <c r="R1247" t="inlineStr">
        <is>
          <t>🚫重复</t>
        </is>
      </c>
      <c r="S1247" t="inlineStr">
        <is>
          <t>中小学教辅/教材</t>
        </is>
      </c>
      <c r="T1247" t="inlineStr">
        <is>
          <t>7.99</t>
        </is>
      </c>
      <c r="U1247" s="3">
        <v>46112.78107638889</v>
      </c>
      <c r="V1247" t="inlineStr">
        <is>
          <t>虚拟产品</t>
        </is>
      </c>
      <c r="W1247" s="3">
        <v>46041</v>
      </c>
      <c r="X1247" t="inlineStr">
        <is>
          <t>01</t>
        </is>
      </c>
      <c r="Y1247" t="inlineStr">
        <is>
          <t>2026-Q1</t>
        </is>
      </c>
    </row>
    <row r="1248" ht="38.25" customHeight="1">
      <c r="A1248" t="inlineStr">
        <is>
          <t>斗半匠 · 小学数学每天10道应用题计算题强化训练1-6年级上下册思维练习册</t>
        </is>
      </c>
      <c r="B1248" t="inlineStr">
        <is>
          <t>recv8IBLpnRl2C.jpg</t>
        </is>
      </c>
      <c r="C1248" s="2" t="str">
        <f>=HYPERLINK("https://xhslink.com/m/9oGdSgO3mzo", "https://xhslink.com/m/9oGdSgO3mzo")</f>
        <v>https://xhslink.com/m/9oGdSgO3mzo</v>
      </c>
      <c r="D1248"/>
      <c r="E1248">
        <v>5777</v>
      </c>
      <c r="F1248">
        <v>79.8</v>
      </c>
      <c r="G1248"/>
      <c r="H1248"/>
      <c r="I1248">
        <v>300</v>
      </c>
      <c r="J1248"/>
      <c r="K1248" t="inlineStr">
        <is>
          <t>小学数学资料</t>
        </is>
      </c>
      <c r="L1248"/>
      <c r="M1248" t="inlineStr">
        <is>
          <t>和盛图书的店</t>
        </is>
      </c>
      <c r="N1248">
        <v>1949</v>
      </c>
      <c r="O1248">
        <v>4.68</v>
      </c>
      <c r="P1248">
        <v>32000</v>
      </c>
      <c r="Q1248" t="inlineStr">
        <is>
          <t>684da571e3213400012d77a4</t>
        </is>
      </c>
      <c r="R1248"/>
      <c r="S1248" t="inlineStr">
        <is>
          <t>中小学教辅/教材</t>
        </is>
      </c>
      <c r="T1248" t="inlineStr">
        <is>
          <t>2.96</t>
        </is>
      </c>
      <c r="U1248" s="3">
        <v>46112.78107638889</v>
      </c>
      <c r="V1248" t="inlineStr">
        <is>
          <t>虚拟产品</t>
        </is>
      </c>
      <c r="W1248" s="3">
        <v>46041</v>
      </c>
      <c r="X1248" t="inlineStr">
        <is>
          <t>01</t>
        </is>
      </c>
      <c r="Y1248" t="inlineStr">
        <is>
          <t>2026-Q1</t>
        </is>
      </c>
    </row>
    <row r="1249" ht="38.25" customHeight="1">
      <c r="A1249" t="inlineStr">
        <is>
          <t>王朝霞 · 高老大三年级全一册小学数学思维训练从课本到培优</t>
        </is>
      </c>
      <c r="B1249" t="inlineStr">
        <is>
          <t>recv8IBLpnC1h3.jpg</t>
        </is>
      </c>
      <c r="C1249" s="2" t="str">
        <f>=HYPERLINK("https://xhslink.com/m/5zqMvXVK81H", "https://xhslink.com/m/5zqMvXVK81H")</f>
        <v>https://xhslink.com/m/5zqMvXVK81H</v>
      </c>
      <c r="D1249"/>
      <c r="E1249">
        <v>3190</v>
      </c>
      <c r="F1249">
        <v>79</v>
      </c>
      <c r="G1249"/>
      <c r="H1249"/>
      <c r="I1249">
        <v>400</v>
      </c>
      <c r="J1249"/>
      <c r="K1249" t="inlineStr">
        <is>
          <t>小学数学资料</t>
        </is>
      </c>
      <c r="L1249" t="inlineStr">
        <is>
          <t>🔥低粉爆款</t>
        </is>
      </c>
      <c r="M1249" t="inlineStr">
        <is>
          <t>熹林书屋的店</t>
        </is>
      </c>
      <c r="N1249">
        <v>225</v>
      </c>
      <c r="O1249">
        <v>4.58</v>
      </c>
      <c r="P1249">
        <v>7958</v>
      </c>
      <c r="Q1249" t="inlineStr">
        <is>
          <t>67fe32fb81dea70001c4e416</t>
        </is>
      </c>
      <c r="R1249"/>
      <c r="S1249" t="inlineStr">
        <is>
          <t>中小学教辅/教材</t>
        </is>
      </c>
      <c r="T1249" t="inlineStr">
        <is>
          <t>14.18</t>
        </is>
      </c>
      <c r="U1249" s="3">
        <v>46112.78107638889</v>
      </c>
      <c r="V1249" t="inlineStr">
        <is>
          <t>虚拟产品</t>
        </is>
      </c>
      <c r="W1249" s="3">
        <v>46041</v>
      </c>
      <c r="X1249" t="inlineStr">
        <is>
          <t>01</t>
        </is>
      </c>
      <c r="Y1249" t="inlineStr">
        <is>
          <t>2026-Q1</t>
        </is>
      </c>
    </row>
    <row r="1250" ht="38.25" customHeight="1">
      <c r="A1250" t="inlineStr">
        <is>
          <t>人教版小学数学同步练习单元测试月考期中期末试卷</t>
        </is>
      </c>
      <c r="B1250" t="inlineStr">
        <is>
          <t>recv8IBLpnGjKy.jpg</t>
        </is>
      </c>
      <c r="C1250" s="2" t="str">
        <f>=HYPERLINK("https://xhslink.com/m/6c4dFofjTDk", "https://xhslink.com/m/6c4dFofjTDk")</f>
        <v>https://xhslink.com/m/6c4dFofjTDk</v>
      </c>
      <c r="D1250"/>
      <c r="E1250">
        <v>438</v>
      </c>
      <c r="F1250">
        <v>39.9</v>
      </c>
      <c r="G1250"/>
      <c r="H1250"/>
      <c r="I1250">
        <v>300</v>
      </c>
      <c r="J1250"/>
      <c r="K1250" t="inlineStr">
        <is>
          <t>小学数学资料</t>
        </is>
      </c>
      <c r="L1250"/>
      <c r="M1250" t="inlineStr">
        <is>
          <t>中小学优选教辅电子版的店</t>
        </is>
      </c>
      <c r="N1250">
        <v>408</v>
      </c>
      <c r="O1250">
        <v>4.31</v>
      </c>
      <c r="P1250">
        <v>2187</v>
      </c>
      <c r="Q1250" t="inlineStr">
        <is>
          <t>6906b48b1b78790001ce8371</t>
        </is>
      </c>
      <c r="R1250"/>
      <c r="S1250" t="inlineStr">
        <is>
          <t>中小学教辅/教材</t>
        </is>
      </c>
      <c r="T1250" t="inlineStr">
        <is>
          <t>1.07</t>
        </is>
      </c>
      <c r="U1250" s="3">
        <v>46112.78107638889</v>
      </c>
      <c r="V1250" t="inlineStr">
        <is>
          <t>虚拟产品</t>
        </is>
      </c>
      <c r="W1250" s="3">
        <v>46041</v>
      </c>
      <c r="X1250" t="inlineStr">
        <is>
          <t>01</t>
        </is>
      </c>
      <c r="Y1250" t="inlineStr">
        <is>
          <t>2026-Q1</t>
        </is>
      </c>
    </row>
    <row r="1251" ht="38.25" customHeight="1">
      <c r="A1251" t="inlineStr">
        <is>
          <t>作文纸条 · 一看就能用的作文素材初中版2025新版中考初一二三记叙文写作技巧</t>
        </is>
      </c>
      <c r="B1251" t="inlineStr">
        <is>
          <t>recv8IBLpnTLSI.jpg</t>
        </is>
      </c>
      <c r="C1251" s="2" t="str">
        <f>=HYPERLINK("https://xhslink.com/m/6BvGqM6cjaH", "https://xhslink.com/m/6BvGqM6cjaH")</f>
        <v>https://xhslink.com/m/6BvGqM6cjaH</v>
      </c>
      <c r="D1251"/>
      <c r="E1251">
        <v>10000</v>
      </c>
      <c r="F1251">
        <v>77.8</v>
      </c>
      <c r="G1251"/>
      <c r="H1251"/>
      <c r="I1251">
        <v>1000</v>
      </c>
      <c r="J1251"/>
      <c r="K1251" t="inlineStr">
        <is>
          <t>中考资料</t>
        </is>
      </c>
      <c r="L1251"/>
      <c r="M1251" t="inlineStr">
        <is>
          <t>作文纸条旗舰店</t>
        </is>
      </c>
      <c r="N1251">
        <v>157000</v>
      </c>
      <c r="O1251">
        <v>4.67</v>
      </c>
      <c r="P1251">
        <v>144000</v>
      </c>
      <c r="Q1251" t="inlineStr">
        <is>
          <t>670cd6a98642640001a28b16</t>
        </is>
      </c>
      <c r="R1251" t="inlineStr">
        <is>
          <t>🚫重复</t>
        </is>
      </c>
      <c r="S1251" t="inlineStr">
        <is>
          <t>中小学教辅/教材</t>
        </is>
      </c>
      <c r="T1251" t="inlineStr">
        <is>
          <t>0.06</t>
        </is>
      </c>
      <c r="U1251" s="3">
        <v>46112.78107638889</v>
      </c>
      <c r="V1251" t="inlineStr">
        <is>
          <t>虚拟产品</t>
        </is>
      </c>
      <c r="W1251" s="3">
        <v>46041</v>
      </c>
      <c r="X1251" t="inlineStr">
        <is>
          <t>01</t>
        </is>
      </c>
      <c r="Y1251" t="inlineStr">
        <is>
          <t>2026-Q1</t>
        </is>
      </c>
    </row>
    <row r="1252" ht="38.25" customHeight="1">
      <c r="A1252" t="inlineStr">
        <is>
          <t>物理KK老师预习、提升、复习一套通，三册视频+中考复习视频</t>
        </is>
      </c>
      <c r="B1252" t="inlineStr">
        <is>
          <t>recv8IBLpndRJT.jpg</t>
        </is>
      </c>
      <c r="C1252" s="2" t="str">
        <f>=HYPERLINK("https://xhslink.com/m/9Qo9Bx0s7wX", "https://xhslink.com/m/9Qo9Bx0s7wX")</f>
        <v>https://xhslink.com/m/9Qo9Bx0s7wX</v>
      </c>
      <c r="D1252"/>
      <c r="E1252">
        <v>3519</v>
      </c>
      <c r="F1252">
        <v>598</v>
      </c>
      <c r="G1252"/>
      <c r="H1252"/>
      <c r="I1252">
        <v>400</v>
      </c>
      <c r="J1252"/>
      <c r="K1252" t="inlineStr">
        <is>
          <t>中考资料</t>
        </is>
      </c>
      <c r="L1252"/>
      <c r="M1252" t="inlineStr">
        <is>
          <t>物理KK老师的店</t>
        </is>
      </c>
      <c r="N1252">
        <v>9487</v>
      </c>
      <c r="O1252">
        <v>4.23</v>
      </c>
      <c r="P1252">
        <v>12000</v>
      </c>
      <c r="Q1252" t="inlineStr">
        <is>
          <t>693ec84e36ea3d00012ffbbb</t>
        </is>
      </c>
      <c r="R1252" t="inlineStr">
        <is>
          <t>🚫重复</t>
        </is>
      </c>
      <c r="S1252" t="inlineStr">
        <is>
          <t>中小学教辅/教材</t>
        </is>
      </c>
      <c r="T1252" t="inlineStr">
        <is>
          <t>0.37</t>
        </is>
      </c>
      <c r="U1252" s="3">
        <v>46112.78107638889</v>
      </c>
      <c r="V1252" t="inlineStr">
        <is>
          <t>虚拟产品</t>
        </is>
      </c>
      <c r="W1252" s="3">
        <v>46041</v>
      </c>
      <c r="X1252" t="inlineStr">
        <is>
          <t>01</t>
        </is>
      </c>
      <c r="Y1252" t="inlineStr">
        <is>
          <t>2026-Q1</t>
        </is>
      </c>
    </row>
    <row r="1253" ht="38.25" customHeight="1">
      <c r="A1253" t="inlineStr">
        <is>
          <t>【电子版】2026新版初中15天期末冲刺卷</t>
        </is>
      </c>
      <c r="B1253" t="inlineStr">
        <is>
          <t>recv8IBLpnOZjZ.jpg</t>
        </is>
      </c>
      <c r="C1253" s="2" t="str">
        <f>=HYPERLINK("https://xhslink.com/m/6IuakZPdPYV", "https://xhslink.com/m/6IuakZPdPYV")</f>
        <v>https://xhslink.com/m/6IuakZPdPYV</v>
      </c>
      <c r="D1253"/>
      <c r="E1253">
        <v>1935</v>
      </c>
      <c r="F1253">
        <v>5.8</v>
      </c>
      <c r="G1253"/>
      <c r="H1253"/>
      <c r="I1253">
        <v>1000</v>
      </c>
      <c r="J1253"/>
      <c r="K1253" t="inlineStr">
        <is>
          <t>中考资料</t>
        </is>
      </c>
      <c r="L1253"/>
      <c r="M1253" t="inlineStr">
        <is>
          <t>教育星知小栈的店</t>
        </is>
      </c>
      <c r="N1253">
        <v>2109</v>
      </c>
      <c r="O1253">
        <v>4.38</v>
      </c>
      <c r="P1253">
        <v>4278</v>
      </c>
      <c r="Q1253" t="inlineStr">
        <is>
          <t>692810563501090001fcb4d9</t>
        </is>
      </c>
      <c r="R1253"/>
      <c r="S1253" t="inlineStr">
        <is>
          <t>中小学教辅/教材</t>
        </is>
      </c>
      <c r="T1253" t="inlineStr">
        <is>
          <t>0.92</t>
        </is>
      </c>
      <c r="U1253" s="3">
        <v>46112.78107638889</v>
      </c>
      <c r="V1253" t="inlineStr">
        <is>
          <t>虚拟产品</t>
        </is>
      </c>
      <c r="W1253" s="3">
        <v>46041</v>
      </c>
      <c r="X1253" t="inlineStr">
        <is>
          <t>01</t>
        </is>
      </c>
      <c r="Y1253" t="inlineStr">
        <is>
          <t>2026-Q1</t>
        </is>
      </c>
    </row>
    <row r="1254" ht="38.25" customHeight="1">
      <c r="A1254" t="inlineStr">
        <is>
          <t>OTHER · 【张雪峰推荐】初中提分笔记-2025新版-中考考点汇集复习知识清单</t>
        </is>
      </c>
      <c r="B1254" t="inlineStr">
        <is>
          <t>recv8OiHOvaJxW.jpg</t>
        </is>
      </c>
      <c r="C1254" s="2" t="str">
        <f>=HYPERLINK("https://xhslink.com/m/5elN166nXZf", "https://xhslink.com/m/5elN166nXZf")</f>
        <v>https://xhslink.com/m/5elN166nXZf</v>
      </c>
      <c r="D1254"/>
      <c r="E1254">
        <v>1802</v>
      </c>
      <c r="F1254">
        <v>340</v>
      </c>
      <c r="G1254"/>
      <c r="H1254"/>
      <c r="I1254">
        <v>500</v>
      </c>
      <c r="J1254"/>
      <c r="K1254" t="inlineStr">
        <is>
          <t>初中辅导</t>
        </is>
      </c>
      <c r="L1254" t="inlineStr">
        <is>
          <t>🔥低粉爆款</t>
        </is>
      </c>
      <c r="M1254" t="inlineStr">
        <is>
          <t>墨香丨百物铺的店</t>
        </is>
      </c>
      <c r="N1254">
        <v>111</v>
      </c>
      <c r="O1254">
        <v>4.57</v>
      </c>
      <c r="P1254">
        <v>9303</v>
      </c>
      <c r="Q1254" t="inlineStr">
        <is>
          <t>68de42d77c1a03000132f18a</t>
        </is>
      </c>
      <c r="R1254" t="inlineStr">
        <is>
          <t>🚫重复</t>
        </is>
      </c>
      <c r="S1254" t="inlineStr">
        <is>
          <t>中小学教辅/教材</t>
        </is>
      </c>
      <c r="T1254" t="inlineStr">
        <is>
          <t>16.23</t>
        </is>
      </c>
      <c r="U1254" s="3">
        <v>46112.78107638889</v>
      </c>
      <c r="V1254" t="inlineStr">
        <is>
          <t>虚拟产品</t>
        </is>
      </c>
      <c r="W1254" s="3">
        <v>46042</v>
      </c>
      <c r="X1254" t="inlineStr">
        <is>
          <t>01</t>
        </is>
      </c>
      <c r="Y1254" t="inlineStr">
        <is>
          <t>2026-Q1</t>
        </is>
      </c>
    </row>
    <row r="1255" ht="38.25" customHeight="1">
      <c r="A1255" t="inlineStr">
        <is>
          <t>26备考教资网课幼小初高中科目一科目二三笔试视频题库课程刷题</t>
        </is>
      </c>
      <c r="B1255" t="inlineStr">
        <is>
          <t>recv8OiHOvsggr.jpg</t>
        </is>
      </c>
      <c r="C1255" s="2" t="str">
        <f>=HYPERLINK("https://xhslink.com/m/5R2foAUZcQd", "https://xhslink.com/m/5R2foAUZcQd")</f>
        <v>https://xhslink.com/m/5R2foAUZcQd</v>
      </c>
      <c r="D1255"/>
      <c r="E1255">
        <v>7610</v>
      </c>
      <c r="F1255">
        <v>58</v>
      </c>
      <c r="G1255"/>
      <c r="H1255"/>
      <c r="I1255">
        <v>500</v>
      </c>
      <c r="J1255"/>
      <c r="K1255" t="inlineStr">
        <is>
          <t>小学辅导</t>
        </is>
      </c>
      <c r="L1255"/>
      <c r="M1255" t="inlineStr">
        <is>
          <t>乐X峰题库I星途的店</t>
        </is>
      </c>
      <c r="N1255">
        <v>12000</v>
      </c>
      <c r="O1255">
        <v>4.52</v>
      </c>
      <c r="P1255">
        <v>77000</v>
      </c>
      <c r="Q1255" t="inlineStr">
        <is>
          <t>6666f702aa51000001437d83</t>
        </is>
      </c>
      <c r="R1255" t="inlineStr">
        <is>
          <t>🚫重复</t>
        </is>
      </c>
      <c r="S1255" t="inlineStr">
        <is>
          <t>教资资料</t>
        </is>
      </c>
      <c r="T1255" t="inlineStr">
        <is>
          <t>0.63</t>
        </is>
      </c>
      <c r="U1255" s="3">
        <v>46112.78107638889</v>
      </c>
      <c r="V1255" t="inlineStr">
        <is>
          <t>虚拟产品</t>
        </is>
      </c>
      <c r="W1255" s="3">
        <v>46042</v>
      </c>
      <c r="X1255" t="inlineStr">
        <is>
          <t>01</t>
        </is>
      </c>
      <c r="Y1255" t="inlineStr">
        <is>
          <t>2026-Q1</t>
        </is>
      </c>
    </row>
    <row r="1256" ht="38.25" customHeight="1">
      <c r="A1256" t="inlineStr">
        <is>
          <t>薛金星 · 26春新小学【教材全解】语数英上下册同步课本教辅书预习复习课文</t>
        </is>
      </c>
      <c r="B1256" t="inlineStr">
        <is>
          <t>recv8OiHOvkqNV.jpg</t>
        </is>
      </c>
      <c r="C1256" s="2" t="str">
        <f>=HYPERLINK("https://xhslink.com/m/3DcUsSmAGOc", "https://xhslink.com/m/3DcUsSmAGOc")</f>
        <v>https://xhslink.com/m/3DcUsSmAGOc</v>
      </c>
      <c r="D1256"/>
      <c r="E1256">
        <v>1287</v>
      </c>
      <c r="F1256">
        <v>43.8</v>
      </c>
      <c r="G1256"/>
      <c r="H1256"/>
      <c r="I1256">
        <v>300</v>
      </c>
      <c r="J1256"/>
      <c r="K1256" t="inlineStr">
        <is>
          <t>小学辅导</t>
        </is>
      </c>
      <c r="L1256"/>
      <c r="M1256" t="inlineStr">
        <is>
          <t>薛金星旗舰店</t>
        </is>
      </c>
      <c r="N1256">
        <v>2881</v>
      </c>
      <c r="O1256">
        <v>4.63</v>
      </c>
      <c r="P1256">
        <v>3935</v>
      </c>
      <c r="Q1256" t="inlineStr">
        <is>
          <t>6722d6b65aa3bf000197c1d1</t>
        </is>
      </c>
      <c r="R1256" t="inlineStr">
        <is>
          <t>🚫重复</t>
        </is>
      </c>
      <c r="S1256" t="inlineStr">
        <is>
          <t>中小学教辅/教材</t>
        </is>
      </c>
      <c r="T1256" t="inlineStr">
        <is>
          <t>0.45</t>
        </is>
      </c>
      <c r="U1256" s="3">
        <v>46112.78107638889</v>
      </c>
      <c r="V1256" t="inlineStr">
        <is>
          <t>虚拟产品</t>
        </is>
      </c>
      <c r="W1256" s="3">
        <v>46042</v>
      </c>
      <c r="X1256" t="inlineStr">
        <is>
          <t>01</t>
        </is>
      </c>
      <c r="Y1256" t="inlineStr">
        <is>
          <t>2026-Q1</t>
        </is>
      </c>
    </row>
    <row r="1257" ht="38.25" customHeight="1">
      <c r="A1257" t="inlineStr">
        <is>
          <t>【麦麦妈语文】名篇阅读理解+仿写精练</t>
        </is>
      </c>
      <c r="B1257" t="inlineStr">
        <is>
          <t>recv8OiHOvJ1Et.jpg</t>
        </is>
      </c>
      <c r="C1257" s="2" t="str">
        <f>=HYPERLINK("https://xhslink.com/m/2OqIc33Syhy", "https://xhslink.com/m/2OqIc33Syhy")</f>
        <v>https://xhslink.com/m/2OqIc33Syhy</v>
      </c>
      <c r="D1257"/>
      <c r="E1257">
        <v>837</v>
      </c>
      <c r="F1257">
        <v>599</v>
      </c>
      <c r="G1257"/>
      <c r="H1257"/>
      <c r="I1257">
        <v>700</v>
      </c>
      <c r="J1257"/>
      <c r="K1257" t="inlineStr">
        <is>
          <t>小学辅导</t>
        </is>
      </c>
      <c r="L1257"/>
      <c r="M1257" t="inlineStr">
        <is>
          <t>麦麦妈的小书房的店</t>
        </is>
      </c>
      <c r="N1257">
        <v>2902</v>
      </c>
      <c r="O1257">
        <v>4.48</v>
      </c>
      <c r="P1257">
        <v>5097</v>
      </c>
      <c r="Q1257" t="inlineStr">
        <is>
          <t>692e8128ccb9e0000142f8c1</t>
        </is>
      </c>
      <c r="R1257" t="inlineStr">
        <is>
          <t>🚫重复</t>
        </is>
      </c>
      <c r="S1257" t="inlineStr">
        <is>
          <t>中小学教辅/教材</t>
        </is>
      </c>
      <c r="T1257" t="inlineStr">
        <is>
          <t>0.29</t>
        </is>
      </c>
      <c r="U1257" s="3">
        <v>46112.78107638889</v>
      </c>
      <c r="V1257" t="inlineStr">
        <is>
          <t>虚拟产品</t>
        </is>
      </c>
      <c r="W1257" s="3">
        <v>46042</v>
      </c>
      <c r="X1257" t="inlineStr">
        <is>
          <t>01</t>
        </is>
      </c>
      <c r="Y1257" t="inlineStr">
        <is>
          <t>2026-Q1</t>
        </is>
      </c>
    </row>
    <row r="1258" ht="38.25" customHeight="1">
      <c r="A1258" t="inlineStr">
        <is>
          <t>年会创意节目表演搞笑小品剧本台词企业晚会舞蹈表演串烧抖音热舞</t>
        </is>
      </c>
      <c r="B1258" t="inlineStr">
        <is>
          <t>recv8OiHOvS9gX.jpg</t>
        </is>
      </c>
      <c r="C1258" s="2" t="str">
        <f>=HYPERLINK("https://xhslink.com/m/8NIyOep8NJp", "https://xhslink.com/m/8NIyOep8NJp")</f>
        <v>https://xhslink.com/m/8NIyOep8NJp</v>
      </c>
      <c r="D1258"/>
      <c r="E1258">
        <v>390</v>
      </c>
      <c r="F1258">
        <v>9.8</v>
      </c>
      <c r="G1258"/>
      <c r="H1258"/>
      <c r="I1258">
        <v>300</v>
      </c>
      <c r="J1258"/>
      <c r="K1258" t="inlineStr">
        <is>
          <t>舞蹈</t>
        </is>
      </c>
      <c r="L1258"/>
      <c r="M1258" t="inlineStr">
        <is>
          <t>小夏同学的店</t>
        </is>
      </c>
      <c r="N1258">
        <v>845</v>
      </c>
      <c r="O1258">
        <v>4.33</v>
      </c>
      <c r="P1258">
        <v>1107</v>
      </c>
      <c r="Q1258" t="inlineStr">
        <is>
          <t>67765dd6568edd0001b472a8</t>
        </is>
      </c>
      <c r="R1258"/>
      <c r="S1258" t="inlineStr">
        <is>
          <t>无匹配类别</t>
        </is>
      </c>
      <c r="T1258" t="inlineStr">
        <is>
          <t>0.46</t>
        </is>
      </c>
      <c r="U1258" s="3">
        <v>46112.78107638889</v>
      </c>
      <c r="V1258" t="inlineStr">
        <is>
          <t>虚拟产品</t>
        </is>
      </c>
      <c r="W1258" s="3">
        <v>46042</v>
      </c>
      <c r="X1258" t="inlineStr">
        <is>
          <t>01</t>
        </is>
      </c>
      <c r="Y1258" t="inlineStr">
        <is>
          <t>2026-Q1</t>
        </is>
      </c>
    </row>
    <row r="1259" ht="38.25" customHeight="1">
      <c r="A1259" t="inlineStr">
        <is>
          <t>火哥魅力跳舞课程11</t>
        </is>
      </c>
      <c r="B1259" t="inlineStr">
        <is>
          <t>recv8OiHOvduW3.jpg</t>
        </is>
      </c>
      <c r="C1259" s="2" t="str">
        <f>=HYPERLINK("https://xhslink.com/m/9eB2UDhFLWS", "https://xhslink.com/m/9eB2UDhFLWS")</f>
        <v>https://xhslink.com/m/9eB2UDhFLWS</v>
      </c>
      <c r="D1259"/>
      <c r="E1259">
        <v>331</v>
      </c>
      <c r="F1259">
        <v>299</v>
      </c>
      <c r="G1259"/>
      <c r="H1259"/>
      <c r="I1259">
        <v>300</v>
      </c>
      <c r="J1259"/>
      <c r="K1259" t="inlineStr">
        <is>
          <t>舞蹈</t>
        </is>
      </c>
      <c r="L1259"/>
      <c r="M1259" t="inlineStr">
        <is>
          <t>女性提升成长的店的店</t>
        </is>
      </c>
      <c r="N1259">
        <v>1120</v>
      </c>
      <c r="O1259">
        <v>4.25</v>
      </c>
      <c r="P1259">
        <v>812</v>
      </c>
      <c r="Q1259" t="inlineStr">
        <is>
          <t>690dc104f73ffe0001a1462e</t>
        </is>
      </c>
      <c r="R1259"/>
      <c r="S1259" t="inlineStr">
        <is>
          <t>生活成长</t>
        </is>
      </c>
      <c r="T1259" t="inlineStr">
        <is>
          <t>0.30</t>
        </is>
      </c>
      <c r="U1259" s="3">
        <v>46112.78107638889</v>
      </c>
      <c r="V1259" t="inlineStr">
        <is>
          <t>虚拟产品</t>
        </is>
      </c>
      <c r="W1259" s="3">
        <v>46042</v>
      </c>
      <c r="X1259" t="inlineStr">
        <is>
          <t>01</t>
        </is>
      </c>
      <c r="Y1259" t="inlineStr">
        <is>
          <t>2026-Q1</t>
        </is>
      </c>
    </row>
    <row r="1260" ht="38.25" customHeight="1">
      <c r="A1260" t="inlineStr">
        <is>
          <t>数学语文英语线上一对一輻导小学初中高中家庭輻导线上家教</t>
        </is>
      </c>
      <c r="B1260" t="inlineStr">
        <is>
          <t>recv8OiHOvJeVS.jpg</t>
        </is>
      </c>
      <c r="C1260" s="2" t="str">
        <f>=HYPERLINK("https://xhslink.com/m/3mk58zPldlj", "https://xhslink.com/m/3mk58zPldlj")</f>
        <v>https://xhslink.com/m/3mk58zPldlj</v>
      </c>
      <c r="D1260"/>
      <c r="E1260">
        <v>838</v>
      </c>
      <c r="F1260">
        <v>50</v>
      </c>
      <c r="G1260"/>
      <c r="H1260"/>
      <c r="I1260">
        <v>300</v>
      </c>
      <c r="J1260"/>
      <c r="K1260" t="inlineStr">
        <is>
          <t>高中辅导</t>
        </is>
      </c>
      <c r="L1260"/>
      <c r="M1260" t="inlineStr">
        <is>
          <t>线上一对一辅导的店</t>
        </is>
      </c>
      <c r="N1260">
        <v>536</v>
      </c>
      <c r="O1260">
        <v>4.21</v>
      </c>
      <c r="P1260">
        <v>843</v>
      </c>
      <c r="Q1260" t="inlineStr">
        <is>
          <t>68b6904afba5440001f40ea2</t>
        </is>
      </c>
      <c r="R1260"/>
      <c r="S1260" t="inlineStr">
        <is>
          <t>中小学教辅/教材</t>
        </is>
      </c>
      <c r="T1260" t="inlineStr">
        <is>
          <t>1.56</t>
        </is>
      </c>
      <c r="U1260" s="3">
        <v>46112.78107638889</v>
      </c>
      <c r="V1260" t="inlineStr">
        <is>
          <t>虚拟产品</t>
        </is>
      </c>
      <c r="W1260" s="3">
        <v>46042</v>
      </c>
      <c r="X1260" t="inlineStr">
        <is>
          <t>01</t>
        </is>
      </c>
      <c r="Y1260" t="inlineStr">
        <is>
          <t>2026-Q1</t>
        </is>
      </c>
    </row>
    <row r="1261" ht="38.25" customHeight="1">
      <c r="A1261" t="inlineStr">
        <is>
          <t>2026初级会计职称题库app激活码 题库网课刷题APP</t>
        </is>
      </c>
      <c r="B1261" t="inlineStr">
        <is>
          <t>recv8U5VeEVMOz.jpg</t>
        </is>
      </c>
      <c r="C1261" s="2" t="str">
        <f>=HYPERLINK("https://xhslink.com/m/83XQZwkNF6G", "https://xhslink.com/m/83XQZwkNF6G")</f>
        <v>https://xhslink.com/m/83XQZwkNF6G</v>
      </c>
      <c r="D1261"/>
      <c r="E1261">
        <v>1176</v>
      </c>
      <c r="F1261">
        <v>37</v>
      </c>
      <c r="G1261"/>
      <c r="H1261"/>
      <c r="I1261">
        <v>800</v>
      </c>
      <c r="J1261"/>
      <c r="K1261" t="inlineStr">
        <is>
          <t>初级会计2026备考</t>
        </is>
      </c>
      <c r="L1261"/>
      <c r="M1261" t="inlineStr">
        <is>
          <t>考证信息差的店</t>
        </is>
      </c>
      <c r="N1261">
        <v>2275</v>
      </c>
      <c r="O1261">
        <v>4.48</v>
      </c>
      <c r="P1261">
        <v>9637</v>
      </c>
      <c r="Q1261" t="inlineStr">
        <is>
          <t>67d7cb11ba9cf8000101fd24</t>
        </is>
      </c>
      <c r="R1261" t="inlineStr">
        <is>
          <t>🚫重复</t>
        </is>
      </c>
      <c r="S1261" t="inlineStr">
        <is>
          <t>会计资料</t>
        </is>
      </c>
      <c r="T1261" t="inlineStr">
        <is>
          <t>0.52</t>
        </is>
      </c>
      <c r="U1261" s="3">
        <v>46112.78107638889</v>
      </c>
      <c r="V1261" t="inlineStr">
        <is>
          <t>虚拟产品</t>
        </is>
      </c>
      <c r="W1261" s="3">
        <v>46043</v>
      </c>
      <c r="X1261" t="inlineStr">
        <is>
          <t>01</t>
        </is>
      </c>
      <c r="Y1261" t="inlineStr">
        <is>
          <t>2026-Q1</t>
        </is>
      </c>
    </row>
    <row r="1262" ht="38.25" customHeight="1">
      <c r="A1262" t="inlineStr">
        <is>
          <t>2026年林楷翔的初级会计笔记</t>
        </is>
      </c>
      <c r="B1262" t="inlineStr">
        <is>
          <t>recv8U5VeEuo5H.jpg</t>
        </is>
      </c>
      <c r="C1262" s="2" t="str">
        <f>=HYPERLINK("https://xhslink.com/m/9Ul5Pg1dcJX", "https://xhslink.com/m/9Ul5Pg1dcJX")</f>
        <v>https://xhslink.com/m/9Ul5Pg1dcJX</v>
      </c>
      <c r="D1262"/>
      <c r="E1262">
        <v>31000</v>
      </c>
      <c r="F1262">
        <v>15</v>
      </c>
      <c r="G1262"/>
      <c r="H1262"/>
      <c r="I1262">
        <v>1000</v>
      </c>
      <c r="J1262"/>
      <c r="K1262" t="inlineStr">
        <is>
          <t>初级会计</t>
        </is>
      </c>
      <c r="L1262"/>
      <c r="M1262" t="inlineStr">
        <is>
          <t>林楷翔的店</t>
        </is>
      </c>
      <c r="N1262">
        <v>79000</v>
      </c>
      <c r="O1262">
        <v>4.61</v>
      </c>
      <c r="P1262">
        <v>34000</v>
      </c>
      <c r="Q1262" t="inlineStr">
        <is>
          <t>65980749fe176f000181a50e</t>
        </is>
      </c>
      <c r="R1262" t="inlineStr">
        <is>
          <t>🚫重复</t>
        </is>
      </c>
      <c r="S1262" t="inlineStr">
        <is>
          <t>会计资料</t>
        </is>
      </c>
      <c r="T1262" t="inlineStr">
        <is>
          <t>0.39</t>
        </is>
      </c>
      <c r="U1262" s="3">
        <v>46112.78107638889</v>
      </c>
      <c r="V1262" t="inlineStr">
        <is>
          <t>虚拟产品</t>
        </is>
      </c>
      <c r="W1262" s="3">
        <v>46043</v>
      </c>
      <c r="X1262" t="inlineStr">
        <is>
          <t>01</t>
        </is>
      </c>
      <c r="Y1262" t="inlineStr">
        <is>
          <t>2026-Q1</t>
        </is>
      </c>
    </row>
    <row r="1263" ht="38.25" customHeight="1">
      <c r="A1263" t="inlineStr">
        <is>
          <t>初级会计小众宝藏刷题APP</t>
        </is>
      </c>
      <c r="B1263" t="inlineStr">
        <is>
          <t>recv8U5VeEFqVT.jpg</t>
        </is>
      </c>
      <c r="C1263" s="2" t="str">
        <f>=HYPERLINK("https://xhslink.com/m/9uBEwQFqA8w", "https://xhslink.com/m/9uBEwQFqA8w")</f>
        <v>https://xhslink.com/m/9uBEwQFqA8w</v>
      </c>
      <c r="D1263"/>
      <c r="E1263">
        <v>861</v>
      </c>
      <c r="F1263">
        <v>9.9</v>
      </c>
      <c r="G1263"/>
      <c r="H1263"/>
      <c r="I1263">
        <v>300</v>
      </c>
      <c r="J1263"/>
      <c r="K1263" t="inlineStr">
        <is>
          <t>初级会计</t>
        </is>
      </c>
      <c r="L1263"/>
      <c r="M1263" t="inlineStr">
        <is>
          <t>记得的店</t>
        </is>
      </c>
      <c r="N1263">
        <v>945</v>
      </c>
      <c r="O1263">
        <v>4.48</v>
      </c>
      <c r="P1263">
        <v>11000</v>
      </c>
      <c r="Q1263" t="inlineStr">
        <is>
          <t>675d464eb9eb7500010e20ab</t>
        </is>
      </c>
      <c r="R1263"/>
      <c r="S1263" t="inlineStr">
        <is>
          <t>会计资料</t>
        </is>
      </c>
      <c r="T1263" t="inlineStr">
        <is>
          <t>0.91</t>
        </is>
      </c>
      <c r="U1263" s="3">
        <v>46112.78107638889</v>
      </c>
      <c r="V1263" t="inlineStr">
        <is>
          <t>虚拟产品</t>
        </is>
      </c>
      <c r="W1263" s="3">
        <v>46043</v>
      </c>
      <c r="X1263" t="inlineStr">
        <is>
          <t>01</t>
        </is>
      </c>
      <c r="Y1263" t="inlineStr">
        <is>
          <t>2026-Q1</t>
        </is>
      </c>
    </row>
    <row r="1264" ht="38.25" customHeight="1">
      <c r="A1264" t="inlineStr">
        <is>
          <t>英语动画325部磨耳朵跟读ABCD分级学习练口语听力45000集线上课程</t>
        </is>
      </c>
      <c r="B1264" t="inlineStr">
        <is>
          <t>recv8U5VeEv1BM.jpg</t>
        </is>
      </c>
      <c r="C1264" s="2" t="str">
        <f>=HYPERLINK("https://xhslink.com/m/AkFGARYup9u", "https://xhslink.com/m/AkFGARYup9u")</f>
        <v>https://xhslink.com/m/AkFGARYup9u</v>
      </c>
      <c r="D1264"/>
      <c r="E1264">
        <v>7582</v>
      </c>
      <c r="F1264">
        <v>39.9</v>
      </c>
      <c r="G1264"/>
      <c r="H1264"/>
      <c r="I1264">
        <v>500</v>
      </c>
      <c r="J1264"/>
      <c r="K1264" t="inlineStr">
        <is>
          <t>英语听力磨耳朵</t>
        </is>
      </c>
      <c r="L1264"/>
      <c r="M1264" t="inlineStr">
        <is>
          <t>Bella老师英语学习的店</t>
        </is>
      </c>
      <c r="N1264">
        <v>77000</v>
      </c>
      <c r="O1264">
        <v>4.54</v>
      </c>
      <c r="P1264">
        <v>7612</v>
      </c>
      <c r="Q1264" t="inlineStr">
        <is>
          <t>663714e1814de700012765ac</t>
        </is>
      </c>
      <c r="R1264"/>
      <c r="S1264" t="inlineStr">
        <is>
          <t>英语资料</t>
        </is>
      </c>
      <c r="T1264" t="inlineStr">
        <is>
          <t>0.10</t>
        </is>
      </c>
      <c r="U1264" s="3">
        <v>46112.78107638889</v>
      </c>
      <c r="V1264" t="inlineStr">
        <is>
          <t>虚拟产品</t>
        </is>
      </c>
      <c r="W1264" s="3">
        <v>46043</v>
      </c>
      <c r="X1264" t="inlineStr">
        <is>
          <t>01</t>
        </is>
      </c>
      <c r="Y1264" t="inlineStr">
        <is>
          <t>2026-Q1</t>
        </is>
      </c>
    </row>
    <row r="1265" ht="38.25" customHeight="1">
      <c r="A1265" t="inlineStr">
        <is>
          <t>2026年高中英语听力专项训练听力磨耳朵英语学习音频原文答案</t>
        </is>
      </c>
      <c r="B1265" t="inlineStr">
        <is>
          <t>recv8U5VeEFZMG.jpg</t>
        </is>
      </c>
      <c r="C1265" s="2" t="str">
        <f>=HYPERLINK("https://xhslink.com/m/4FWKAYBgUtL", "https://xhslink.com/m/4FWKAYBgUtL")</f>
        <v>https://xhslink.com/m/4FWKAYBgUtL</v>
      </c>
      <c r="D1265"/>
      <c r="E1265">
        <v>334</v>
      </c>
      <c r="F1265">
        <v>8.8</v>
      </c>
      <c r="G1265"/>
      <c r="H1265"/>
      <c r="I1265">
        <v>300</v>
      </c>
      <c r="J1265"/>
      <c r="K1265" t="inlineStr">
        <is>
          <t>英语听力磨耳朵</t>
        </is>
      </c>
      <c r="L1265"/>
      <c r="M1265" t="inlineStr">
        <is>
          <t>小刘老师优资资料库的店</t>
        </is>
      </c>
      <c r="N1265">
        <v>958</v>
      </c>
      <c r="O1265">
        <v>4.17</v>
      </c>
      <c r="P1265">
        <v>3768</v>
      </c>
      <c r="Q1265" t="inlineStr">
        <is>
          <t>691d3eddccb9e00001be7e4b</t>
        </is>
      </c>
      <c r="R1265" t="inlineStr">
        <is>
          <t>🚫重复</t>
        </is>
      </c>
      <c r="S1265" t="inlineStr">
        <is>
          <t>高中/高考资料</t>
        </is>
      </c>
      <c r="T1265" t="inlineStr">
        <is>
          <t>0.35</t>
        </is>
      </c>
      <c r="U1265" s="3">
        <v>46112.78107638889</v>
      </c>
      <c r="V1265" t="inlineStr">
        <is>
          <t>虚拟产品</t>
        </is>
      </c>
      <c r="W1265" s="3">
        <v>46043</v>
      </c>
      <c r="X1265" t="inlineStr">
        <is>
          <t>01</t>
        </is>
      </c>
      <c r="Y1265" t="inlineStr">
        <is>
          <t>2026-Q1</t>
        </is>
      </c>
    </row>
    <row r="1266" ht="38.25" customHeight="1">
      <c r="A1266" t="inlineStr">
        <is>
          <t>六级听力真的不难！！190+的超强技巧课！！！</t>
        </is>
      </c>
      <c r="B1266" t="inlineStr">
        <is>
          <t>recv8U5VeEGnYN.jpg</t>
        </is>
      </c>
      <c r="C1266" s="2" t="str">
        <f>=HYPERLINK("https://xhslink.com/m/8xiVWvupCiT", "https://xhslink.com/m/8xiVWvupCiT")</f>
        <v>https://xhslink.com/m/8xiVWvupCiT</v>
      </c>
      <c r="D1266"/>
      <c r="E1266">
        <v>337</v>
      </c>
      <c r="F1266">
        <v>42.5</v>
      </c>
      <c r="G1266"/>
      <c r="H1266"/>
      <c r="I1266">
        <v>300</v>
      </c>
      <c r="J1266"/>
      <c r="K1266" t="inlineStr">
        <is>
          <t>六级听力</t>
        </is>
      </c>
      <c r="L1266"/>
      <c r="M1266" t="inlineStr">
        <is>
          <t>半盏佳酿的店</t>
        </is>
      </c>
      <c r="N1266">
        <v>4925</v>
      </c>
      <c r="O1266">
        <v>3.8</v>
      </c>
      <c r="P1266">
        <v>349</v>
      </c>
      <c r="Q1266" t="inlineStr">
        <is>
          <t>68f3a1f33f37a90001a5112f</t>
        </is>
      </c>
      <c r="R1266"/>
      <c r="S1266" t="inlineStr">
        <is>
          <t>英语资料</t>
        </is>
      </c>
      <c r="T1266" t="inlineStr">
        <is>
          <t>0.07</t>
        </is>
      </c>
      <c r="U1266" s="3">
        <v>46112.78107638889</v>
      </c>
      <c r="V1266" t="inlineStr">
        <is>
          <t>虚拟产品</t>
        </is>
      </c>
      <c r="W1266" s="3">
        <v>46043</v>
      </c>
      <c r="X1266" t="inlineStr">
        <is>
          <t>01</t>
        </is>
      </c>
      <c r="Y1266" t="inlineStr">
        <is>
          <t>2026-Q1</t>
        </is>
      </c>
    </row>
    <row r="1267" ht="38.25" customHeight="1">
      <c r="A1267" t="inlineStr">
        <is>
          <t>【四六级听力佛脚营】考前7天急救｜救命词单保底+直播讲透技巧</t>
        </is>
      </c>
      <c r="B1267" t="inlineStr">
        <is>
          <t>recv8U5VeEd4u3.jpg</t>
        </is>
      </c>
      <c r="C1267" s="2" t="str">
        <f>=HYPERLINK("https://xhslink.com/m/65EqXg0tJ1F", "https://xhslink.com/m/65EqXg0tJ1F")</f>
        <v>https://xhslink.com/m/65EqXg0tJ1F</v>
      </c>
      <c r="D1267"/>
      <c r="E1267">
        <v>746</v>
      </c>
      <c r="F1267">
        <v>18</v>
      </c>
      <c r="G1267"/>
      <c r="H1267"/>
      <c r="I1267">
        <v>700</v>
      </c>
      <c r="J1267"/>
      <c r="K1267" t="inlineStr">
        <is>
          <t>四级听力</t>
        </is>
      </c>
      <c r="L1267"/>
      <c r="M1267" t="inlineStr">
        <is>
          <t>Econmedian（大学版）的店</t>
        </is>
      </c>
      <c r="N1267">
        <v>5184</v>
      </c>
      <c r="O1267">
        <v>4.28</v>
      </c>
      <c r="P1267">
        <v>8012</v>
      </c>
      <c r="Q1267" t="inlineStr">
        <is>
          <t>6932789ac84a160001333b3a</t>
        </is>
      </c>
      <c r="R1267"/>
      <c r="S1267" t="inlineStr">
        <is>
          <t>英语资料</t>
        </is>
      </c>
      <c r="T1267" t="inlineStr">
        <is>
          <t>0.14</t>
        </is>
      </c>
      <c r="U1267" s="3">
        <v>46112.78107638889</v>
      </c>
      <c r="V1267" t="inlineStr">
        <is>
          <t>虚拟产品</t>
        </is>
      </c>
      <c r="W1267" s="3">
        <v>46043</v>
      </c>
      <c r="X1267" t="inlineStr">
        <is>
          <t>01</t>
        </is>
      </c>
      <c r="Y1267" t="inlineStr">
        <is>
          <t>2026-Q1</t>
        </is>
      </c>
    </row>
    <row r="1268" ht="38.25" customHeight="1">
      <c r="A1268" t="inlineStr">
        <is>
          <t>［原创］5小时通关雅思写作6.5丨2025下半年更新完成丨短期提分</t>
        </is>
      </c>
      <c r="B1268" t="inlineStr">
        <is>
          <t>recv8U5VeEiROn.jpg</t>
        </is>
      </c>
      <c r="C1268" s="2" t="str">
        <f>=HYPERLINK("https://xhslink.com/m/Jq6elVjDCl", "https://xhslink.com/m/Jq6elVjDCl")</f>
        <v>https://xhslink.com/m/Jq6elVjDCl</v>
      </c>
      <c r="D1268"/>
      <c r="E1268">
        <v>2305</v>
      </c>
      <c r="F1268">
        <v>63</v>
      </c>
      <c r="G1268"/>
      <c r="H1268"/>
      <c r="I1268">
        <v>700</v>
      </c>
      <c r="J1268"/>
      <c r="K1268" t="inlineStr">
        <is>
          <t>雅思</t>
        </is>
      </c>
      <c r="L1268" t="inlineStr">
        <is>
          <t>🔥低粉爆款</t>
        </is>
      </c>
      <c r="M1268" t="inlineStr">
        <is>
          <t>英语冲九分伟学的店</t>
        </is>
      </c>
      <c r="N1268">
        <v>464</v>
      </c>
      <c r="O1268">
        <v>4.17</v>
      </c>
      <c r="P1268">
        <v>2915</v>
      </c>
      <c r="Q1268" t="inlineStr">
        <is>
          <t>688e3b58f9d7c800016c677c</t>
        </is>
      </c>
      <c r="R1268"/>
      <c r="S1268" t="inlineStr">
        <is>
          <t>英语资料</t>
        </is>
      </c>
      <c r="T1268" t="inlineStr">
        <is>
          <t>4.97</t>
        </is>
      </c>
      <c r="U1268" s="3">
        <v>46112.78107638889</v>
      </c>
      <c r="V1268" t="inlineStr">
        <is>
          <t>虚拟产品</t>
        </is>
      </c>
      <c r="W1268" s="3">
        <v>46043</v>
      </c>
      <c r="X1268" t="inlineStr">
        <is>
          <t>01</t>
        </is>
      </c>
      <c r="Y1268" t="inlineStr">
        <is>
          <t>2026-Q1</t>
        </is>
      </c>
    </row>
    <row r="1269" ht="38.25" customHeight="1">
      <c r="A1269" t="inlineStr">
        <is>
          <t>外教口语1V1雅思托福商务职场成人零基础日常陪练</t>
        </is>
      </c>
      <c r="B1269" t="inlineStr">
        <is>
          <t>recv8U5VeEgOY2.jpg</t>
        </is>
      </c>
      <c r="C1269" s="2" t="str">
        <f>=HYPERLINK("https://xhslink.com/m/7V925Vvgy9N", "https://xhslink.com/m/7V925Vvgy9N")</f>
        <v>https://xhslink.com/m/7V925Vvgy9N</v>
      </c>
      <c r="D1269"/>
      <c r="E1269">
        <v>2549</v>
      </c>
      <c r="F1269">
        <v>5</v>
      </c>
      <c r="G1269"/>
      <c r="H1269"/>
      <c r="I1269">
        <v>500</v>
      </c>
      <c r="J1269"/>
      <c r="K1269" t="inlineStr">
        <is>
          <t>雅思</t>
        </is>
      </c>
      <c r="L1269"/>
      <c r="M1269" t="inlineStr">
        <is>
          <t>拉卡翁外教英语的店</t>
        </is>
      </c>
      <c r="N1269">
        <v>1213</v>
      </c>
      <c r="O1269">
        <v>4.28</v>
      </c>
      <c r="P1269">
        <v>2565</v>
      </c>
      <c r="Q1269" t="inlineStr">
        <is>
          <t>67205958deb6c200018927a1</t>
        </is>
      </c>
      <c r="R1269"/>
      <c r="S1269" t="inlineStr">
        <is>
          <t>英语资料</t>
        </is>
      </c>
      <c r="T1269" t="inlineStr">
        <is>
          <t>2.10</t>
        </is>
      </c>
      <c r="U1269" s="3">
        <v>46112.78107638889</v>
      </c>
      <c r="V1269" t="inlineStr">
        <is>
          <t>虚拟产品</t>
        </is>
      </c>
      <c r="W1269" s="3">
        <v>46043</v>
      </c>
      <c r="X1269" t="inlineStr">
        <is>
          <t>01</t>
        </is>
      </c>
      <c r="Y1269" t="inlineStr">
        <is>
          <t>2026-Q1</t>
        </is>
      </c>
    </row>
    <row r="1270" ht="38.25" customHeight="1">
      <c r="A1270" t="inlineStr">
        <is>
          <t>雅思8分原创范文资料包大全</t>
        </is>
      </c>
      <c r="B1270" t="inlineStr">
        <is>
          <t>recv8U5VeEo0ov.jpg</t>
        </is>
      </c>
      <c r="C1270" s="2" t="str">
        <f>=HYPERLINK("https://xhslink.com/m/96NqY0rTPmV", "https://xhslink.com/m/96NqY0rTPmV")</f>
        <v>https://xhslink.com/m/96NqY0rTPmV</v>
      </c>
      <c r="D1270"/>
      <c r="E1270">
        <v>1190</v>
      </c>
      <c r="F1270">
        <v>55</v>
      </c>
      <c r="G1270"/>
      <c r="H1270"/>
      <c r="I1270">
        <v>1000</v>
      </c>
      <c r="J1270"/>
      <c r="K1270" t="inlineStr">
        <is>
          <t>雅思</t>
        </is>
      </c>
      <c r="L1270"/>
      <c r="M1270" t="inlineStr">
        <is>
          <t>雅思写作8分的Martin的店</t>
        </is>
      </c>
      <c r="N1270">
        <v>7699</v>
      </c>
      <c r="O1270">
        <v>4.36</v>
      </c>
      <c r="P1270">
        <v>1248</v>
      </c>
      <c r="Q1270" t="inlineStr">
        <is>
          <t>68a166a811247e00013f18c2</t>
        </is>
      </c>
      <c r="R1270"/>
      <c r="S1270" t="inlineStr">
        <is>
          <t>英语资料</t>
        </is>
      </c>
      <c r="T1270" t="inlineStr">
        <is>
          <t>0.15</t>
        </is>
      </c>
      <c r="U1270" s="3">
        <v>46112.78107638889</v>
      </c>
      <c r="V1270" t="inlineStr">
        <is>
          <t>虚拟产品</t>
        </is>
      </c>
      <c r="W1270" s="3">
        <v>46043</v>
      </c>
      <c r="X1270" t="inlineStr">
        <is>
          <t>01</t>
        </is>
      </c>
      <c r="Y1270" t="inlineStr">
        <is>
          <t>2026-Q1</t>
        </is>
      </c>
    </row>
    <row r="1271" ht="38.25" customHeight="1">
      <c r="A1271" t="inlineStr">
        <is>
          <t>27考研/28考研择校小程序打破院校信息差</t>
        </is>
      </c>
      <c r="B1271" t="inlineStr">
        <is>
          <t>recv8U5VeEyFcv.jpg</t>
        </is>
      </c>
      <c r="C1271" s="2" t="str">
        <f>=HYPERLINK("https://xhslink.com/m/8ytiUIpkePG", "https://xhslink.com/m/8ytiUIpkePG")</f>
        <v>https://xhslink.com/m/8ytiUIpkePG</v>
      </c>
      <c r="D1271"/>
      <c r="E1271">
        <v>12000</v>
      </c>
      <c r="F1271">
        <v>15</v>
      </c>
      <c r="G1271"/>
      <c r="H1271"/>
      <c r="I1271">
        <v>800</v>
      </c>
      <c r="J1271"/>
      <c r="K1271" t="inlineStr">
        <is>
          <t>研究生考试</t>
        </is>
      </c>
      <c r="L1271"/>
      <c r="M1271" t="inlineStr">
        <is>
          <t>考研小鲤梦的店</t>
        </is>
      </c>
      <c r="N1271">
        <v>8005</v>
      </c>
      <c r="O1271">
        <v>4.46</v>
      </c>
      <c r="P1271">
        <v>58000</v>
      </c>
      <c r="Q1271" t="inlineStr">
        <is>
          <t>6582719afa814a00012393de</t>
        </is>
      </c>
      <c r="R1271" t="inlineStr">
        <is>
          <t>🚫重复</t>
        </is>
      </c>
      <c r="S1271" t="inlineStr">
        <is>
          <t>考研资料</t>
        </is>
      </c>
      <c r="T1271" t="inlineStr">
        <is>
          <t>1.50</t>
        </is>
      </c>
      <c r="U1271" s="3">
        <v>46112.78107638889</v>
      </c>
      <c r="V1271" t="inlineStr">
        <is>
          <t>虚拟产品</t>
        </is>
      </c>
      <c r="W1271" s="3">
        <v>46043</v>
      </c>
      <c r="X1271" t="inlineStr">
        <is>
          <t>01</t>
        </is>
      </c>
      <c r="Y1271" t="inlineStr">
        <is>
          <t>2026-Q1</t>
        </is>
      </c>
    </row>
    <row r="1272" ht="38.25" customHeight="1">
      <c r="A1272" t="inlineStr">
        <is>
          <t>手抄报线稿任选一幅（购买后 找客服拿图！）国庆中秋春节新年</t>
        </is>
      </c>
      <c r="B1272" t="inlineStr">
        <is>
          <t>recv8U5VeEniga.jpg</t>
        </is>
      </c>
      <c r="C1272" s="2" t="str">
        <f>=HYPERLINK("https://xhslink.com/m/8TGV1pwoSma", "https://xhslink.com/m/8TGV1pwoSma")</f>
        <v>https://xhslink.com/m/8TGV1pwoSma</v>
      </c>
      <c r="D1272"/>
      <c r="E1272">
        <v>19000</v>
      </c>
      <c r="F1272">
        <v>8.8</v>
      </c>
      <c r="G1272"/>
      <c r="H1272"/>
      <c r="I1272">
        <v>900</v>
      </c>
      <c r="J1272"/>
      <c r="K1272" t="inlineStr">
        <is>
          <t>手抄报</t>
        </is>
      </c>
      <c r="L1272"/>
      <c r="M1272" t="inlineStr">
        <is>
          <t>喵五郎绘画工作室的店</t>
        </is>
      </c>
      <c r="N1272">
        <v>42000</v>
      </c>
      <c r="O1272">
        <v>4.49</v>
      </c>
      <c r="P1272">
        <v>19000</v>
      </c>
      <c r="Q1272" t="inlineStr">
        <is>
          <t>65ace0d3779749000165b681</t>
        </is>
      </c>
      <c r="R1272"/>
      <c r="S1272" t="inlineStr">
        <is>
          <t>中小学教辅/教材</t>
        </is>
      </c>
      <c r="T1272" t="inlineStr">
        <is>
          <t>0.45</t>
        </is>
      </c>
      <c r="U1272" s="3">
        <v>46112.78107638889</v>
      </c>
      <c r="V1272" t="inlineStr">
        <is>
          <t>虚拟产品</t>
        </is>
      </c>
      <c r="W1272" s="3">
        <v>46043</v>
      </c>
      <c r="X1272" t="inlineStr">
        <is>
          <t>01</t>
        </is>
      </c>
      <c r="Y1272" t="inlineStr">
        <is>
          <t>2026-Q1</t>
        </is>
      </c>
    </row>
    <row r="1273" ht="38.25" customHeight="1">
      <c r="A1273" t="inlineStr">
        <is>
          <t>576四上神话人物名片神话故事人物卡神话人物手抄报电子版不快递</t>
        </is>
      </c>
      <c r="B1273" t="inlineStr">
        <is>
          <t>recv8U5VeEuhoD.jpg</t>
        </is>
      </c>
      <c r="C1273" s="2" t="str">
        <f>=HYPERLINK("https://xhslink.com/m/ANqvtTOBjJI", "https://xhslink.com/m/ANqvtTOBjJI")</f>
        <v>https://xhslink.com/m/ANqvtTOBjJI</v>
      </c>
      <c r="D1273"/>
      <c r="E1273">
        <v>1000</v>
      </c>
      <c r="F1273">
        <v>39.96</v>
      </c>
      <c r="G1273"/>
      <c r="H1273"/>
      <c r="I1273">
        <v>500</v>
      </c>
      <c r="J1273"/>
      <c r="K1273" t="inlineStr">
        <is>
          <t>手抄报</t>
        </is>
      </c>
      <c r="L1273"/>
      <c r="M1273" t="inlineStr">
        <is>
          <t>木南手抄报的店</t>
        </is>
      </c>
      <c r="N1273">
        <v>11000</v>
      </c>
      <c r="O1273">
        <v>4.32</v>
      </c>
      <c r="P1273">
        <v>18000</v>
      </c>
      <c r="Q1273" t="inlineStr">
        <is>
          <t>687cd115eab7930001546d53</t>
        </is>
      </c>
      <c r="R1273"/>
      <c r="S1273" t="inlineStr">
        <is>
          <t>中小学教辅/教材</t>
        </is>
      </c>
      <c r="T1273" t="inlineStr">
        <is>
          <t>0.09</t>
        </is>
      </c>
      <c r="U1273" s="3">
        <v>46112.78107638889</v>
      </c>
      <c r="V1273" t="inlineStr">
        <is>
          <t>虚拟产品</t>
        </is>
      </c>
      <c r="W1273" s="3">
        <v>46043</v>
      </c>
      <c r="X1273" t="inlineStr">
        <is>
          <t>01</t>
        </is>
      </c>
      <c r="Y1273" t="inlineStr">
        <is>
          <t>2026-Q1</t>
        </is>
      </c>
    </row>
    <row r="1274" ht="38.25" customHeight="1">
      <c r="A1274" t="inlineStr">
        <is>
          <t>全国省考国考事业编报名照片审核处理工具证件照处理上传</t>
        </is>
      </c>
      <c r="B1274" t="inlineStr">
        <is>
          <t>recv90ikqPKpzL.jpg</t>
        </is>
      </c>
      <c r="C1274" s="2" t="str">
        <f>=HYPERLINK("https://xhslink.com/m/At5TBMXvyzg", "https://xhslink.com/m/At5TBMXvyzg")</f>
        <v>https://xhslink.com/m/At5TBMXvyzg</v>
      </c>
      <c r="D1274"/>
      <c r="E1274">
        <v>1830</v>
      </c>
      <c r="F1274">
        <v>49.9</v>
      </c>
      <c r="G1274"/>
      <c r="H1274"/>
      <c r="I1274">
        <v>1000</v>
      </c>
      <c r="J1274"/>
      <c r="K1274" t="inlineStr">
        <is>
          <t>省考</t>
        </is>
      </c>
      <c r="L1274" t="inlineStr">
        <is>
          <t>🔥低粉爆款</t>
        </is>
      </c>
      <c r="M1274" t="inlineStr">
        <is>
          <t>小橘子设计的店</t>
        </is>
      </c>
      <c r="N1274">
        <v>343</v>
      </c>
      <c r="O1274">
        <v>4.81</v>
      </c>
      <c r="P1274">
        <v>2644</v>
      </c>
      <c r="Q1274" t="inlineStr">
        <is>
          <t>67b49bc39759260001aa607a</t>
        </is>
      </c>
      <c r="R1274"/>
      <c r="S1274" t="inlineStr">
        <is>
          <t>考公资料</t>
        </is>
      </c>
      <c r="T1274" t="inlineStr">
        <is>
          <t>5.34</t>
        </is>
      </c>
      <c r="U1274" s="3">
        <v>46112.78107638889</v>
      </c>
      <c r="V1274" t="inlineStr">
        <is>
          <t>虚拟产品</t>
        </is>
      </c>
      <c r="W1274" s="3">
        <v>46044</v>
      </c>
      <c r="X1274" t="inlineStr">
        <is>
          <t>01</t>
        </is>
      </c>
      <c r="Y1274" t="inlineStr">
        <is>
          <t>2026-Q1</t>
        </is>
      </c>
    </row>
    <row r="1275" ht="38.25" customHeight="1">
      <c r="A1275" t="inlineStr">
        <is>
          <t>超格 · 2026省考行测+申论（六合一）超大杯刷题营课程</t>
        </is>
      </c>
      <c r="B1275" t="inlineStr">
        <is>
          <t>recv90ikqPJzqy.jpg</t>
        </is>
      </c>
      <c r="C1275" s="2" t="str">
        <f>=HYPERLINK("https://xhslink.com/m/7u0Z9ggMWjn", "https://xhslink.com/m/7u0Z9ggMWjn")</f>
        <v>https://xhslink.com/m/7u0Z9ggMWjn</v>
      </c>
      <c r="D1275"/>
      <c r="E1275">
        <v>659</v>
      </c>
      <c r="F1275">
        <v>99</v>
      </c>
      <c r="G1275"/>
      <c r="H1275"/>
      <c r="I1275">
        <v>200</v>
      </c>
      <c r="J1275"/>
      <c r="K1275" t="inlineStr">
        <is>
          <t>省考</t>
        </is>
      </c>
      <c r="L1275"/>
      <c r="M1275" t="inlineStr">
        <is>
          <t>超格旗舰店</t>
        </is>
      </c>
      <c r="N1275">
        <v>75000</v>
      </c>
      <c r="O1275">
        <v>4.54</v>
      </c>
      <c r="P1275">
        <v>151000</v>
      </c>
      <c r="Q1275" t="inlineStr">
        <is>
          <t>69324bc983efdb000146641f</t>
        </is>
      </c>
      <c r="R1275" t="inlineStr">
        <is>
          <t>🚫重复</t>
        </is>
      </c>
      <c r="S1275" t="inlineStr">
        <is>
          <t>考公资料</t>
        </is>
      </c>
      <c r="T1275" t="inlineStr">
        <is>
          <t>0.01</t>
        </is>
      </c>
      <c r="U1275" s="3">
        <v>46112.78107638889</v>
      </c>
      <c r="V1275" t="inlineStr">
        <is>
          <t>虚拟产品</t>
        </is>
      </c>
      <c r="W1275" s="3">
        <v>46044</v>
      </c>
      <c r="X1275" t="inlineStr">
        <is>
          <t>01</t>
        </is>
      </c>
      <c r="Y1275" t="inlineStr">
        <is>
          <t>2026-Q1</t>
        </is>
      </c>
    </row>
    <row r="1276" ht="38.25" customHeight="1">
      <c r="A1276" t="inlineStr">
        <is>
          <t>花生十三 · 2026四海省考季笔试全程刷</t>
        </is>
      </c>
      <c r="B1276" t="inlineStr">
        <is>
          <t>recv90ikqPlsyw.jpg</t>
        </is>
      </c>
      <c r="C1276" s="2" t="str">
        <f>=HYPERLINK("https://xhslink.com/m/7t7bB6NKP2k", "https://xhslink.com/m/7t7bB6NKP2k")</f>
        <v>https://xhslink.com/m/7t7bB6NKP2k</v>
      </c>
      <c r="D1276"/>
      <c r="E1276">
        <v>519</v>
      </c>
      <c r="F1276">
        <v>699</v>
      </c>
      <c r="G1276"/>
      <c r="H1276"/>
      <c r="I1276">
        <v>500</v>
      </c>
      <c r="J1276"/>
      <c r="K1276" t="inlineStr">
        <is>
          <t>省考</t>
        </is>
      </c>
      <c r="L1276"/>
      <c r="M1276" t="inlineStr">
        <is>
          <t>四海公考的店</t>
        </is>
      </c>
      <c r="N1276">
        <v>101000</v>
      </c>
      <c r="O1276">
        <v>4.51</v>
      </c>
      <c r="P1276">
        <v>38000</v>
      </c>
      <c r="Q1276" t="inlineStr">
        <is>
          <t>6926963a46e530000119dfbb</t>
        </is>
      </c>
      <c r="R1276" t="inlineStr">
        <is>
          <t>🚫重复</t>
        </is>
      </c>
      <c r="S1276" t="inlineStr">
        <is>
          <t>考公资料</t>
        </is>
      </c>
      <c r="T1276" t="inlineStr">
        <is>
          <t>0.01</t>
        </is>
      </c>
      <c r="U1276" s="3">
        <v>46112.78107638889</v>
      </c>
      <c r="V1276" t="inlineStr">
        <is>
          <t>虚拟产品</t>
        </is>
      </c>
      <c r="W1276" s="3">
        <v>46044</v>
      </c>
      <c r="X1276" t="inlineStr">
        <is>
          <t>01</t>
        </is>
      </c>
      <c r="Y1276" t="inlineStr">
        <is>
          <t>2026-Q1</t>
        </is>
      </c>
    </row>
    <row r="1277" ht="38.25" customHeight="1">
      <c r="A1277" t="inlineStr">
        <is>
          <t>2026考研英语作文专用模板+英语真题卷保底提分</t>
        </is>
      </c>
      <c r="B1277" t="inlineStr">
        <is>
          <t>recv90ikqPwBI2.jpg</t>
        </is>
      </c>
      <c r="C1277" s="2" t="str">
        <f>=HYPERLINK("https://xhslink.com/m/1ualRNET8KM", "https://xhslink.com/m/1ualRNET8KM")</f>
        <v>https://xhslink.com/m/1ualRNET8KM</v>
      </c>
      <c r="D1277"/>
      <c r="E1277">
        <v>9429</v>
      </c>
      <c r="F1277">
        <v>29.9</v>
      </c>
      <c r="G1277"/>
      <c r="H1277"/>
      <c r="I1277">
        <v>8000</v>
      </c>
      <c r="J1277"/>
      <c r="K1277" t="inlineStr">
        <is>
          <t>考研英语</t>
        </is>
      </c>
      <c r="L1277"/>
      <c r="M1277" t="inlineStr">
        <is>
          <t>学海无涯资料的店</t>
        </is>
      </c>
      <c r="N1277">
        <v>3541</v>
      </c>
      <c r="O1277">
        <v>4.29</v>
      </c>
      <c r="P1277">
        <v>13000</v>
      </c>
      <c r="Q1277" t="inlineStr">
        <is>
          <t>68e8cea4f8d1f000017f7796</t>
        </is>
      </c>
      <c r="R1277"/>
      <c r="S1277" t="inlineStr">
        <is>
          <t>考研资料</t>
        </is>
      </c>
      <c r="T1277" t="inlineStr">
        <is>
          <t>2.66</t>
        </is>
      </c>
      <c r="U1277" s="3">
        <v>46112.78107638889</v>
      </c>
      <c r="V1277" t="inlineStr">
        <is>
          <t>虚拟产品</t>
        </is>
      </c>
      <c r="W1277" s="3">
        <v>46044</v>
      </c>
      <c r="X1277" t="inlineStr">
        <is>
          <t>01</t>
        </is>
      </c>
      <c r="Y1277" t="inlineStr">
        <is>
          <t>2026-Q1</t>
        </is>
      </c>
    </row>
    <row r="1278" ht="38.25" customHeight="1">
      <c r="A1278" t="inlineStr">
        <is>
          <t>【毛毛同款】考研英语历年真题阅读词汇（05-25）PDF英一、英</t>
        </is>
      </c>
      <c r="B1278" t="inlineStr">
        <is>
          <t>recv90ikqPToyk.jpg</t>
        </is>
      </c>
      <c r="C1278" s="2" t="str">
        <f>=HYPERLINK("https://xhslink.com/m/8xgDcSYueRI", "https://xhslink.com/m/8xgDcSYueRI")</f>
        <v>https://xhslink.com/m/8xgDcSYueRI</v>
      </c>
      <c r="D1278"/>
      <c r="E1278">
        <v>7168</v>
      </c>
      <c r="F1278">
        <v>14.9</v>
      </c>
      <c r="G1278"/>
      <c r="H1278"/>
      <c r="I1278">
        <v>6000</v>
      </c>
      <c r="J1278"/>
      <c r="K1278" t="inlineStr">
        <is>
          <t>考研英语</t>
        </is>
      </c>
      <c r="L1278"/>
      <c r="M1278" t="inlineStr">
        <is>
          <t>时空考研的店</t>
        </is>
      </c>
      <c r="N1278">
        <v>6262</v>
      </c>
      <c r="O1278">
        <v>4.28</v>
      </c>
      <c r="P1278">
        <v>28000</v>
      </c>
      <c r="Q1278" t="inlineStr">
        <is>
          <t>682b6aade60e770001810376</t>
        </is>
      </c>
      <c r="R1278" t="inlineStr">
        <is>
          <t>🚫重复</t>
        </is>
      </c>
      <c r="S1278" t="inlineStr">
        <is>
          <t>考研资料</t>
        </is>
      </c>
      <c r="T1278" t="inlineStr">
        <is>
          <t>1.14</t>
        </is>
      </c>
      <c r="U1278" s="3">
        <v>46112.78107638889</v>
      </c>
      <c r="V1278" t="inlineStr">
        <is>
          <t>虚拟产品</t>
        </is>
      </c>
      <c r="W1278" s="3">
        <v>46044</v>
      </c>
      <c r="X1278" t="inlineStr">
        <is>
          <t>01</t>
        </is>
      </c>
      <c r="Y1278" t="inlineStr">
        <is>
          <t>2026-Q1</t>
        </is>
      </c>
    </row>
    <row r="1279" ht="38.25" customHeight="1">
      <c r="A1279" t="inlineStr">
        <is>
          <t>26考研在小三门中背单词逐词翻译英一英二完型翻译新题型记事本</t>
        </is>
      </c>
      <c r="B1279" t="inlineStr">
        <is>
          <t>recv90ikqP8kQB.jpg</t>
        </is>
      </c>
      <c r="C1279" s="2" t="str">
        <f>=HYPERLINK("https://xhslink.com/m/AEg7E8VwVEN", "https://xhslink.com/m/AEg7E8VwVEN")</f>
        <v>https://xhslink.com/m/AEg7E8VwVEN</v>
      </c>
      <c r="D1279"/>
      <c r="E1279">
        <v>5186</v>
      </c>
      <c r="F1279">
        <v>69.9</v>
      </c>
      <c r="G1279"/>
      <c r="H1279"/>
      <c r="I1279">
        <v>1000</v>
      </c>
      <c r="J1279"/>
      <c r="K1279" t="inlineStr">
        <is>
          <t>考研英语</t>
        </is>
      </c>
      <c r="L1279"/>
      <c r="M1279" t="inlineStr">
        <is>
          <t>小鹅资料的店</t>
        </is>
      </c>
      <c r="N1279">
        <v>2971</v>
      </c>
      <c r="O1279">
        <v>4.63</v>
      </c>
      <c r="P1279">
        <v>14000</v>
      </c>
      <c r="Q1279" t="inlineStr">
        <is>
          <t>68bd729a0d3d6200014a12ab</t>
        </is>
      </c>
      <c r="R1279" t="inlineStr">
        <is>
          <t>🚫重复</t>
        </is>
      </c>
      <c r="S1279" t="inlineStr">
        <is>
          <t>考研资料</t>
        </is>
      </c>
      <c r="T1279" t="inlineStr">
        <is>
          <t>1.75</t>
        </is>
      </c>
      <c r="U1279" s="3">
        <v>46112.78107638889</v>
      </c>
      <c r="V1279" t="inlineStr">
        <is>
          <t>虚拟产品</t>
        </is>
      </c>
      <c r="W1279" s="3">
        <v>46044</v>
      </c>
      <c r="X1279" t="inlineStr">
        <is>
          <t>01</t>
        </is>
      </c>
      <c r="Y1279" t="inlineStr">
        <is>
          <t>2026-Q1</t>
        </is>
      </c>
    </row>
    <row r="1280" ht="38.25" customHeight="1">
      <c r="A1280" t="inlineStr">
        <is>
          <t>学丞 · 刘晓艳考研冲刺2026考研英语一二刘晓燕考前技巧直播</t>
        </is>
      </c>
      <c r="B1280" t="inlineStr">
        <is>
          <t>recv90ikqPQhWR.jpg</t>
        </is>
      </c>
      <c r="C1280" s="2" t="str">
        <f>=HYPERLINK("https://xhslink.com/m/3FXFUM8nsNA", "https://xhslink.com/m/3FXFUM8nsNA")</f>
        <v>https://xhslink.com/m/3FXFUM8nsNA</v>
      </c>
      <c r="D1280"/>
      <c r="E1280">
        <v>2090</v>
      </c>
      <c r="F1280">
        <v>199</v>
      </c>
      <c r="G1280"/>
      <c r="H1280"/>
      <c r="I1280">
        <v>2000</v>
      </c>
      <c r="J1280"/>
      <c r="K1280" t="inlineStr">
        <is>
          <t>考研英语</t>
        </is>
      </c>
      <c r="L1280"/>
      <c r="M1280" t="inlineStr">
        <is>
          <t>学丞图书考试旗舰店</t>
        </is>
      </c>
      <c r="N1280">
        <v>1808</v>
      </c>
      <c r="O1280">
        <v>4.67</v>
      </c>
      <c r="P1280">
        <v>6172</v>
      </c>
      <c r="Q1280" t="inlineStr">
        <is>
          <t>68ef74f217d8080001ba176f</t>
        </is>
      </c>
      <c r="R1280" t="inlineStr">
        <is>
          <t>🚫重复</t>
        </is>
      </c>
      <c r="S1280" t="inlineStr">
        <is>
          <t>考研资料</t>
        </is>
      </c>
      <c r="T1280" t="inlineStr">
        <is>
          <t>1.16</t>
        </is>
      </c>
      <c r="U1280" s="3">
        <v>46112.78107638889</v>
      </c>
      <c r="V1280" t="inlineStr">
        <is>
          <t>虚拟产品</t>
        </is>
      </c>
      <c r="W1280" s="3">
        <v>46044</v>
      </c>
      <c r="X1280" t="inlineStr">
        <is>
          <t>01</t>
        </is>
      </c>
      <c r="Y1280" t="inlineStr">
        <is>
          <t>2026-Q1</t>
        </is>
      </c>
    </row>
    <row r="1281" ht="38.25" customHeight="1">
      <c r="A1281" t="inlineStr">
        <is>
          <t>不背单词×考研真题｜词书来了！</t>
        </is>
      </c>
      <c r="B1281" t="inlineStr">
        <is>
          <t>recv90ikqP0fya.jpg</t>
        </is>
      </c>
      <c r="C1281" s="2" t="str">
        <f>=HYPERLINK("https://xhslink.com/m/5EH4swufIwQ", "https://xhslink.com/m/5EH4swufIwQ")</f>
        <v>https://xhslink.com/m/5EH4swufIwQ</v>
      </c>
      <c r="D1281"/>
      <c r="E1281">
        <v>943</v>
      </c>
      <c r="F1281">
        <v>62.32</v>
      </c>
      <c r="G1281"/>
      <c r="H1281"/>
      <c r="I1281">
        <v>400</v>
      </c>
      <c r="J1281"/>
      <c r="K1281" t="inlineStr">
        <is>
          <t>考研英语</t>
        </is>
      </c>
      <c r="L1281" t="inlineStr">
        <is>
          <t>🔥低粉爆款</t>
        </is>
      </c>
      <c r="M1281" t="inlineStr">
        <is>
          <t>小逸6周岁的店</t>
        </is>
      </c>
      <c r="N1281">
        <v>295</v>
      </c>
      <c r="O1281">
        <v>4.3</v>
      </c>
      <c r="P1281">
        <v>2716</v>
      </c>
      <c r="Q1281" t="inlineStr">
        <is>
          <t>68ff7e94e379430001a48888</t>
        </is>
      </c>
      <c r="R1281"/>
      <c r="S1281" t="inlineStr">
        <is>
          <t>考研资料</t>
        </is>
      </c>
      <c r="T1281" t="inlineStr">
        <is>
          <t>3.20</t>
        </is>
      </c>
      <c r="U1281" s="3">
        <v>46112.78107638889</v>
      </c>
      <c r="V1281" t="inlineStr">
        <is>
          <t>虚拟产品</t>
        </is>
      </c>
      <c r="W1281" s="3">
        <v>46044</v>
      </c>
      <c r="X1281" t="inlineStr">
        <is>
          <t>01</t>
        </is>
      </c>
      <c r="Y1281" t="inlineStr">
        <is>
          <t>2026-Q1</t>
        </is>
      </c>
    </row>
    <row r="1282" ht="38.25" customHeight="1">
      <c r="A1282" t="inlineStr">
        <is>
          <t>26考研政治肖四重排版带背+万能模版+答题卡示范</t>
        </is>
      </c>
      <c r="B1282" t="inlineStr">
        <is>
          <t>recv90ikqPRA6d.jpg</t>
        </is>
      </c>
      <c r="C1282" s="2" t="str">
        <f>=HYPERLINK("https://xhslink.com/m/6bJ5RXto6gM", "https://xhslink.com/m/6bJ5RXto6gM")</f>
        <v>https://xhslink.com/m/6bJ5RXto6gM</v>
      </c>
      <c r="D1282"/>
      <c r="E1282">
        <v>3491</v>
      </c>
      <c r="F1282">
        <v>16.6</v>
      </c>
      <c r="G1282"/>
      <c r="H1282"/>
      <c r="I1282">
        <v>3000</v>
      </c>
      <c r="J1282"/>
      <c r="K1282" t="inlineStr">
        <is>
          <t>考研政治</t>
        </is>
      </c>
      <c r="L1282"/>
      <c r="M1282" t="inlineStr">
        <is>
          <t>怂怂︀的店</t>
        </is>
      </c>
      <c r="N1282">
        <v>53000</v>
      </c>
      <c r="O1282">
        <v>4.36</v>
      </c>
      <c r="P1282">
        <v>12000</v>
      </c>
      <c r="Q1282" t="inlineStr">
        <is>
          <t>693419e3af71c300011f9968</t>
        </is>
      </c>
      <c r="R1282"/>
      <c r="S1282" t="inlineStr">
        <is>
          <t>考研资料</t>
        </is>
      </c>
      <c r="T1282" t="inlineStr">
        <is>
          <t>0.07</t>
        </is>
      </c>
      <c r="U1282" s="3">
        <v>46112.78107638889</v>
      </c>
      <c r="V1282" t="inlineStr">
        <is>
          <t>虚拟产品</t>
        </is>
      </c>
      <c r="W1282" s="3">
        <v>46044</v>
      </c>
      <c r="X1282" t="inlineStr">
        <is>
          <t>01</t>
        </is>
      </c>
      <c r="Y1282" t="inlineStr">
        <is>
          <t>2026-Q1</t>
        </is>
      </c>
    </row>
    <row r="1283" ht="38.25" customHeight="1">
      <c r="A1283" t="inlineStr">
        <is>
          <t>27考研政治肖四大题背诵总结苏一肖四背诵模板电子版（更新完结）</t>
        </is>
      </c>
      <c r="B1283" t="inlineStr">
        <is>
          <t>recv90ikqPrKjL.jpg</t>
        </is>
      </c>
      <c r="C1283" s="2" t="str">
        <f>=HYPERLINK("https://xhslink.com/m/AK5eI5l91SA", "https://xhslink.com/m/AK5eI5l91SA")</f>
        <v>https://xhslink.com/m/AK5eI5l91SA</v>
      </c>
      <c r="D1283"/>
      <c r="E1283">
        <v>3366</v>
      </c>
      <c r="F1283">
        <v>2.99</v>
      </c>
      <c r="G1283"/>
      <c r="H1283"/>
      <c r="I1283">
        <v>3000</v>
      </c>
      <c r="J1283"/>
      <c r="K1283" t="inlineStr">
        <is>
          <t>考研政治</t>
        </is>
      </c>
      <c r="L1283" t="inlineStr">
        <is>
          <t>🔥低粉爆款</t>
        </is>
      </c>
      <c r="M1283" t="inlineStr">
        <is>
          <t>好好爱学的店</t>
        </is>
      </c>
      <c r="N1283">
        <v>285</v>
      </c>
      <c r="O1283">
        <v>4.28</v>
      </c>
      <c r="P1283">
        <v>14000</v>
      </c>
      <c r="Q1283" t="inlineStr">
        <is>
          <t>6936c17381a79500013d20f0</t>
        </is>
      </c>
      <c r="R1283" t="inlineStr">
        <is>
          <t>🚫重复</t>
        </is>
      </c>
      <c r="S1283" t="inlineStr">
        <is>
          <t>考研资料</t>
        </is>
      </c>
      <c r="T1283" t="inlineStr">
        <is>
          <t>11.81</t>
        </is>
      </c>
      <c r="U1283" s="3">
        <v>46112.78107638889</v>
      </c>
      <c r="V1283" t="inlineStr">
        <is>
          <t>虚拟产品</t>
        </is>
      </c>
      <c r="W1283" s="3">
        <v>46044</v>
      </c>
      <c r="X1283" t="inlineStr">
        <is>
          <t>01</t>
        </is>
      </c>
      <c r="Y1283" t="inlineStr">
        <is>
          <t>2026-Q1</t>
        </is>
      </c>
    </row>
    <row r="1284" ht="38.25" customHeight="1">
      <c r="A1284" t="inlineStr">
        <is>
          <t>26考研政治押题笔记电子资料包肖八肖四笔记腿姐押题徐涛押题笔记</t>
        </is>
      </c>
      <c r="B1284" t="inlineStr">
        <is>
          <t>recv90ikqPkVMK.jpg</t>
        </is>
      </c>
      <c r="C1284" s="2" t="str">
        <f>=HYPERLINK("https://xhslink.com/m/3VnAtetS7uo", "https://xhslink.com/m/3VnAtetS7uo")</f>
        <v>https://xhslink.com/m/3VnAtetS7uo</v>
      </c>
      <c r="D1284"/>
      <c r="E1284">
        <v>2622</v>
      </c>
      <c r="F1284">
        <v>19.9</v>
      </c>
      <c r="G1284"/>
      <c r="H1284"/>
      <c r="I1284">
        <v>2000</v>
      </c>
      <c r="J1284"/>
      <c r="K1284" t="inlineStr">
        <is>
          <t>考研政治</t>
        </is>
      </c>
      <c r="L1284"/>
      <c r="M1284" t="inlineStr">
        <is>
          <t>十年资料铺的店</t>
        </is>
      </c>
      <c r="N1284">
        <v>1792</v>
      </c>
      <c r="O1284">
        <v>4.55</v>
      </c>
      <c r="P1284">
        <v>16000</v>
      </c>
      <c r="Q1284" t="inlineStr">
        <is>
          <t>6910299d0f510b00018804f3</t>
        </is>
      </c>
      <c r="R1284"/>
      <c r="S1284" t="inlineStr">
        <is>
          <t>考研资料</t>
        </is>
      </c>
      <c r="T1284" t="inlineStr">
        <is>
          <t>1.46</t>
        </is>
      </c>
      <c r="U1284" s="3">
        <v>46112.78107638889</v>
      </c>
      <c r="V1284" t="inlineStr">
        <is>
          <t>虚拟产品</t>
        </is>
      </c>
      <c r="W1284" s="3">
        <v>46044</v>
      </c>
      <c r="X1284" t="inlineStr">
        <is>
          <t>01</t>
        </is>
      </c>
      <c r="Y1284" t="inlineStr">
        <is>
          <t>2026-Q1</t>
        </is>
      </c>
    </row>
    <row r="1285" ht="38.25" customHeight="1">
      <c r="A1285" t="inlineStr">
        <is>
          <t>智泓 · 陆寓丰腿姐2026考研政治腿姐预测4套卷背诵手册冲刺专项8套卷</t>
        </is>
      </c>
      <c r="B1285" t="inlineStr">
        <is>
          <t>recv90ikqPgZft.jpg</t>
        </is>
      </c>
      <c r="C1285" s="2" t="str">
        <f>=HYPERLINK("https://xhslink.com/m/5A8izDK88kU", "https://xhslink.com/m/5A8izDK88kU")</f>
        <v>https://xhslink.com/m/5A8izDK88kU</v>
      </c>
      <c r="D1285"/>
      <c r="E1285">
        <v>3157</v>
      </c>
      <c r="F1285">
        <v>208</v>
      </c>
      <c r="G1285"/>
      <c r="H1285"/>
      <c r="I1285">
        <v>400</v>
      </c>
      <c r="J1285"/>
      <c r="K1285" t="inlineStr">
        <is>
          <t>考研政治</t>
        </is>
      </c>
      <c r="L1285"/>
      <c r="M1285" t="inlineStr">
        <is>
          <t>智泓图书旗舰店</t>
        </is>
      </c>
      <c r="N1285">
        <v>5159</v>
      </c>
      <c r="O1285">
        <v>4.78</v>
      </c>
      <c r="P1285">
        <v>94000</v>
      </c>
      <c r="Q1285" t="inlineStr">
        <is>
          <t>68575af28b7d6f0001d151dc</t>
        </is>
      </c>
      <c r="R1285" t="inlineStr">
        <is>
          <t>🚫重复</t>
        </is>
      </c>
      <c r="S1285" t="inlineStr">
        <is>
          <t>考研资料</t>
        </is>
      </c>
      <c r="T1285" t="inlineStr">
        <is>
          <t>0.61</t>
        </is>
      </c>
      <c r="U1285" s="3">
        <v>46112.78107638889</v>
      </c>
      <c r="V1285" t="inlineStr">
        <is>
          <t>虚拟产品</t>
        </is>
      </c>
      <c r="W1285" s="3">
        <v>46044</v>
      </c>
      <c r="X1285" t="inlineStr">
        <is>
          <t>01</t>
        </is>
      </c>
      <c r="Y1285" t="inlineStr">
        <is>
          <t>2026-Q1</t>
        </is>
      </c>
    </row>
    <row r="1286" ht="38.25" customHeight="1">
      <c r="A1286" t="inlineStr">
        <is>
          <t>26考研政治 |会议文章土地政策、知识点总结</t>
        </is>
      </c>
      <c r="B1286" t="inlineStr">
        <is>
          <t>recv90ikqP6S9N.jpg</t>
        </is>
      </c>
      <c r="C1286" s="2" t="str">
        <f>=HYPERLINK("https://xhslink.com/m/8rJF4URhNcQ", "https://xhslink.com/m/8rJF4URhNcQ")</f>
        <v>https://xhslink.com/m/8rJF4URhNcQ</v>
      </c>
      <c r="D1286"/>
      <c r="E1286">
        <v>1196</v>
      </c>
      <c r="F1286">
        <v>12.9</v>
      </c>
      <c r="G1286"/>
      <c r="H1286"/>
      <c r="I1286">
        <v>700</v>
      </c>
      <c r="J1286"/>
      <c r="K1286" t="inlineStr">
        <is>
          <t>考研政治</t>
        </is>
      </c>
      <c r="L1286"/>
      <c r="M1286" t="inlineStr">
        <is>
          <t>sansan、的店</t>
        </is>
      </c>
      <c r="N1286">
        <v>9815</v>
      </c>
      <c r="O1286">
        <v>4.22</v>
      </c>
      <c r="P1286">
        <v>7803</v>
      </c>
      <c r="Q1286" t="inlineStr">
        <is>
          <t>68a5ccf44eed2d00016294a6</t>
        </is>
      </c>
      <c r="R1286"/>
      <c r="S1286" t="inlineStr">
        <is>
          <t>考研资料</t>
        </is>
      </c>
      <c r="T1286" t="inlineStr">
        <is>
          <t>0.12</t>
        </is>
      </c>
      <c r="U1286" s="3">
        <v>46112.78107638889</v>
      </c>
      <c r="V1286" t="inlineStr">
        <is>
          <t>虚拟产品</t>
        </is>
      </c>
      <c r="W1286" s="3">
        <v>46044</v>
      </c>
      <c r="X1286" t="inlineStr">
        <is>
          <t>01</t>
        </is>
      </c>
      <c r="Y1286" t="inlineStr">
        <is>
          <t>2026-Q1</t>
        </is>
      </c>
    </row>
    <row r="1287" ht="38.25" customHeight="1">
      <c r="A1287" t="inlineStr">
        <is>
          <t>公务员国考省考历年真题套卷</t>
        </is>
      </c>
      <c r="B1287" t="inlineStr">
        <is>
          <t>recv90ikqPcT71.jpg</t>
        </is>
      </c>
      <c r="C1287" s="2" t="str">
        <f>=HYPERLINK("https://xhslink.com/m/4baH0DxgK8Q", "https://xhslink.com/m/4baH0DxgK8Q")</f>
        <v>https://xhslink.com/m/4baH0DxgK8Q</v>
      </c>
      <c r="D1287"/>
      <c r="E1287">
        <v>6730</v>
      </c>
      <c r="F1287">
        <v>23</v>
      </c>
      <c r="G1287"/>
      <c r="H1287"/>
      <c r="I1287">
        <v>1000</v>
      </c>
      <c r="J1287"/>
      <c r="K1287" t="inlineStr">
        <is>
          <t>广东省考</t>
        </is>
      </c>
      <c r="L1287"/>
      <c r="M1287" t="inlineStr">
        <is>
          <t>小吴的考公书斋的店</t>
        </is>
      </c>
      <c r="N1287">
        <v>5815</v>
      </c>
      <c r="O1287">
        <v>4.42</v>
      </c>
      <c r="P1287">
        <v>13000</v>
      </c>
      <c r="Q1287" t="inlineStr">
        <is>
          <t>68a84517acb116000164874a</t>
        </is>
      </c>
      <c r="R1287" t="inlineStr">
        <is>
          <t>🚫重复</t>
        </is>
      </c>
      <c r="S1287" t="inlineStr">
        <is>
          <t>考公资料</t>
        </is>
      </c>
      <c r="T1287" t="inlineStr">
        <is>
          <t>1.16</t>
        </is>
      </c>
      <c r="U1287" s="3">
        <v>46112.78107638889</v>
      </c>
      <c r="V1287" t="inlineStr">
        <is>
          <t>虚拟产品</t>
        </is>
      </c>
      <c r="W1287" s="3">
        <v>46044</v>
      </c>
      <c r="X1287" t="inlineStr">
        <is>
          <t>01</t>
        </is>
      </c>
      <c r="Y1287" t="inlineStr">
        <is>
          <t>2026-Q1</t>
        </is>
      </c>
    </row>
    <row r="1288" ht="38.25" customHeight="1">
      <c r="A1288" t="inlineStr">
        <is>
          <t>2026广东省时政知识点/时政习题/广东省情/省情习题</t>
        </is>
      </c>
      <c r="B1288" t="inlineStr">
        <is>
          <t>recv90ikqPhVu4.jpg</t>
        </is>
      </c>
      <c r="C1288" s="2" t="str">
        <f>=HYPERLINK("https://xhslink.com/m/6xkB9sr8gzE", "https://xhslink.com/m/6xkB9sr8gzE")</f>
        <v>https://xhslink.com/m/6xkB9sr8gzE</v>
      </c>
      <c r="D1288"/>
      <c r="E1288">
        <v>2583</v>
      </c>
      <c r="F1288">
        <v>19.9</v>
      </c>
      <c r="G1288"/>
      <c r="H1288"/>
      <c r="I1288">
        <v>2000</v>
      </c>
      <c r="J1288"/>
      <c r="K1288" t="inlineStr">
        <is>
          <t>广东省考</t>
        </is>
      </c>
      <c r="L1288"/>
      <c r="M1288" t="inlineStr">
        <is>
          <t>月挽挽的店</t>
        </is>
      </c>
      <c r="N1288">
        <v>2164</v>
      </c>
      <c r="O1288">
        <v>4.39</v>
      </c>
      <c r="P1288">
        <v>6607</v>
      </c>
      <c r="Q1288" t="inlineStr">
        <is>
          <t>690b298a47309000019aeb91</t>
        </is>
      </c>
      <c r="R1288"/>
      <c r="S1288" t="inlineStr">
        <is>
          <t>考公资料</t>
        </is>
      </c>
      <c r="T1288" t="inlineStr">
        <is>
          <t>1.19</t>
        </is>
      </c>
      <c r="U1288" s="3">
        <v>46112.78107638889</v>
      </c>
      <c r="V1288" t="inlineStr">
        <is>
          <t>虚拟产品</t>
        </is>
      </c>
      <c r="W1288" s="3">
        <v>46044</v>
      </c>
      <c r="X1288" t="inlineStr">
        <is>
          <t>01</t>
        </is>
      </c>
      <c r="Y1288" t="inlineStr">
        <is>
          <t>2026-Q1</t>
        </is>
      </c>
    </row>
    <row r="1289" ht="38.25" customHeight="1">
      <c r="A1289" t="inlineStr">
        <is>
          <t>广东省考申论考场高分答案合集（考公资料电子版）</t>
        </is>
      </c>
      <c r="B1289" t="inlineStr">
        <is>
          <t>recv90ikqPjzmi.jpg</t>
        </is>
      </c>
      <c r="C1289" s="2" t="str">
        <f>=HYPERLINK("https://xhslink.com/m/4jI1WjtHRvL", "https://xhslink.com/m/4jI1WjtHRvL")</f>
        <v>https://xhslink.com/m/4jI1WjtHRvL</v>
      </c>
      <c r="D1289"/>
      <c r="E1289">
        <v>2269</v>
      </c>
      <c r="F1289">
        <v>19.9</v>
      </c>
      <c r="G1289"/>
      <c r="H1289"/>
      <c r="I1289">
        <v>700</v>
      </c>
      <c r="J1289"/>
      <c r="K1289" t="inlineStr">
        <is>
          <t>广东省考</t>
        </is>
      </c>
      <c r="L1289"/>
      <c r="M1289" t="inlineStr">
        <is>
          <t>成公小锦鲤的店</t>
        </is>
      </c>
      <c r="N1289">
        <v>1236</v>
      </c>
      <c r="O1289">
        <v>4.35</v>
      </c>
      <c r="P1289">
        <v>4253</v>
      </c>
      <c r="Q1289" t="inlineStr">
        <is>
          <t>67abedfe0f41740001aa9e11</t>
        </is>
      </c>
      <c r="R1289"/>
      <c r="S1289" t="inlineStr">
        <is>
          <t>考公资料</t>
        </is>
      </c>
      <c r="T1289" t="inlineStr">
        <is>
          <t>1.84</t>
        </is>
      </c>
      <c r="U1289" s="3">
        <v>46112.78107638889</v>
      </c>
      <c r="V1289" t="inlineStr">
        <is>
          <t>虚拟产品</t>
        </is>
      </c>
      <c r="W1289" s="3">
        <v>46044</v>
      </c>
      <c r="X1289" t="inlineStr">
        <is>
          <t>01</t>
        </is>
      </c>
      <c r="Y1289" t="inlineStr">
        <is>
          <t>2026-Q1</t>
        </is>
      </c>
    </row>
    <row r="1290" ht="38.25" customHeight="1">
      <c r="A1290" t="inlineStr">
        <is>
          <t>2025广东省考申论一89分考场答案及试卷解析</t>
        </is>
      </c>
      <c r="B1290" t="inlineStr">
        <is>
          <t>recv90ikqPO44v.jpg</t>
        </is>
      </c>
      <c r="C1290" s="2" t="str">
        <f>=HYPERLINK("https://xhslink.com/m/ADDpq5CmuYC", "https://xhslink.com/m/ADDpq5CmuYC")</f>
        <v>https://xhslink.com/m/ADDpq5CmuYC</v>
      </c>
      <c r="D1290"/>
      <c r="E1290">
        <v>760</v>
      </c>
      <c r="F1290">
        <v>19.9</v>
      </c>
      <c r="G1290"/>
      <c r="H1290"/>
      <c r="I1290"/>
      <c r="J1290"/>
      <c r="K1290" t="inlineStr">
        <is>
          <t>广东省考</t>
        </is>
      </c>
      <c r="L1290"/>
      <c r="M1290" t="inlineStr">
        <is>
          <t>蟹老板的救生圈的店</t>
        </is>
      </c>
      <c r="N1290">
        <v>6208</v>
      </c>
      <c r="O1290">
        <v>3.9</v>
      </c>
      <c r="P1290">
        <v>760</v>
      </c>
      <c r="Q1290" t="inlineStr">
        <is>
          <t>685ffc6a7590770001ed5ab2</t>
        </is>
      </c>
      <c r="R1290"/>
      <c r="S1290" t="inlineStr">
        <is>
          <t>考公资料</t>
        </is>
      </c>
      <c r="T1290" t="inlineStr">
        <is>
          <t>0.12</t>
        </is>
      </c>
      <c r="U1290" s="3">
        <v>46112.78107638889</v>
      </c>
      <c r="V1290" t="inlineStr">
        <is>
          <t>虚拟产品</t>
        </is>
      </c>
      <c r="W1290" s="3">
        <v>46044</v>
      </c>
      <c r="X1290" t="inlineStr">
        <is>
          <t>01</t>
        </is>
      </c>
      <c r="Y1290" t="inlineStr">
        <is>
          <t>2026-Q1</t>
        </is>
      </c>
    </row>
    <row r="1291" ht="38.25" customHeight="1">
      <c r="A1291" t="inlineStr">
        <is>
          <t>2020-2025年广东省考申论答案对比汇总【一次购买，更新至上岸】</t>
        </is>
      </c>
      <c r="B1291" t="inlineStr">
        <is>
          <t>recv90ikqPLuZt.jpg</t>
        </is>
      </c>
      <c r="C1291" s="2" t="str">
        <f>=HYPERLINK("https://xhslink.com/m/AbOwyT4MyEb", "https://xhslink.com/m/AbOwyT4MyEb")</f>
        <v>https://xhslink.com/m/AbOwyT4MyEb</v>
      </c>
      <c r="D1291"/>
      <c r="E1291">
        <v>884</v>
      </c>
      <c r="F1291">
        <v>9.9</v>
      </c>
      <c r="G1291"/>
      <c r="H1291"/>
      <c r="I1291">
        <v>700</v>
      </c>
      <c r="J1291"/>
      <c r="K1291" t="inlineStr">
        <is>
          <t>广东省考</t>
        </is>
      </c>
      <c r="L1291"/>
      <c r="M1291" t="inlineStr">
        <is>
          <t>枫声在努力的店</t>
        </is>
      </c>
      <c r="N1291">
        <v>21000</v>
      </c>
      <c r="O1291">
        <v>4.39</v>
      </c>
      <c r="P1291">
        <v>3705</v>
      </c>
      <c r="Q1291" t="inlineStr">
        <is>
          <t>68f645edc8f8b8000161187a</t>
        </is>
      </c>
      <c r="R1291" t="inlineStr">
        <is>
          <t>🚫重复</t>
        </is>
      </c>
      <c r="S1291" t="inlineStr">
        <is>
          <t>考公资料</t>
        </is>
      </c>
      <c r="T1291" t="inlineStr">
        <is>
          <t>0.04</t>
        </is>
      </c>
      <c r="U1291" s="3">
        <v>46112.78107638889</v>
      </c>
      <c r="V1291" t="inlineStr">
        <is>
          <t>虚拟产品</t>
        </is>
      </c>
      <c r="W1291" s="3">
        <v>46044</v>
      </c>
      <c r="X1291" t="inlineStr">
        <is>
          <t>01</t>
        </is>
      </c>
      <c r="Y1291" t="inlineStr">
        <is>
          <t>2026-Q1</t>
        </is>
      </c>
    </row>
    <row r="1292" ht="38.25" customHeight="1">
      <c r="A1292" t="inlineStr">
        <is>
          <t>2025广东省情+工作报告+每月时政及习题+全国时政热点押题包更新</t>
        </is>
      </c>
      <c r="B1292" t="inlineStr">
        <is>
          <t>recv90ikqPYXwg.jpg</t>
        </is>
      </c>
      <c r="C1292" s="2" t="str">
        <f>=HYPERLINK("https://xhslink.com/m/wogWVoKOAd", "https://xhslink.com/m/wogWVoKOAd")</f>
        <v>https://xhslink.com/m/wogWVoKOAd</v>
      </c>
      <c r="D1292"/>
      <c r="E1292">
        <v>434</v>
      </c>
      <c r="F1292">
        <v>16.9</v>
      </c>
      <c r="G1292"/>
      <c r="H1292"/>
      <c r="I1292">
        <v>400</v>
      </c>
      <c r="J1292"/>
      <c r="K1292" t="inlineStr">
        <is>
          <t>广东省考</t>
        </is>
      </c>
      <c r="L1292" t="inlineStr">
        <is>
          <t>🔥低粉爆款</t>
        </is>
      </c>
      <c r="M1292" t="inlineStr">
        <is>
          <t>一切都是种子的店</t>
        </is>
      </c>
      <c r="N1292">
        <v>60</v>
      </c>
      <c r="O1292">
        <v>4.32</v>
      </c>
      <c r="P1292">
        <v>3042</v>
      </c>
      <c r="Q1292" t="inlineStr">
        <is>
          <t>6911f86daf86f80001182efb</t>
        </is>
      </c>
      <c r="R1292" t="inlineStr">
        <is>
          <t>🚫重复</t>
        </is>
      </c>
      <c r="S1292" t="inlineStr">
        <is>
          <t>无匹配类别</t>
        </is>
      </c>
      <c r="T1292" t="inlineStr">
        <is>
          <t>7.23</t>
        </is>
      </c>
      <c r="U1292" s="3">
        <v>46112.78107638889</v>
      </c>
      <c r="V1292" t="inlineStr">
        <is>
          <t>虚拟产品</t>
        </is>
      </c>
      <c r="W1292" s="3">
        <v>46044</v>
      </c>
      <c r="X1292" t="inlineStr">
        <is>
          <t>01</t>
        </is>
      </c>
      <c r="Y1292" t="inlineStr">
        <is>
          <t>2026-Q1</t>
        </is>
      </c>
    </row>
    <row r="1293" ht="38.25" customHeight="1">
      <c r="A1293" t="inlineStr">
        <is>
          <t>26各地省考绝密押题密卷（电子版呦，不退不换）</t>
        </is>
      </c>
      <c r="B1293" t="inlineStr">
        <is>
          <t>recv90ikqPdou4.jpg</t>
        </is>
      </c>
      <c r="C1293" s="2" t="str">
        <f>=HYPERLINK("https://xhslink.com/m/9WMam5xLzl2", "https://xhslink.com/m/9WMam5xLzl2")</f>
        <v>https://xhslink.com/m/9WMam5xLzl2</v>
      </c>
      <c r="D1293"/>
      <c r="E1293">
        <v>399</v>
      </c>
      <c r="F1293">
        <v>9.99</v>
      </c>
      <c r="G1293"/>
      <c r="H1293"/>
      <c r="I1293">
        <v>300</v>
      </c>
      <c r="J1293"/>
      <c r="K1293" t="inlineStr">
        <is>
          <t>广东省考</t>
        </is>
      </c>
      <c r="L1293"/>
      <c r="M1293" t="inlineStr">
        <is>
          <t>爱学习的点点的店</t>
        </is>
      </c>
      <c r="N1293">
        <v>1777</v>
      </c>
      <c r="O1293">
        <v>4.24</v>
      </c>
      <c r="P1293">
        <v>7167</v>
      </c>
      <c r="Q1293" t="inlineStr">
        <is>
          <t>691db4bfccb9e00001c6759e</t>
        </is>
      </c>
      <c r="R1293" t="inlineStr">
        <is>
          <t>🚫重复</t>
        </is>
      </c>
      <c r="S1293" t="inlineStr">
        <is>
          <t>考公资料</t>
        </is>
      </c>
      <c r="T1293" t="inlineStr">
        <is>
          <t>0.22</t>
        </is>
      </c>
      <c r="U1293" s="3">
        <v>46112.78107638889</v>
      </c>
      <c r="V1293" t="inlineStr">
        <is>
          <t>虚拟产品</t>
        </is>
      </c>
      <c r="W1293" s="3">
        <v>46044</v>
      </c>
      <c r="X1293" t="inlineStr">
        <is>
          <t>01</t>
        </is>
      </c>
      <c r="Y1293" t="inlineStr">
        <is>
          <t>2026-Q1</t>
        </is>
      </c>
    </row>
    <row r="1294" ht="38.25" customHeight="1">
      <c r="A1294" t="inlineStr">
        <is>
          <t>广东省考/广东时政知识点/广东时政习题/广东省情知识</t>
        </is>
      </c>
      <c r="B1294" t="inlineStr">
        <is>
          <t>recv90ikqPmweW.jpg</t>
        </is>
      </c>
      <c r="C1294" s="2" t="str">
        <f>=HYPERLINK("https://xhslink.com/m/40DIofgBJEU", "https://xhslink.com/m/40DIofgBJEU")</f>
        <v>https://xhslink.com/m/40DIofgBJEU</v>
      </c>
      <c r="D1294"/>
      <c r="E1294">
        <v>243</v>
      </c>
      <c r="F1294">
        <v>19.9</v>
      </c>
      <c r="G1294"/>
      <c r="H1294"/>
      <c r="I1294">
        <v>200</v>
      </c>
      <c r="J1294"/>
      <c r="K1294" t="inlineStr">
        <is>
          <t>广东省考</t>
        </is>
      </c>
      <c r="L1294" t="inlineStr">
        <is>
          <t>🔥低粉爆款</t>
        </is>
      </c>
      <c r="M1294" t="inlineStr">
        <is>
          <t>陆以北的店</t>
        </is>
      </c>
      <c r="N1294">
        <v>22</v>
      </c>
      <c r="O1294">
        <v>3.83</v>
      </c>
      <c r="P1294">
        <v>667</v>
      </c>
      <c r="Q1294" t="inlineStr">
        <is>
          <t>68fb116dc8f8b800018ca082</t>
        </is>
      </c>
      <c r="R1294"/>
      <c r="S1294" t="inlineStr">
        <is>
          <t>考公资料</t>
        </is>
      </c>
      <c r="T1294" t="inlineStr">
        <is>
          <t>11.05</t>
        </is>
      </c>
      <c r="U1294" s="3">
        <v>46112.78107638889</v>
      </c>
      <c r="V1294" t="inlineStr">
        <is>
          <t>虚拟产品</t>
        </is>
      </c>
      <c r="W1294" s="3">
        <v>46044</v>
      </c>
      <c r="X1294" t="inlineStr">
        <is>
          <t>01</t>
        </is>
      </c>
      <c r="Y1294" t="inlineStr">
        <is>
          <t>2026-Q1</t>
        </is>
      </c>
    </row>
    <row r="1295" ht="38.25" customHeight="1">
      <c r="A1295" t="inlineStr">
        <is>
          <t>2026山东省考本土素材、案例汇编。山东省考必备。电子版发货</t>
        </is>
      </c>
      <c r="B1295" t="inlineStr">
        <is>
          <t>recv90ikqPJyyH.jpg</t>
        </is>
      </c>
      <c r="C1295" s="2" t="str">
        <f>=HYPERLINK("https://xhslink.com/m/24awc2Qwyfs", "https://xhslink.com/m/24awc2Qwyfs")</f>
        <v>https://xhslink.com/m/24awc2Qwyfs</v>
      </c>
      <c r="D1295"/>
      <c r="E1295">
        <v>2170</v>
      </c>
      <c r="F1295">
        <v>19.9</v>
      </c>
      <c r="G1295"/>
      <c r="H1295"/>
      <c r="I1295">
        <v>2000</v>
      </c>
      <c r="J1295"/>
      <c r="K1295" t="inlineStr">
        <is>
          <t>山东省考</t>
        </is>
      </c>
      <c r="L1295"/>
      <c r="M1295" t="inlineStr">
        <is>
          <t>公考热点充电桩的店</t>
        </is>
      </c>
      <c r="N1295">
        <v>5330</v>
      </c>
      <c r="O1295">
        <v>4.25</v>
      </c>
      <c r="P1295">
        <v>3265</v>
      </c>
      <c r="Q1295" t="inlineStr">
        <is>
          <t>690dc1f443b17c0001b1ab18</t>
        </is>
      </c>
      <c r="R1295"/>
      <c r="S1295" t="inlineStr">
        <is>
          <t>考公资料</t>
        </is>
      </c>
      <c r="T1295" t="inlineStr">
        <is>
          <t>0.41</t>
        </is>
      </c>
      <c r="U1295" s="3">
        <v>46112.78107638889</v>
      </c>
      <c r="V1295" t="inlineStr">
        <is>
          <t>虚拟产品</t>
        </is>
      </c>
      <c r="W1295" s="3">
        <v>46044</v>
      </c>
      <c r="X1295" t="inlineStr">
        <is>
          <t>01</t>
        </is>
      </c>
      <c r="Y1295" t="inlineStr">
        <is>
          <t>2026-Q1</t>
        </is>
      </c>
    </row>
    <row r="1296" ht="38.25" customHeight="1">
      <c r="A1296" t="inlineStr">
        <is>
          <t>2026纸质版公务员国考省考历年真题行测申论套卷考前冲刺刷题必备</t>
        </is>
      </c>
      <c r="B1296" t="inlineStr">
        <is>
          <t>recv90ikqPhh7M.jpg</t>
        </is>
      </c>
      <c r="C1296" s="2" t="str">
        <f>=HYPERLINK("https://xhslink.com/m/7AAPTZUGHi6", "https://xhslink.com/m/7AAPTZUGHi6")</f>
        <v>https://xhslink.com/m/7AAPTZUGHi6</v>
      </c>
      <c r="D1296"/>
      <c r="E1296">
        <v>2003</v>
      </c>
      <c r="F1296">
        <v>27</v>
      </c>
      <c r="G1296"/>
      <c r="H1296"/>
      <c r="I1296">
        <v>1000</v>
      </c>
      <c r="J1296"/>
      <c r="K1296" t="inlineStr">
        <is>
          <t>山东省考</t>
        </is>
      </c>
      <c r="L1296" t="inlineStr">
        <is>
          <t>🔥低粉爆款</t>
        </is>
      </c>
      <c r="M1296" t="inlineStr">
        <is>
          <t>辰景蕴要上岸的店</t>
        </is>
      </c>
      <c r="N1296">
        <v>208</v>
      </c>
      <c r="O1296">
        <v>4.64</v>
      </c>
      <c r="P1296">
        <v>6116</v>
      </c>
      <c r="Q1296" t="inlineStr">
        <is>
          <t>68a92bcdec7fed0001cde2c7</t>
        </is>
      </c>
      <c r="R1296" t="inlineStr">
        <is>
          <t>🚫重复</t>
        </is>
      </c>
      <c r="S1296" t="inlineStr">
        <is>
          <t>考公资料</t>
        </is>
      </c>
      <c r="T1296" t="inlineStr">
        <is>
          <t>9.63</t>
        </is>
      </c>
      <c r="U1296" s="3">
        <v>46112.78107638889</v>
      </c>
      <c r="V1296" t="inlineStr">
        <is>
          <t>虚拟产品</t>
        </is>
      </c>
      <c r="W1296" s="3">
        <v>46044</v>
      </c>
      <c r="X1296" t="inlineStr">
        <is>
          <t>01</t>
        </is>
      </c>
      <c r="Y1296" t="inlineStr">
        <is>
          <t>2026-Q1</t>
        </is>
      </c>
    </row>
    <row r="1297" ht="38.25" customHeight="1">
      <c r="A1297" t="inlineStr">
        <is>
          <t>2025山东时政知识点/山东时政习题/山东省情知识/山东省情习题</t>
        </is>
      </c>
      <c r="B1297" t="inlineStr">
        <is>
          <t>recv90ikqPvHo7.jpg</t>
        </is>
      </c>
      <c r="C1297" s="2" t="str">
        <f>=HYPERLINK("https://xhslink.com/m/1HA4FJlUvkY", "https://xhslink.com/m/1HA4FJlUvkY")</f>
        <v>https://xhslink.com/m/1HA4FJlUvkY</v>
      </c>
      <c r="D1297"/>
      <c r="E1297">
        <v>1197</v>
      </c>
      <c r="F1297">
        <v>19.9</v>
      </c>
      <c r="G1297"/>
      <c r="H1297"/>
      <c r="I1297">
        <v>1000</v>
      </c>
      <c r="J1297"/>
      <c r="K1297" t="inlineStr">
        <is>
          <t>山东省考</t>
        </is>
      </c>
      <c r="L1297"/>
      <c r="M1297" t="inlineStr">
        <is>
          <t>月瑾瑾的店</t>
        </is>
      </c>
      <c r="N1297">
        <v>626</v>
      </c>
      <c r="O1297">
        <v>4.17</v>
      </c>
      <c r="P1297">
        <v>2530</v>
      </c>
      <c r="Q1297" t="inlineStr">
        <is>
          <t>68fdf483f5d04800014c09b5</t>
        </is>
      </c>
      <c r="R1297" t="inlineStr">
        <is>
          <t>🚫重复</t>
        </is>
      </c>
      <c r="S1297" t="inlineStr">
        <is>
          <t>考公资料</t>
        </is>
      </c>
      <c r="T1297" t="inlineStr">
        <is>
          <t>1.91</t>
        </is>
      </c>
      <c r="U1297" s="3">
        <v>46112.78107638889</v>
      </c>
      <c r="V1297" t="inlineStr">
        <is>
          <t>虚拟产品</t>
        </is>
      </c>
      <c r="W1297" s="3">
        <v>46044</v>
      </c>
      <c r="X1297" t="inlineStr">
        <is>
          <t>01</t>
        </is>
      </c>
      <c r="Y1297" t="inlineStr">
        <is>
          <t>2026-Q1</t>
        </is>
      </c>
    </row>
    <row r="1298" ht="38.25" customHeight="1">
      <c r="A1298" t="inlineStr">
        <is>
          <t>26山东省考B类申论模板及备考攻略（标题/开头/结尾/本土素材）</t>
        </is>
      </c>
      <c r="B1298" t="inlineStr">
        <is>
          <t>recv90ikqPLD3L.jpg</t>
        </is>
      </c>
      <c r="C1298" s="2" t="str">
        <f>=HYPERLINK("https://xhslink.com/m/2tEuxJIYdWA", "https://xhslink.com/m/2tEuxJIYdWA")</f>
        <v>https://xhslink.com/m/2tEuxJIYdWA</v>
      </c>
      <c r="D1298"/>
      <c r="E1298">
        <v>603</v>
      </c>
      <c r="F1298">
        <v>4.99</v>
      </c>
      <c r="G1298"/>
      <c r="H1298"/>
      <c r="I1298">
        <v>600</v>
      </c>
      <c r="J1298"/>
      <c r="K1298" t="inlineStr">
        <is>
          <t>山东省考</t>
        </is>
      </c>
      <c r="L1298"/>
      <c r="M1298" t="inlineStr">
        <is>
          <t>软萌奶糖兔的店</t>
        </is>
      </c>
      <c r="N1298">
        <v>1093</v>
      </c>
      <c r="O1298">
        <v>4.38</v>
      </c>
      <c r="P1298">
        <v>4342</v>
      </c>
      <c r="Q1298" t="inlineStr">
        <is>
          <t>6925caaab8c508000174ff68</t>
        </is>
      </c>
      <c r="R1298"/>
      <c r="S1298" t="inlineStr">
        <is>
          <t>考公资料</t>
        </is>
      </c>
      <c r="T1298" t="inlineStr">
        <is>
          <t>0.55</t>
        </is>
      </c>
      <c r="U1298" s="3">
        <v>46112.78107638889</v>
      </c>
      <c r="V1298" t="inlineStr">
        <is>
          <t>虚拟产品</t>
        </is>
      </c>
      <c r="W1298" s="3">
        <v>46044</v>
      </c>
      <c r="X1298" t="inlineStr">
        <is>
          <t>01</t>
        </is>
      </c>
      <c r="Y1298" t="inlineStr">
        <is>
          <t>2026-Q1</t>
        </is>
      </c>
    </row>
    <row r="1299" ht="38.25" customHeight="1">
      <c r="A1299" t="inlineStr">
        <is>
          <t>小学语文教资面试/教招面试/试讲教案逐字稿413篇/结构化/答辩</t>
        </is>
      </c>
      <c r="B1299" t="inlineStr">
        <is>
          <t>recv90ikqPrPPj.jpg</t>
        </is>
      </c>
      <c r="C1299" s="2" t="str">
        <f>=HYPERLINK("https://xhslink.com/m/MdC0rfW5ab", "https://xhslink.com/m/MdC0rfW5ab")</f>
        <v>https://xhslink.com/m/MdC0rfW5ab</v>
      </c>
      <c r="D1299"/>
      <c r="E1299">
        <v>1866</v>
      </c>
      <c r="F1299">
        <v>1.5</v>
      </c>
      <c r="G1299"/>
      <c r="H1299"/>
      <c r="I1299">
        <v>400</v>
      </c>
      <c r="J1299"/>
      <c r="K1299" t="inlineStr">
        <is>
          <t>教师资格培训</t>
        </is>
      </c>
      <c r="L1299"/>
      <c r="M1299" t="inlineStr">
        <is>
          <t>考考资料库的店</t>
        </is>
      </c>
      <c r="N1299">
        <v>2764</v>
      </c>
      <c r="O1299">
        <v>3.99</v>
      </c>
      <c r="P1299">
        <v>11000</v>
      </c>
      <c r="Q1299" t="inlineStr">
        <is>
          <t>68f9c46ece94ee00018dad70</t>
        </is>
      </c>
      <c r="R1299" t="inlineStr">
        <is>
          <t>🚫重复</t>
        </is>
      </c>
      <c r="S1299" t="inlineStr">
        <is>
          <t>教资资料</t>
        </is>
      </c>
      <c r="T1299" t="inlineStr">
        <is>
          <t>0.68</t>
        </is>
      </c>
      <c r="U1299" s="3">
        <v>46112.78107638889</v>
      </c>
      <c r="V1299" t="inlineStr">
        <is>
          <t>虚拟产品</t>
        </is>
      </c>
      <c r="W1299" s="3">
        <v>46044</v>
      </c>
      <c r="X1299" t="inlineStr">
        <is>
          <t>01</t>
        </is>
      </c>
      <c r="Y1299" t="inlineStr">
        <is>
          <t>2026-Q1</t>
        </is>
      </c>
    </row>
    <row r="1300" ht="38.25" customHeight="1">
      <c r="A1300" t="inlineStr">
        <is>
          <t>25下教师资格证面试小学数学逐字稿结构化答辩真题试讲视频</t>
        </is>
      </c>
      <c r="B1300" t="inlineStr">
        <is>
          <t>recv90ikqPv52L.jpg</t>
        </is>
      </c>
      <c r="C1300" s="2" t="str">
        <f>=HYPERLINK("https://xhslink.com/m/2v9CRa4meAI", "https://xhslink.com/m/2v9CRa4meAI")</f>
        <v>https://xhslink.com/m/2v9CRa4meAI</v>
      </c>
      <c r="D1300"/>
      <c r="E1300">
        <v>463</v>
      </c>
      <c r="F1300">
        <v>2.9</v>
      </c>
      <c r="G1300"/>
      <c r="H1300"/>
      <c r="I1300">
        <v>300</v>
      </c>
      <c r="J1300"/>
      <c r="K1300" t="inlineStr">
        <is>
          <t>教师资格培训</t>
        </is>
      </c>
      <c r="L1300" t="inlineStr">
        <is>
          <t>🔥低粉爆款</t>
        </is>
      </c>
      <c r="M1300" t="inlineStr">
        <is>
          <t>财财啊~的店</t>
        </is>
      </c>
      <c r="N1300">
        <v>21</v>
      </c>
      <c r="O1300">
        <v>4.2</v>
      </c>
      <c r="P1300">
        <v>575</v>
      </c>
      <c r="Q1300" t="inlineStr">
        <is>
          <t>6906a10245459000019ba431</t>
        </is>
      </c>
      <c r="R1300"/>
      <c r="S1300" t="inlineStr">
        <is>
          <t>教资资料</t>
        </is>
      </c>
      <c r="T1300" t="inlineStr">
        <is>
          <t>22.05</t>
        </is>
      </c>
      <c r="U1300" s="3">
        <v>46112.78107638889</v>
      </c>
      <c r="V1300" t="inlineStr">
        <is>
          <t>虚拟产品</t>
        </is>
      </c>
      <c r="W1300" s="3">
        <v>46044</v>
      </c>
      <c r="X1300" t="inlineStr">
        <is>
          <t>01</t>
        </is>
      </c>
      <c r="Y1300" t="inlineStr">
        <is>
          <t>2026-Q1</t>
        </is>
      </c>
    </row>
    <row r="1301" ht="38.25" customHeight="1">
      <c r="A1301" t="inlineStr">
        <is>
          <t>智泓 · 备考2026年6月大学英语四级真题试卷四六级考试英语真题资料cet4</t>
        </is>
      </c>
      <c r="B1301" t="inlineStr">
        <is>
          <t>recv90ikqPpVA1.jpg</t>
        </is>
      </c>
      <c r="C1301" s="2" t="str">
        <f>=HYPERLINK("https://xhslink.com/m/4PhypjN8Et8", "https://xhslink.com/m/4PhypjN8Et8")</f>
        <v>https://xhslink.com/m/4PhypjN8Et8</v>
      </c>
      <c r="D1301"/>
      <c r="E1301">
        <v>6597</v>
      </c>
      <c r="F1301">
        <v>26.8</v>
      </c>
      <c r="G1301"/>
      <c r="H1301"/>
      <c r="I1301">
        <v>1000</v>
      </c>
      <c r="J1301"/>
      <c r="K1301" t="inlineStr">
        <is>
          <t>四六级高频词汇速记手册</t>
        </is>
      </c>
      <c r="L1301"/>
      <c r="M1301" t="inlineStr">
        <is>
          <t>智泓图书旗舰店</t>
        </is>
      </c>
      <c r="N1301">
        <v>5159</v>
      </c>
      <c r="O1301">
        <v>4.78</v>
      </c>
      <c r="P1301">
        <v>94000</v>
      </c>
      <c r="Q1301" t="inlineStr">
        <is>
          <t>65e17eacb3f28d000109f9ea</t>
        </is>
      </c>
      <c r="R1301" t="inlineStr">
        <is>
          <t>🚫重复</t>
        </is>
      </c>
      <c r="S1301" t="inlineStr">
        <is>
          <t>英语资料</t>
        </is>
      </c>
      <c r="T1301" t="inlineStr">
        <is>
          <t>1.28</t>
        </is>
      </c>
      <c r="U1301" s="3">
        <v>46112.78107638889</v>
      </c>
      <c r="V1301" t="inlineStr">
        <is>
          <t>虚拟产品</t>
        </is>
      </c>
      <c r="W1301" s="3">
        <v>46044</v>
      </c>
      <c r="X1301" t="inlineStr">
        <is>
          <t>01</t>
        </is>
      </c>
      <c r="Y1301" t="inlineStr">
        <is>
          <t>2026-Q1</t>
        </is>
      </c>
    </row>
    <row r="1302" ht="38.25" customHeight="1">
      <c r="A1302" t="inlineStr">
        <is>
          <t>英语四六级单词高频词四六级大纲词核心词真题单词考频电子版pdf</t>
        </is>
      </c>
      <c r="B1302" t="inlineStr">
        <is>
          <t>recv90ikqPBfR8.jpg</t>
        </is>
      </c>
      <c r="C1302" s="2" t="str">
        <f>=HYPERLINK("https://xhslink.com/m/2E8qJOfAqmW", "https://xhslink.com/m/2E8qJOfAqmW")</f>
        <v>https://xhslink.com/m/2E8qJOfAqmW</v>
      </c>
      <c r="D1302"/>
      <c r="E1302">
        <v>1456</v>
      </c>
      <c r="F1302">
        <v>6.99</v>
      </c>
      <c r="G1302"/>
      <c r="H1302"/>
      <c r="I1302">
        <v>1000</v>
      </c>
      <c r="J1302"/>
      <c r="K1302" t="inlineStr">
        <is>
          <t>四六级高频词汇速记手册</t>
        </is>
      </c>
      <c r="L1302"/>
      <c r="M1302" t="inlineStr">
        <is>
          <t>决战英语考试鸭的店</t>
        </is>
      </c>
      <c r="N1302">
        <v>9171</v>
      </c>
      <c r="O1302">
        <v>4.16</v>
      </c>
      <c r="P1302">
        <v>1487</v>
      </c>
      <c r="Q1302" t="inlineStr">
        <is>
          <t>68e77693c753610001bc8303</t>
        </is>
      </c>
      <c r="R1302" t="inlineStr">
        <is>
          <t>🚫重复</t>
        </is>
      </c>
      <c r="S1302" t="inlineStr">
        <is>
          <t>英语资料</t>
        </is>
      </c>
      <c r="T1302" t="inlineStr">
        <is>
          <t>0.16</t>
        </is>
      </c>
      <c r="U1302" s="3">
        <v>46112.78107638889</v>
      </c>
      <c r="V1302" t="inlineStr">
        <is>
          <t>虚拟产品</t>
        </is>
      </c>
      <c r="W1302" s="3">
        <v>46044</v>
      </c>
      <c r="X1302" t="inlineStr">
        <is>
          <t>01</t>
        </is>
      </c>
      <c r="Y1302" t="inlineStr">
        <is>
          <t>2026-Q1</t>
        </is>
      </c>
    </row>
    <row r="1303" ht="38.25" customHeight="1">
      <c r="A1303" t="inlineStr">
        <is>
          <t>不背导入大雁四六级高频核心词汇</t>
        </is>
      </c>
      <c r="B1303" t="inlineStr">
        <is>
          <t>recv90ikqPr8zU.jpg</t>
        </is>
      </c>
      <c r="C1303" s="2" t="str">
        <f>=HYPERLINK("https://xhslink.com/m/7mnBZlxdNmC", "https://xhslink.com/m/7mnBZlxdNmC")</f>
        <v>https://xhslink.com/m/7mnBZlxdNmC</v>
      </c>
      <c r="D1303"/>
      <c r="E1303">
        <v>1115</v>
      </c>
      <c r="F1303">
        <v>2.22</v>
      </c>
      <c r="G1303"/>
      <c r="H1303"/>
      <c r="I1303">
        <v>1000</v>
      </c>
      <c r="J1303"/>
      <c r="K1303" t="inlineStr">
        <is>
          <t>四六级高频词汇速记手册</t>
        </is>
      </c>
      <c r="L1303" t="inlineStr">
        <is>
          <t>🔥低粉爆款</t>
        </is>
      </c>
      <c r="M1303" t="inlineStr">
        <is>
          <t>冰灵灵的店</t>
        </is>
      </c>
      <c r="N1303">
        <v>91</v>
      </c>
      <c r="O1303">
        <v>4.27</v>
      </c>
      <c r="P1303">
        <v>1282</v>
      </c>
      <c r="Q1303" t="inlineStr">
        <is>
          <t>68eb960d4daabe0001adf62b</t>
        </is>
      </c>
      <c r="R1303"/>
      <c r="S1303" t="inlineStr">
        <is>
          <t>英语资料</t>
        </is>
      </c>
      <c r="T1303" t="inlineStr">
        <is>
          <t>12.25</t>
        </is>
      </c>
      <c r="U1303" s="3">
        <v>46112.78107638889</v>
      </c>
      <c r="V1303" t="inlineStr">
        <is>
          <t>虚拟产品</t>
        </is>
      </c>
      <c r="W1303" s="3">
        <v>46044</v>
      </c>
      <c r="X1303" t="inlineStr">
        <is>
          <t>01</t>
        </is>
      </c>
      <c r="Y1303" t="inlineStr">
        <is>
          <t>2026-Q1</t>
        </is>
      </c>
    </row>
    <row r="1304" ht="38.25" customHeight="1">
      <c r="A1304" t="inlineStr">
        <is>
          <t>2025年大学英语四六级历史真题词汇听力阅读音频冲刺电子版资料包</t>
        </is>
      </c>
      <c r="B1304" t="inlineStr">
        <is>
          <t>recv90ikqPzj9W.jpg</t>
        </is>
      </c>
      <c r="C1304" s="2" t="str">
        <f>=HYPERLINK("https://xhslink.com/m/9Cq6nJzxA1Z", "https://xhslink.com/m/9Cq6nJzxA1Z")</f>
        <v>https://xhslink.com/m/9Cq6nJzxA1Z</v>
      </c>
      <c r="D1304"/>
      <c r="E1304">
        <v>857</v>
      </c>
      <c r="F1304">
        <v>2.98</v>
      </c>
      <c r="G1304"/>
      <c r="H1304"/>
      <c r="I1304">
        <v>800</v>
      </c>
      <c r="J1304"/>
      <c r="K1304" t="inlineStr">
        <is>
          <t>四六级高频词汇速记手册</t>
        </is>
      </c>
      <c r="L1304"/>
      <c r="M1304" t="inlineStr">
        <is>
          <t>考百分教育的店</t>
        </is>
      </c>
      <c r="N1304">
        <v>1814</v>
      </c>
      <c r="O1304">
        <v>4.36</v>
      </c>
      <c r="P1304">
        <v>5982</v>
      </c>
      <c r="Q1304" t="inlineStr">
        <is>
          <t>690335559de01f0001059a78</t>
        </is>
      </c>
      <c r="R1304" t="inlineStr">
        <is>
          <t>🚫重复</t>
        </is>
      </c>
      <c r="S1304" t="inlineStr">
        <is>
          <t>英语资料</t>
        </is>
      </c>
      <c r="T1304" t="inlineStr">
        <is>
          <t>0.47</t>
        </is>
      </c>
      <c r="U1304" s="3">
        <v>46112.78107638889</v>
      </c>
      <c r="V1304" t="inlineStr">
        <is>
          <t>虚拟产品</t>
        </is>
      </c>
      <c r="W1304" s="3">
        <v>46044</v>
      </c>
      <c r="X1304" t="inlineStr">
        <is>
          <t>01</t>
        </is>
      </c>
      <c r="Y1304" t="inlineStr">
        <is>
          <t>2026-Q1</t>
        </is>
      </c>
    </row>
    <row r="1305" ht="38.25" customHeight="1">
      <c r="A1305" t="inlineStr">
        <is>
          <t>初中语文数学英语物理化生物史地道法知识点总结电子版素材多版本</t>
        </is>
      </c>
      <c r="B1305" t="inlineStr">
        <is>
          <t>recv90ikqP3WjY.jpg</t>
        </is>
      </c>
      <c r="C1305" s="2" t="str">
        <f>=HYPERLINK("https://xhslink.com/m/7MifltFRyXq", "https://xhslink.com/m/7MifltFRyXq")</f>
        <v>https://xhslink.com/m/7MifltFRyXq</v>
      </c>
      <c r="D1305"/>
      <c r="E1305">
        <v>25000</v>
      </c>
      <c r="F1305">
        <v>4.9</v>
      </c>
      <c r="G1305"/>
      <c r="H1305"/>
      <c r="I1305">
        <v>7000</v>
      </c>
      <c r="J1305"/>
      <c r="K1305" t="inlineStr">
        <is>
          <t>知识</t>
        </is>
      </c>
      <c r="L1305"/>
      <c r="M1305" t="inlineStr">
        <is>
          <t>赵老师的资料库的店</t>
        </is>
      </c>
      <c r="N1305">
        <v>15000</v>
      </c>
      <c r="O1305">
        <v>4.41</v>
      </c>
      <c r="P1305">
        <v>48000</v>
      </c>
      <c r="Q1305" t="inlineStr">
        <is>
          <t>672cd74310adb50001c57163</t>
        </is>
      </c>
      <c r="R1305" t="inlineStr">
        <is>
          <t>🚫重复</t>
        </is>
      </c>
      <c r="S1305" t="inlineStr">
        <is>
          <t>中小学教辅/教材</t>
        </is>
      </c>
      <c r="T1305" t="inlineStr">
        <is>
          <t>1.67</t>
        </is>
      </c>
      <c r="U1305" s="3">
        <v>46112.78107638889</v>
      </c>
      <c r="V1305" t="inlineStr">
        <is>
          <t>虚拟产品</t>
        </is>
      </c>
      <c r="W1305" s="3">
        <v>46044</v>
      </c>
      <c r="X1305" t="inlineStr">
        <is>
          <t>01</t>
        </is>
      </c>
      <c r="Y1305" t="inlineStr">
        <is>
          <t>2026-Q1</t>
        </is>
      </c>
    </row>
    <row r="1306" ht="38.25" customHeight="1">
      <c r="A1306" t="inlineStr">
        <is>
          <t>多模态+大模型2本学习笔记=大厂一天的实习工资</t>
        </is>
      </c>
      <c r="B1306" t="inlineStr">
        <is>
          <t>recv90ikqP1hUV.jpg</t>
        </is>
      </c>
      <c r="C1306" s="2" t="str">
        <f>=HYPERLINK("https://xhslink.com/m/358JI9rmtYX", "https://xhslink.com/m/358JI9rmtYX")</f>
        <v>https://xhslink.com/m/358JI9rmtYX</v>
      </c>
      <c r="D1306"/>
      <c r="E1306">
        <v>1469</v>
      </c>
      <c r="F1306">
        <v>398</v>
      </c>
      <c r="G1306"/>
      <c r="H1306"/>
      <c r="I1306">
        <v>300</v>
      </c>
      <c r="J1306"/>
      <c r="K1306" t="inlineStr">
        <is>
          <t>知识</t>
        </is>
      </c>
      <c r="L1306"/>
      <c r="M1306" t="inlineStr">
        <is>
          <t>古希腊掌管代码的神的店</t>
        </is>
      </c>
      <c r="N1306">
        <v>18000</v>
      </c>
      <c r="O1306">
        <v>3.9</v>
      </c>
      <c r="P1306">
        <v>2671</v>
      </c>
      <c r="Q1306" t="inlineStr">
        <is>
          <t>67dc36b4e317a300015f1f8e</t>
        </is>
      </c>
      <c r="R1306"/>
      <c r="S1306" t="inlineStr">
        <is>
          <t>AI</t>
        </is>
      </c>
      <c r="T1306" t="inlineStr">
        <is>
          <t>0.08</t>
        </is>
      </c>
      <c r="U1306" s="3">
        <v>46112.78107638889</v>
      </c>
      <c r="V1306" t="inlineStr">
        <is>
          <t>虚拟产品</t>
        </is>
      </c>
      <c r="W1306" s="3">
        <v>46044</v>
      </c>
      <c r="X1306" t="inlineStr">
        <is>
          <t>01</t>
        </is>
      </c>
      <c r="Y1306" t="inlineStr">
        <is>
          <t>2026-Q1</t>
        </is>
      </c>
    </row>
    <row r="1307" ht="38.25" customHeight="1">
      <c r="A1307" t="inlineStr">
        <is>
          <t>2025品牌策划营销推广sop必备全套表格执行手册大全（170份+）</t>
        </is>
      </c>
      <c r="B1307" t="inlineStr">
        <is>
          <t>recv90ikqPbJqR.jpg</t>
        </is>
      </c>
      <c r="C1307" s="2" t="str">
        <f>=HYPERLINK("https://xhslink.com/m/1R20Erxljpj", "https://xhslink.com/m/1R20Erxljpj")</f>
        <v>https://xhslink.com/m/1R20Erxljpj</v>
      </c>
      <c r="D1307"/>
      <c r="E1307">
        <v>1976</v>
      </c>
      <c r="F1307">
        <v>19.9</v>
      </c>
      <c r="G1307"/>
      <c r="H1307"/>
      <c r="I1307">
        <v>1000</v>
      </c>
      <c r="J1307"/>
      <c r="K1307" t="inlineStr">
        <is>
          <t>市场营销</t>
        </is>
      </c>
      <c r="L1307"/>
      <c r="M1307" t="inlineStr">
        <is>
          <t>BrandSpark的店</t>
        </is>
      </c>
      <c r="N1307">
        <v>2122</v>
      </c>
      <c r="O1307">
        <v>4.29</v>
      </c>
      <c r="P1307">
        <v>2248</v>
      </c>
      <c r="Q1307" t="inlineStr">
        <is>
          <t>68c0e6602773df0001e9a78a</t>
        </is>
      </c>
      <c r="R1307"/>
      <c r="S1307" t="inlineStr">
        <is>
          <t>运营资料</t>
        </is>
      </c>
      <c r="T1307" t="inlineStr">
        <is>
          <t>0.93</t>
        </is>
      </c>
      <c r="U1307" s="3">
        <v>46112.78107638889</v>
      </c>
      <c r="V1307" t="inlineStr">
        <is>
          <t>虚拟产品</t>
        </is>
      </c>
      <c r="W1307" s="3">
        <v>46044</v>
      </c>
      <c r="X1307" t="inlineStr">
        <is>
          <t>01</t>
        </is>
      </c>
      <c r="Y1307" t="inlineStr">
        <is>
          <t>2026-Q1</t>
        </is>
      </c>
    </row>
    <row r="1308" ht="38.25" customHeight="1">
      <c r="A1308" t="inlineStr">
        <is>
          <t>环球兴学网校 · 中级经济师零基础畅学经济基础人力工商金融财税建筑资料包</t>
        </is>
      </c>
      <c r="B1308" t="inlineStr">
        <is>
          <t>recv90ikqPNg1z.jpg</t>
        </is>
      </c>
      <c r="C1308" s="2" t="str">
        <f>=HYPERLINK("https://xhslink.com/m/58iICYO9G6V", "https://xhslink.com/m/58iICYO9G6V")</f>
        <v>https://xhslink.com/m/58iICYO9G6V</v>
      </c>
      <c r="D1308"/>
      <c r="E1308">
        <v>13000</v>
      </c>
      <c r="F1308">
        <v>0.1</v>
      </c>
      <c r="G1308"/>
      <c r="H1308"/>
      <c r="I1308">
        <v>800</v>
      </c>
      <c r="J1308"/>
      <c r="K1308" t="inlineStr">
        <is>
          <t>经济师培训</t>
        </is>
      </c>
      <c r="L1308"/>
      <c r="M1308" t="inlineStr">
        <is>
          <t>环球兴学网校教育培训旗舰店</t>
        </is>
      </c>
      <c r="N1308">
        <v>6100</v>
      </c>
      <c r="O1308">
        <v>4.58</v>
      </c>
      <c r="P1308">
        <v>17000</v>
      </c>
      <c r="Q1308" t="inlineStr">
        <is>
          <t>665ffe953e1f3e0001f3ef9a</t>
        </is>
      </c>
      <c r="R1308" t="inlineStr">
        <is>
          <t>🚫重复</t>
        </is>
      </c>
      <c r="S1308" t="inlineStr">
        <is>
          <t>会计资料</t>
        </is>
      </c>
      <c r="T1308" t="inlineStr">
        <is>
          <t>2.13</t>
        </is>
      </c>
      <c r="U1308" s="3">
        <v>46112.78107638889</v>
      </c>
      <c r="V1308" t="inlineStr">
        <is>
          <t>虚拟产品</t>
        </is>
      </c>
      <c r="W1308" s="3">
        <v>46044</v>
      </c>
      <c r="X1308" t="inlineStr">
        <is>
          <t>01</t>
        </is>
      </c>
      <c r="Y1308" t="inlineStr">
        <is>
          <t>2026-Q1</t>
        </is>
      </c>
    </row>
    <row r="1309" ht="38.25" customHeight="1">
      <c r="A1309" t="inlineStr">
        <is>
          <t>小初学生零基础简单易学英文歌动画视频歌单推荐带伴奏mp3mp4音频</t>
        </is>
      </c>
      <c r="B1309" t="inlineStr">
        <is>
          <t>recv90ikqPvzvE.jpg</t>
        </is>
      </c>
      <c r="C1309" s="2" t="str">
        <f>=HYPERLINK("https://xhslink.com/m/2Htkd9fDsWA", "https://xhslink.com/m/2Htkd9fDsWA")</f>
        <v>https://xhslink.com/m/2Htkd9fDsWA</v>
      </c>
      <c r="D1309"/>
      <c r="E1309">
        <v>1793</v>
      </c>
      <c r="F1309">
        <v>6.66</v>
      </c>
      <c r="G1309"/>
      <c r="H1309"/>
      <c r="I1309">
        <v>900</v>
      </c>
      <c r="J1309"/>
      <c r="K1309" t="inlineStr">
        <is>
          <t>音乐</t>
        </is>
      </c>
      <c r="L1309"/>
      <c r="M1309" t="inlineStr">
        <is>
          <t>颖子星的店</t>
        </is>
      </c>
      <c r="N1309">
        <v>7413</v>
      </c>
      <c r="O1309">
        <v>4.3</v>
      </c>
      <c r="P1309">
        <v>2990</v>
      </c>
      <c r="Q1309" t="inlineStr">
        <is>
          <t>677b7a9346da3900016055f2</t>
        </is>
      </c>
      <c r="R1309"/>
      <c r="S1309" t="inlineStr">
        <is>
          <t>中小学教辅/教材</t>
        </is>
      </c>
      <c r="T1309" t="inlineStr">
        <is>
          <t>0.24</t>
        </is>
      </c>
      <c r="U1309" s="3">
        <v>46112.78107638889</v>
      </c>
      <c r="V1309" t="inlineStr">
        <is>
          <t>虚拟产品</t>
        </is>
      </c>
      <c r="W1309" s="3">
        <v>46044</v>
      </c>
      <c r="X1309" t="inlineStr">
        <is>
          <t>01</t>
        </is>
      </c>
      <c r="Y1309" t="inlineStr">
        <is>
          <t>2026-Q1</t>
        </is>
      </c>
    </row>
    <row r="1310" ht="38.25" customHeight="1">
      <c r="A1310" t="inlineStr">
        <is>
          <t>10首震撼大气背景音乐包</t>
        </is>
      </c>
      <c r="B1310" t="inlineStr">
        <is>
          <t>recv90ikqPKTar.jpg</t>
        </is>
      </c>
      <c r="C1310" s="2" t="str">
        <f>=HYPERLINK("https://xhslink.com/m/8z16WaQCj8T", "https://xhslink.com/m/8z16WaQCj8T")</f>
        <v>https://xhslink.com/m/8z16WaQCj8T</v>
      </c>
      <c r="D1310"/>
      <c r="E1310">
        <v>732</v>
      </c>
      <c r="F1310">
        <v>9.9</v>
      </c>
      <c r="G1310"/>
      <c r="H1310"/>
      <c r="I1310">
        <v>400</v>
      </c>
      <c r="J1310"/>
      <c r="K1310" t="inlineStr">
        <is>
          <t>音乐</t>
        </is>
      </c>
      <c r="L1310"/>
      <c r="M1310" t="inlineStr">
        <is>
          <t>策策的店</t>
        </is>
      </c>
      <c r="N1310">
        <v>714</v>
      </c>
      <c r="O1310">
        <v>4.26</v>
      </c>
      <c r="P1310">
        <v>2173</v>
      </c>
      <c r="Q1310" t="inlineStr">
        <is>
          <t>68729442b6f0e800016834f6</t>
        </is>
      </c>
      <c r="R1310"/>
      <c r="S1310" t="inlineStr">
        <is>
          <t>生活成长</t>
        </is>
      </c>
      <c r="T1310" t="inlineStr">
        <is>
          <t>1.03</t>
        </is>
      </c>
      <c r="U1310" s="3">
        <v>46112.78107638889</v>
      </c>
      <c r="V1310" t="inlineStr">
        <is>
          <t>虚拟产品</t>
        </is>
      </c>
      <c r="W1310" s="3">
        <v>46044</v>
      </c>
      <c r="X1310" t="inlineStr">
        <is>
          <t>01</t>
        </is>
      </c>
      <c r="Y1310" t="inlineStr">
        <is>
          <t>2026-Q1</t>
        </is>
      </c>
    </row>
    <row r="1311" ht="38.25" customHeight="1">
      <c r="A1311" t="inlineStr">
        <is>
          <t>【短信领课】高能量社交心法</t>
        </is>
      </c>
      <c r="B1311" t="inlineStr">
        <is>
          <t>recv90ikqPhVWU.jpg</t>
        </is>
      </c>
      <c r="C1311" s="2" t="str">
        <f>=HYPERLINK("https://xhslink.com/m/66PQS3wcRhl", "https://xhslink.com/m/66PQS3wcRhl")</f>
        <v>https://xhslink.com/m/66PQS3wcRhl</v>
      </c>
      <c r="D1311"/>
      <c r="E1311">
        <v>5269</v>
      </c>
      <c r="F1311">
        <v>199</v>
      </c>
      <c r="G1311"/>
      <c r="H1311"/>
      <c r="I1311">
        <v>2000</v>
      </c>
      <c r="J1311"/>
      <c r="K1311" t="inlineStr">
        <is>
          <t>社交/心理</t>
        </is>
      </c>
      <c r="L1311"/>
      <c r="M1311" t="inlineStr">
        <is>
          <t>洋名立万的店</t>
        </is>
      </c>
      <c r="N1311">
        <v>6617</v>
      </c>
      <c r="O1311">
        <v>4.33</v>
      </c>
      <c r="P1311">
        <v>5444</v>
      </c>
      <c r="Q1311" t="inlineStr">
        <is>
          <t>67e619a5acb9900001aad4a2</t>
        </is>
      </c>
      <c r="R1311" t="inlineStr">
        <is>
          <t>🚫重复</t>
        </is>
      </c>
      <c r="S1311" t="inlineStr">
        <is>
          <t>生活成长</t>
        </is>
      </c>
      <c r="T1311" t="inlineStr">
        <is>
          <t>0.80</t>
        </is>
      </c>
      <c r="U1311" s="3">
        <v>46112.78107638889</v>
      </c>
      <c r="V1311" t="inlineStr">
        <is>
          <t>虚拟产品</t>
        </is>
      </c>
      <c r="W1311" s="3">
        <v>46044</v>
      </c>
      <c r="X1311" t="inlineStr">
        <is>
          <t>01</t>
        </is>
      </c>
      <c r="Y1311" t="inlineStr">
        <is>
          <t>2026-Q1</t>
        </is>
      </c>
    </row>
    <row r="1312" ht="38.25" customHeight="1">
      <c r="A1312" t="inlineStr">
        <is>
          <t>李洋洋：高能量社交心法</t>
        </is>
      </c>
      <c r="B1312" t="inlineStr">
        <is>
          <t>recv90ikqPt34W.jpg</t>
        </is>
      </c>
      <c r="C1312" s="2" t="str">
        <f>=HYPERLINK("https://xhslink.com/m/w9lxq7oYiT", "https://xhslink.com/m/w9lxq7oYiT")</f>
        <v>https://xhslink.com/m/w9lxq7oYiT</v>
      </c>
      <c r="D1312"/>
      <c r="E1312">
        <v>1545</v>
      </c>
      <c r="F1312">
        <v>199</v>
      </c>
      <c r="G1312"/>
      <c r="H1312"/>
      <c r="I1312">
        <v>300</v>
      </c>
      <c r="J1312"/>
      <c r="K1312" t="inlineStr">
        <is>
          <t>社交/心理</t>
        </is>
      </c>
      <c r="L1312" t="inlineStr">
        <is>
          <t>🔥低粉爆款</t>
        </is>
      </c>
      <c r="M1312" t="inlineStr">
        <is>
          <t>切切欢倍的店</t>
        </is>
      </c>
      <c r="N1312">
        <v>30</v>
      </c>
      <c r="O1312">
        <v>3.89</v>
      </c>
      <c r="P1312">
        <v>1976</v>
      </c>
      <c r="Q1312" t="inlineStr">
        <is>
          <t>67bd92f44a593600014b811c</t>
        </is>
      </c>
      <c r="R1312"/>
      <c r="S1312" t="inlineStr">
        <is>
          <t>生活成长</t>
        </is>
      </c>
      <c r="T1312" t="inlineStr">
        <is>
          <t>51.50</t>
        </is>
      </c>
      <c r="U1312" s="3">
        <v>46112.78107638889</v>
      </c>
      <c r="V1312" t="inlineStr">
        <is>
          <t>虚拟产品</t>
        </is>
      </c>
      <c r="W1312" s="3">
        <v>46044</v>
      </c>
      <c r="X1312" t="inlineStr">
        <is>
          <t>01</t>
        </is>
      </c>
      <c r="Y1312" t="inlineStr">
        <is>
          <t>2026-Q1</t>
        </is>
      </c>
    </row>
    <row r="1313" ht="38.25" customHeight="1">
      <c r="A1313" t="inlineStr">
        <is>
          <t>自研日语学习网站｜主流教材词书·JLPT词汇·主题词汇表·AI工具</t>
        </is>
      </c>
      <c r="B1313" t="inlineStr">
        <is>
          <t>recv90ikqPFP6F.jpg</t>
        </is>
      </c>
      <c r="C1313" s="2" t="str">
        <f>=HYPERLINK("https://xhslink.com/m/6E5kqCZOI3o", "https://xhslink.com/m/6E5kqCZOI3o")</f>
        <v>https://xhslink.com/m/6E5kqCZOI3o</v>
      </c>
      <c r="D1313"/>
      <c r="E1313">
        <v>1289</v>
      </c>
      <c r="F1313">
        <v>34.9</v>
      </c>
      <c r="G1313"/>
      <c r="H1313"/>
      <c r="I1313">
        <v>500</v>
      </c>
      <c r="J1313"/>
      <c r="K1313" t="inlineStr">
        <is>
          <t>日语</t>
        </is>
      </c>
      <c r="L1313"/>
      <c r="M1313" t="inlineStr">
        <is>
          <t>卡娜的日语笔记的店</t>
        </is>
      </c>
      <c r="N1313">
        <v>10000</v>
      </c>
      <c r="O1313">
        <v>4.26</v>
      </c>
      <c r="P1313">
        <v>1706</v>
      </c>
      <c r="Q1313" t="inlineStr">
        <is>
          <t>684793b2fab3990001b7f2d6</t>
        </is>
      </c>
      <c r="R1313"/>
      <c r="S1313" t="inlineStr">
        <is>
          <t>无匹配类别</t>
        </is>
      </c>
      <c r="T1313" t="inlineStr">
        <is>
          <t>0.13</t>
        </is>
      </c>
      <c r="U1313" s="3">
        <v>46112.78107638889</v>
      </c>
      <c r="V1313" t="inlineStr">
        <is>
          <t>虚拟产品</t>
        </is>
      </c>
      <c r="W1313" s="3">
        <v>46044</v>
      </c>
      <c r="X1313" t="inlineStr">
        <is>
          <t>01</t>
        </is>
      </c>
      <c r="Y1313" t="inlineStr">
        <is>
          <t>2026-Q1</t>
        </is>
      </c>
    </row>
    <row r="1314" ht="38.25" customHeight="1">
      <c r="A1314" t="inlineStr">
        <is>
          <t>日语学习网站｜五十音图｜词汇库｜短文阅读｜JLPT在线答题</t>
        </is>
      </c>
      <c r="B1314" t="inlineStr">
        <is>
          <t>recv90ikqPposl.jpg</t>
        </is>
      </c>
      <c r="C1314" s="2" t="str">
        <f>=HYPERLINK("https://xhslink.com/m/53kZZCS8GdV", "https://xhslink.com/m/53kZZCS8GdV")</f>
        <v>https://xhslink.com/m/53kZZCS8GdV</v>
      </c>
      <c r="D1314"/>
      <c r="E1314">
        <v>1087</v>
      </c>
      <c r="F1314">
        <v>48.8</v>
      </c>
      <c r="G1314"/>
      <c r="H1314"/>
      <c r="I1314">
        <v>800</v>
      </c>
      <c r="J1314"/>
      <c r="K1314" t="inlineStr">
        <is>
          <t>日语</t>
        </is>
      </c>
      <c r="L1314"/>
      <c r="M1314" t="inlineStr">
        <is>
          <t>亚纪子的日语小站的店</t>
        </is>
      </c>
      <c r="N1314">
        <v>948</v>
      </c>
      <c r="O1314">
        <v>4.33</v>
      </c>
      <c r="P1314">
        <v>1355</v>
      </c>
      <c r="Q1314" t="inlineStr">
        <is>
          <t>68c82f6639f90c0001fae764</t>
        </is>
      </c>
      <c r="R1314"/>
      <c r="S1314" t="inlineStr">
        <is>
          <t>英语资料</t>
        </is>
      </c>
      <c r="T1314" t="inlineStr">
        <is>
          <t>1.15</t>
        </is>
      </c>
      <c r="U1314" s="3">
        <v>46112.78107638889</v>
      </c>
      <c r="V1314" t="inlineStr">
        <is>
          <t>虚拟产品</t>
        </is>
      </c>
      <c r="W1314" s="3">
        <v>46044</v>
      </c>
      <c r="X1314" t="inlineStr">
        <is>
          <t>01</t>
        </is>
      </c>
      <c r="Y1314" t="inlineStr">
        <is>
          <t>2026-Q1</t>
        </is>
      </c>
    </row>
    <row r="1315" ht="38.25" customHeight="1">
      <c r="A1315" t="inlineStr">
        <is>
          <t>自研韩语学习网站｜主题词汇表、Topik真题库、AI学习工具</t>
        </is>
      </c>
      <c r="B1315" t="inlineStr">
        <is>
          <t>recv90ikqPMXTS.jpg</t>
        </is>
      </c>
      <c r="C1315" s="2" t="str">
        <f>=HYPERLINK("https://xhslink.com/m/7NixYAQqwop", "https://xhslink.com/m/7NixYAQqwop")</f>
        <v>https://xhslink.com/m/7NixYAQqwop</v>
      </c>
      <c r="D1315"/>
      <c r="E1315">
        <v>11000</v>
      </c>
      <c r="F1315">
        <v>48.8</v>
      </c>
      <c r="G1315"/>
      <c r="H1315"/>
      <c r="I1315">
        <v>1000</v>
      </c>
      <c r="J1315"/>
      <c r="K1315" t="inlineStr">
        <is>
          <t>韩语</t>
        </is>
      </c>
      <c r="L1315"/>
      <c r="M1315" t="inlineStr">
        <is>
          <t>小曼的韩语笔记的店</t>
        </is>
      </c>
      <c r="N1315">
        <v>8876</v>
      </c>
      <c r="O1315">
        <v>4.33</v>
      </c>
      <c r="P1315">
        <v>11000</v>
      </c>
      <c r="Q1315" t="inlineStr">
        <is>
          <t>66effa51302fea00015a86f0</t>
        </is>
      </c>
      <c r="R1315"/>
      <c r="S1315" t="inlineStr">
        <is>
          <t>英语资料</t>
        </is>
      </c>
      <c r="T1315" t="inlineStr">
        <is>
          <t>1.24</t>
        </is>
      </c>
      <c r="U1315" s="3">
        <v>46112.78107638889</v>
      </c>
      <c r="V1315" t="inlineStr">
        <is>
          <t>虚拟产品</t>
        </is>
      </c>
      <c r="W1315" s="3">
        <v>46044</v>
      </c>
      <c r="X1315" t="inlineStr">
        <is>
          <t>01</t>
        </is>
      </c>
      <c r="Y1315" t="inlineStr">
        <is>
          <t>2026-Q1</t>
        </is>
      </c>
    </row>
    <row r="1316" ht="38.25" customHeight="1">
      <c r="A1316" t="inlineStr">
        <is>
          <t>【韩小伴】韩语学习背单词/真题练习/文章精读/vlog精听(全平台)</t>
        </is>
      </c>
      <c r="B1316" t="inlineStr">
        <is>
          <t>recv90ikqPtLP3.jpg</t>
        </is>
      </c>
      <c r="C1316" s="2" t="str">
        <f>=HYPERLINK("https://xhslink.com/m/8nIJbnMHvvk", "https://xhslink.com/m/8nIJbnMHvvk")</f>
        <v>https://xhslink.com/m/8nIJbnMHvvk</v>
      </c>
      <c r="D1316"/>
      <c r="E1316">
        <v>1447</v>
      </c>
      <c r="F1316">
        <v>39.9</v>
      </c>
      <c r="G1316"/>
      <c r="H1316"/>
      <c r="I1316">
        <v>400</v>
      </c>
      <c r="J1316"/>
      <c r="K1316" t="inlineStr">
        <is>
          <t>韩语</t>
        </is>
      </c>
      <c r="L1316"/>
      <c r="M1316" t="inlineStr">
        <is>
          <t>韩小伴的店</t>
        </is>
      </c>
      <c r="N1316">
        <v>549</v>
      </c>
      <c r="O1316">
        <v>4.08</v>
      </c>
      <c r="P1316">
        <v>1664</v>
      </c>
      <c r="Q1316" t="inlineStr">
        <is>
          <t>68c29e2ad1f7b8000121714c</t>
        </is>
      </c>
      <c r="R1316"/>
      <c r="S1316" t="inlineStr">
        <is>
          <t>英语资料</t>
        </is>
      </c>
      <c r="T1316" t="inlineStr">
        <is>
          <t>2.64</t>
        </is>
      </c>
      <c r="U1316" s="3">
        <v>46112.78107638889</v>
      </c>
      <c r="V1316" t="inlineStr">
        <is>
          <t>虚拟产品</t>
        </is>
      </c>
      <c r="W1316" s="3">
        <v>46044</v>
      </c>
      <c r="X1316" t="inlineStr">
        <is>
          <t>01</t>
        </is>
      </c>
      <c r="Y1316" t="inlineStr">
        <is>
          <t>2026-Q1</t>
        </is>
      </c>
    </row>
    <row r="1317" ht="38.25" customHeight="1">
      <c r="A1317" t="inlineStr">
        <is>
          <t>零基础英语发音+日常口语、旅游口语课（老师本人一对一纠音</t>
        </is>
      </c>
      <c r="B1317" t="inlineStr">
        <is>
          <t>recv90ikqPLoi5.jpg</t>
        </is>
      </c>
      <c r="C1317" s="2" t="str">
        <f>=HYPERLINK("https://xhslink.com/m/2JtVNSNgZCU", "https://xhslink.com/m/2JtVNSNgZCU")</f>
        <v>https://xhslink.com/m/2JtVNSNgZCU</v>
      </c>
      <c r="D1317"/>
      <c r="E1317">
        <v>2171</v>
      </c>
      <c r="F1317">
        <v>469</v>
      </c>
      <c r="G1317"/>
      <c r="H1317"/>
      <c r="I1317">
        <v>400</v>
      </c>
      <c r="J1317"/>
      <c r="K1317" t="inlineStr">
        <is>
          <t>英语</t>
        </is>
      </c>
      <c r="L1317"/>
      <c r="M1317" t="inlineStr">
        <is>
          <t>拉美天后Camila的店</t>
        </is>
      </c>
      <c r="N1317">
        <v>587000</v>
      </c>
      <c r="O1317">
        <v>4.54</v>
      </c>
      <c r="P1317">
        <v>16000</v>
      </c>
      <c r="Q1317" t="inlineStr">
        <is>
          <t>66161eaf1599530001ce6040</t>
        </is>
      </c>
      <c r="R1317"/>
      <c r="S1317" t="inlineStr">
        <is>
          <t>英语资料</t>
        </is>
      </c>
      <c r="T1317" t="inlineStr">
        <is>
          <t>0.00</t>
        </is>
      </c>
      <c r="U1317" s="3">
        <v>46112.78107638889</v>
      </c>
      <c r="V1317" t="inlineStr">
        <is>
          <t>虚拟产品</t>
        </is>
      </c>
      <c r="W1317" s="3">
        <v>46044</v>
      </c>
      <c r="X1317" t="inlineStr">
        <is>
          <t>01</t>
        </is>
      </c>
      <c r="Y1317" t="inlineStr">
        <is>
          <t>2026-Q1</t>
        </is>
      </c>
    </row>
    <row r="1318" ht="38.25" customHeight="1">
      <c r="A1318" t="inlineStr">
        <is>
          <t>[职业规划+在线1v1简历修改]【定制】</t>
        </is>
      </c>
      <c r="B1318" t="inlineStr">
        <is>
          <t>recv95UHBclFWi.jpg</t>
        </is>
      </c>
      <c r="C1318" s="2" t="str">
        <f>=HYPERLINK("https://xhslink.com/m/ARb6cSNoP61", "https://xhslink.com/m/ARb6cSNoP61")</f>
        <v>https://xhslink.com/m/ARb6cSNoP61</v>
      </c>
      <c r="D1318"/>
      <c r="E1318">
        <v>243</v>
      </c>
      <c r="F1318">
        <v>198.9</v>
      </c>
      <c r="G1318"/>
      <c r="H1318"/>
      <c r="I1318">
        <v>200</v>
      </c>
      <c r="J1318"/>
      <c r="K1318" t="inlineStr">
        <is>
          <t>简历定制服务</t>
        </is>
      </c>
      <c r="L1318"/>
      <c r="M1318" t="inlineStr">
        <is>
          <t>浪浪想吃炸鸡的店</t>
        </is>
      </c>
      <c r="N1318">
        <v>1431</v>
      </c>
      <c r="O1318">
        <v>3.98</v>
      </c>
      <c r="P1318">
        <v>948</v>
      </c>
      <c r="Q1318" t="inlineStr">
        <is>
          <t>68f87181c67e47000140aaec</t>
        </is>
      </c>
      <c r="R1318" t="inlineStr">
        <is>
          <t>🚫重复</t>
        </is>
      </c>
      <c r="S1318" t="inlineStr">
        <is>
          <t>求职面试/职场</t>
        </is>
      </c>
      <c r="T1318" t="inlineStr">
        <is>
          <t>0.17</t>
        </is>
      </c>
      <c r="U1318" s="3">
        <v>46112.78107638889</v>
      </c>
      <c r="V1318" t="inlineStr">
        <is>
          <t>虚拟产品</t>
        </is>
      </c>
      <c r="W1318" s="3">
        <v>46045</v>
      </c>
      <c r="X1318" t="inlineStr">
        <is>
          <t>01</t>
        </is>
      </c>
      <c r="Y1318" t="inlineStr">
        <is>
          <t>2026-Q1</t>
        </is>
      </c>
    </row>
    <row r="1319" ht="38.25" customHeight="1">
      <c r="A1319" t="inlineStr">
        <is>
          <t>超格 · 【早自习】2026政治理论背诵手册课程·3月省考版</t>
        </is>
      </c>
      <c r="B1319" t="inlineStr">
        <is>
          <t>__upload_recv95UHBcOaAc.jpg</t>
        </is>
      </c>
      <c r="C1319" s="2" t="str">
        <f>=HYPERLINK("https://xhslink.com/m/5Cn5QT6wd7B", "https://xhslink.com/m/5Cn5QT6wd7B")</f>
        <v>https://xhslink.com/m/5Cn5QT6wd7B</v>
      </c>
      <c r="D1319"/>
      <c r="E1319">
        <v>78000</v>
      </c>
      <c r="F1319">
        <v>13.2</v>
      </c>
      <c r="G1319"/>
      <c r="H1319"/>
      <c r="I1319"/>
      <c r="J1319">
        <v>300</v>
      </c>
      <c r="K1319" t="inlineStr">
        <is>
          <t>公考</t>
        </is>
      </c>
      <c r="L1319"/>
      <c r="M1319" t="inlineStr">
        <is>
          <t>超格旗舰店</t>
        </is>
      </c>
      <c r="N1319">
        <v>75000</v>
      </c>
      <c r="O1319">
        <v>4.54</v>
      </c>
      <c r="P1319">
        <v>153000</v>
      </c>
      <c r="Q1319" t="inlineStr">
        <is>
          <t>6791b8ef75ca3a00013bf59c</t>
        </is>
      </c>
      <c r="R1319" t="inlineStr">
        <is>
          <t>🚫重复</t>
        </is>
      </c>
      <c r="S1319" t="inlineStr">
        <is>
          <t>考公资料</t>
        </is>
      </c>
      <c r="T1319" t="inlineStr">
        <is>
          <t>1.04</t>
        </is>
      </c>
      <c r="U1319" s="3">
        <v>46112.78107638889</v>
      </c>
      <c r="V1319" t="inlineStr">
        <is>
          <t>虚拟产品</t>
        </is>
      </c>
      <c r="W1319" s="3">
        <v>46045</v>
      </c>
      <c r="X1319" t="inlineStr">
        <is>
          <t>01</t>
        </is>
      </c>
      <c r="Y1319" t="inlineStr">
        <is>
          <t>2026-Q1</t>
        </is>
      </c>
    </row>
    <row r="1320" ht="38.25" customHeight="1">
      <c r="A1320" t="inlineStr">
        <is>
          <t>公务员考试历年真题套卷</t>
        </is>
      </c>
      <c r="B1320" t="inlineStr">
        <is>
          <t>recv95UHBc1dri.jpg</t>
        </is>
      </c>
      <c r="C1320" s="2" t="str">
        <f>=HYPERLINK("https://xhslink.com/m/9ipdyikVwAo", "https://xhslink.com/m/9ipdyikVwAo")</f>
        <v>https://xhslink.com/m/9ipdyikVwAo</v>
      </c>
      <c r="D1320"/>
      <c r="E1320">
        <v>5029</v>
      </c>
      <c r="F1320">
        <v>16</v>
      </c>
      <c r="G1320"/>
      <c r="H1320"/>
      <c r="I1320">
        <v>2000</v>
      </c>
      <c r="J1320"/>
      <c r="K1320" t="inlineStr">
        <is>
          <t>公考</t>
        </is>
      </c>
      <c r="L1320" t="inlineStr">
        <is>
          <t>🔥低粉爆款</t>
        </is>
      </c>
      <c r="M1320" t="inlineStr">
        <is>
          <t>木木的书堂的店</t>
        </is>
      </c>
      <c r="N1320">
        <v>116</v>
      </c>
      <c r="O1320">
        <v>4.54</v>
      </c>
      <c r="P1320">
        <v>7700</v>
      </c>
      <c r="Q1320" t="inlineStr">
        <is>
          <t>68b13b380991b40001cd2295</t>
        </is>
      </c>
      <c r="R1320" t="inlineStr">
        <is>
          <t>🚫重复</t>
        </is>
      </c>
      <c r="S1320" t="inlineStr">
        <is>
          <t>考公资料</t>
        </is>
      </c>
      <c r="T1320" t="inlineStr">
        <is>
          <t>43.35</t>
        </is>
      </c>
      <c r="U1320" s="3">
        <v>46112.78107638889</v>
      </c>
      <c r="V1320" t="inlineStr">
        <is>
          <t>虚拟产品</t>
        </is>
      </c>
      <c r="W1320" s="3">
        <v>46045</v>
      </c>
      <c r="X1320" t="inlineStr">
        <is>
          <t>01</t>
        </is>
      </c>
      <c r="Y1320" t="inlineStr">
        <is>
          <t>2026-Q1</t>
        </is>
      </c>
    </row>
    <row r="1321" ht="38.25" customHeight="1">
      <c r="A1321" t="inlineStr">
        <is>
          <t>「电子版」考公备考资料，含每日计划表和网课，适用国考省考</t>
        </is>
      </c>
      <c r="B1321" t="inlineStr">
        <is>
          <t>recv95UHBcYzFw.jpg</t>
        </is>
      </c>
      <c r="C1321" s="2" t="str">
        <f>=HYPERLINK("https://xhslink.com/m/2qeKf4feLKP", "https://xhslink.com/m/2qeKf4feLKP")</f>
        <v>https://xhslink.com/m/2qeKf4feLKP</v>
      </c>
      <c r="D1321"/>
      <c r="E1321">
        <v>1004</v>
      </c>
      <c r="F1321">
        <v>24.6</v>
      </c>
      <c r="G1321"/>
      <c r="H1321"/>
      <c r="I1321">
        <v>900</v>
      </c>
      <c r="J1321"/>
      <c r="K1321" t="inlineStr">
        <is>
          <t>公考</t>
        </is>
      </c>
      <c r="L1321" t="inlineStr">
        <is>
          <t>🔥低粉爆款</t>
        </is>
      </c>
      <c r="M1321" t="inlineStr">
        <is>
          <t>姜嘟学习资料的店</t>
        </is>
      </c>
      <c r="N1321">
        <v>179</v>
      </c>
      <c r="O1321">
        <v>4.34</v>
      </c>
      <c r="P1321">
        <v>1459</v>
      </c>
      <c r="Q1321" t="inlineStr">
        <is>
          <t>6963a910bb020d0001d07552</t>
        </is>
      </c>
      <c r="R1321" t="inlineStr">
        <is>
          <t>🚫重复</t>
        </is>
      </c>
      <c r="S1321" t="inlineStr">
        <is>
          <t>考公资料</t>
        </is>
      </c>
      <c r="T1321" t="inlineStr">
        <is>
          <t>5.61</t>
        </is>
      </c>
      <c r="U1321" s="3">
        <v>46112.78107638889</v>
      </c>
      <c r="V1321" t="inlineStr">
        <is>
          <t>虚拟产品</t>
        </is>
      </c>
      <c r="W1321" s="3">
        <v>46045</v>
      </c>
      <c r="X1321" t="inlineStr">
        <is>
          <t>01</t>
        </is>
      </c>
      <c r="Y1321" t="inlineStr">
        <is>
          <t>2026-Q1</t>
        </is>
      </c>
    </row>
    <row r="1322" ht="38.25" customHeight="1">
      <c r="A1322" t="inlineStr">
        <is>
          <t>阿慧学运营｜求职面试高频题库90道（含参考回答）送HR沟通话术</t>
        </is>
      </c>
      <c r="B1322" t="inlineStr">
        <is>
          <t>recv95UHBcnfMu.jpg</t>
        </is>
      </c>
      <c r="C1322" s="2" t="str">
        <f>=HYPERLINK("https://xhslink.com/m/3ml6qKpfQa2", "https://xhslink.com/m/3ml6qKpfQa2")</f>
        <v>https://xhslink.com/m/3ml6qKpfQa2</v>
      </c>
      <c r="D1322"/>
      <c r="E1322">
        <v>6837</v>
      </c>
      <c r="F1322">
        <v>9.9</v>
      </c>
      <c r="G1322"/>
      <c r="H1322"/>
      <c r="I1322">
        <v>200</v>
      </c>
      <c r="J1322"/>
      <c r="K1322" t="inlineStr">
        <is>
          <t>面试</t>
        </is>
      </c>
      <c r="L1322"/>
      <c r="M1322" t="inlineStr">
        <is>
          <t>阿慧学运营的店</t>
        </is>
      </c>
      <c r="N1322">
        <v>5295</v>
      </c>
      <c r="O1322">
        <v>3.93</v>
      </c>
      <c r="P1322">
        <v>6837</v>
      </c>
      <c r="Q1322" t="inlineStr">
        <is>
          <t>65f552d53b4dcf00016b6b39</t>
        </is>
      </c>
      <c r="R1322"/>
      <c r="S1322" t="inlineStr">
        <is>
          <t>求职面试/职场</t>
        </is>
      </c>
      <c r="T1322" t="inlineStr">
        <is>
          <t>1.29</t>
        </is>
      </c>
      <c r="U1322" s="3">
        <v>46112.78107638889</v>
      </c>
      <c r="V1322" t="inlineStr">
        <is>
          <t>虚拟产品</t>
        </is>
      </c>
      <c r="W1322" s="3">
        <v>46045</v>
      </c>
      <c r="X1322" t="inlineStr">
        <is>
          <t>01</t>
        </is>
      </c>
      <c r="Y1322" t="inlineStr">
        <is>
          <t>2026-Q1</t>
        </is>
      </c>
    </row>
    <row r="1323" ht="38.25" customHeight="1">
      <c r="A1323" t="inlineStr">
        <is>
          <t>HLstudio黑色西装套装女春秋韩版通勤学生面试考公职业正装工作服</t>
        </is>
      </c>
      <c r="B1323" t="inlineStr">
        <is>
          <t>recv95UHBc2Bz8.jpg</t>
        </is>
      </c>
      <c r="C1323" s="2" t="str">
        <f>=HYPERLINK("https://xhslink.com/m/57NcXfuaHyt", "https://xhslink.com/m/57NcXfuaHyt")</f>
        <v>https://xhslink.com/m/57NcXfuaHyt</v>
      </c>
      <c r="D1323"/>
      <c r="E1323">
        <v>5184</v>
      </c>
      <c r="F1323">
        <v>228</v>
      </c>
      <c r="G1323"/>
      <c r="H1323"/>
      <c r="I1323">
        <v>200</v>
      </c>
      <c r="J1323"/>
      <c r="K1323" t="inlineStr">
        <is>
          <t>面试</t>
        </is>
      </c>
      <c r="L1323"/>
      <c r="M1323" t="inlineStr">
        <is>
          <t>HLSTUDIO工作室的店</t>
        </is>
      </c>
      <c r="N1323">
        <v>2563</v>
      </c>
      <c r="O1323">
        <v>4.41</v>
      </c>
      <c r="P1323">
        <v>18000</v>
      </c>
      <c r="Q1323" t="inlineStr">
        <is>
          <t>68b2874bec7fed00010c248e</t>
        </is>
      </c>
      <c r="R1323" t="inlineStr">
        <is>
          <t>🚫重复</t>
        </is>
      </c>
      <c r="S1323" t="inlineStr">
        <is>
          <t>考公资料</t>
        </is>
      </c>
      <c r="T1323" t="inlineStr">
        <is>
          <t>2.02</t>
        </is>
      </c>
      <c r="U1323" s="3">
        <v>46112.78107638889</v>
      </c>
      <c r="V1323" t="inlineStr">
        <is>
          <t>虚拟产品</t>
        </is>
      </c>
      <c r="W1323" s="3">
        <v>46045</v>
      </c>
      <c r="X1323" t="inlineStr">
        <is>
          <t>01</t>
        </is>
      </c>
      <c r="Y1323" t="inlineStr">
        <is>
          <t>2026-Q1</t>
        </is>
      </c>
    </row>
    <row r="1324" ht="38.25" customHeight="1">
      <c r="A1324" t="inlineStr">
        <is>
          <t>AI面试助手 面试神器  中英双语 小语种 面试辅助工具</t>
        </is>
      </c>
      <c r="B1324" t="inlineStr">
        <is>
          <t>recv95UHBc4lPX.jpg</t>
        </is>
      </c>
      <c r="C1324" s="2" t="str">
        <f>=HYPERLINK("https://xhslink.com/m/AgjFg3WWbbR", "https://xhslink.com/m/AgjFg3WWbbR")</f>
        <v>https://xhslink.com/m/AgjFg3WWbbR</v>
      </c>
      <c r="D1324"/>
      <c r="E1324">
        <v>2273</v>
      </c>
      <c r="F1324">
        <v>38</v>
      </c>
      <c r="G1324"/>
      <c r="H1324"/>
      <c r="I1324">
        <v>1000</v>
      </c>
      <c r="J1324"/>
      <c r="K1324" t="inlineStr">
        <is>
          <t>面试</t>
        </is>
      </c>
      <c r="L1324" t="inlineStr">
        <is>
          <t>🔥低粉爆款</t>
        </is>
      </c>
      <c r="M1324" t="inlineStr">
        <is>
          <t>吐司猫AI面试助手的店</t>
        </is>
      </c>
      <c r="N1324">
        <v>555</v>
      </c>
      <c r="O1324">
        <v>4</v>
      </c>
      <c r="P1324">
        <v>2443</v>
      </c>
      <c r="Q1324" t="inlineStr">
        <is>
          <t>682a08ee3eee9a0001c24763</t>
        </is>
      </c>
      <c r="R1324"/>
      <c r="S1324" t="inlineStr">
        <is>
          <t>求职面试/职场</t>
        </is>
      </c>
      <c r="T1324" t="inlineStr">
        <is>
          <t>4.10</t>
        </is>
      </c>
      <c r="U1324" s="3">
        <v>46112.78107638889</v>
      </c>
      <c r="V1324" t="inlineStr">
        <is>
          <t>虚拟产品</t>
        </is>
      </c>
      <c r="W1324" s="3">
        <v>46045</v>
      </c>
      <c r="X1324" t="inlineStr">
        <is>
          <t>01</t>
        </is>
      </c>
      <c r="Y1324" t="inlineStr">
        <is>
          <t>2026-Q1</t>
        </is>
      </c>
    </row>
    <row r="1325" ht="38.25" customHeight="1">
      <c r="A1325" t="inlineStr">
        <is>
          <t>无保留分享 | 大模型学习【笔记+配套代码+高频面试集】</t>
        </is>
      </c>
      <c r="B1325" t="inlineStr">
        <is>
          <t>recv95UHBcpzEy.jpg</t>
        </is>
      </c>
      <c r="C1325" s="2" t="str">
        <f>=HYPERLINK("https://xhslink.com/m/4yH9ibOVwG", "https://xhslink.com/m/4yH9ibOVwG")</f>
        <v>https://xhslink.com/m/4yH9ibOVwG</v>
      </c>
      <c r="D1325"/>
      <c r="E1325">
        <v>1091</v>
      </c>
      <c r="F1325">
        <v>238</v>
      </c>
      <c r="G1325"/>
      <c r="H1325"/>
      <c r="I1325">
        <v>400</v>
      </c>
      <c r="J1325"/>
      <c r="K1325" t="inlineStr">
        <is>
          <t>面试</t>
        </is>
      </c>
      <c r="L1325"/>
      <c r="M1325" t="inlineStr">
        <is>
          <t>AI有温度的店</t>
        </is>
      </c>
      <c r="N1325">
        <v>23000</v>
      </c>
      <c r="O1325">
        <v>3.83</v>
      </c>
      <c r="P1325">
        <v>1198</v>
      </c>
      <c r="Q1325" t="inlineStr">
        <is>
          <t>687debbb8fe3470001f6b8f2</t>
        </is>
      </c>
      <c r="R1325"/>
      <c r="S1325" t="inlineStr">
        <is>
          <t>AI</t>
        </is>
      </c>
      <c r="T1325" t="inlineStr">
        <is>
          <t>0.05</t>
        </is>
      </c>
      <c r="U1325" s="3">
        <v>46112.78107638889</v>
      </c>
      <c r="V1325" t="inlineStr">
        <is>
          <t>虚拟产品</t>
        </is>
      </c>
      <c r="W1325" s="3">
        <v>46045</v>
      </c>
      <c r="X1325" t="inlineStr">
        <is>
          <t>01</t>
        </is>
      </c>
      <c r="Y1325" t="inlineStr">
        <is>
          <t>2026-Q1</t>
        </is>
      </c>
    </row>
    <row r="1326" ht="38.25" customHeight="1">
      <c r="A1326" t="inlineStr">
        <is>
          <t>匡老师的面试材料合集（必学基础36题+必背万能模板）</t>
        </is>
      </c>
      <c r="B1326" t="inlineStr">
        <is>
          <t>recv95UHBcM6Be.jpg</t>
        </is>
      </c>
      <c r="C1326" s="2" t="str">
        <f>=HYPERLINK("https://xhslink.com/m/i7wKFgvYso", "https://xhslink.com/m/i7wKFgvYso")</f>
        <v>https://xhslink.com/m/i7wKFgvYso</v>
      </c>
      <c r="D1326"/>
      <c r="E1326">
        <v>229</v>
      </c>
      <c r="F1326">
        <v>44.9</v>
      </c>
      <c r="G1326"/>
      <c r="H1326"/>
      <c r="I1326">
        <v>200</v>
      </c>
      <c r="J1326"/>
      <c r="K1326" t="inlineStr">
        <is>
          <t>面试</t>
        </is>
      </c>
      <c r="L1326"/>
      <c r="M1326" t="inlineStr">
        <is>
          <t>阿匡结构化面试的店</t>
        </is>
      </c>
      <c r="N1326">
        <v>5528</v>
      </c>
      <c r="O1326">
        <v>3.94</v>
      </c>
      <c r="P1326">
        <v>7691</v>
      </c>
      <c r="Q1326" t="inlineStr">
        <is>
          <t>68fe2890ce94ee0001b73af9</t>
        </is>
      </c>
      <c r="R1326"/>
      <c r="S1326" t="inlineStr">
        <is>
          <t>求职面试/职场</t>
        </is>
      </c>
      <c r="T1326" t="inlineStr">
        <is>
          <t>0.04</t>
        </is>
      </c>
      <c r="U1326" s="3">
        <v>46112.78107638889</v>
      </c>
      <c r="V1326" t="inlineStr">
        <is>
          <t>虚拟产品</t>
        </is>
      </c>
      <c r="W1326" s="3">
        <v>46045</v>
      </c>
      <c r="X1326" t="inlineStr">
        <is>
          <t>01</t>
        </is>
      </c>
      <c r="Y1326" t="inlineStr">
        <is>
          <t>2026-Q1</t>
        </is>
      </c>
    </row>
    <row r="1327" ht="38.25" customHeight="1">
      <c r="A1327" t="inlineStr">
        <is>
          <t>2025年秋季最新主题班会课件【持续更新】</t>
        </is>
      </c>
      <c r="B1327" t="inlineStr">
        <is>
          <t>recv95UHBcHnmt.jpg</t>
        </is>
      </c>
      <c r="C1327" s="2" t="str">
        <f>=HYPERLINK("https://xhslink.com/m/7QR8inrDA5U", "https://xhslink.com/m/7QR8inrDA5U")</f>
        <v>https://xhslink.com/m/7QR8inrDA5U</v>
      </c>
      <c r="D1327"/>
      <c r="E1327">
        <v>853</v>
      </c>
      <c r="F1327">
        <v>49.9</v>
      </c>
      <c r="G1327"/>
      <c r="H1327"/>
      <c r="I1327">
        <v>700</v>
      </c>
      <c r="J1327"/>
      <c r="K1327" t="inlineStr">
        <is>
          <t>教务资料</t>
        </is>
      </c>
      <c r="L1327"/>
      <c r="M1327" t="inlineStr">
        <is>
          <t>小张老师sunshine的店</t>
        </is>
      </c>
      <c r="N1327">
        <v>505</v>
      </c>
      <c r="O1327">
        <v>4.27</v>
      </c>
      <c r="P1327">
        <v>4007</v>
      </c>
      <c r="Q1327" t="inlineStr">
        <is>
          <t>6934176e6bc98600018f6079</t>
        </is>
      </c>
      <c r="R1327" t="inlineStr">
        <is>
          <t>🚫重复</t>
        </is>
      </c>
      <c r="S1327" t="inlineStr">
        <is>
          <t>中小学教辅/教材</t>
        </is>
      </c>
      <c r="T1327" t="inlineStr">
        <is>
          <t>1.69</t>
        </is>
      </c>
      <c r="U1327" s="3">
        <v>46112.78107638889</v>
      </c>
      <c r="V1327" t="inlineStr">
        <is>
          <t>虚拟产品</t>
        </is>
      </c>
      <c r="W1327" s="3">
        <v>46045</v>
      </c>
      <c r="X1327" t="inlineStr">
        <is>
          <t>01</t>
        </is>
      </c>
      <c r="Y1327" t="inlineStr">
        <is>
          <t>2026-Q1</t>
        </is>
      </c>
    </row>
    <row r="1328" ht="38.25" customHeight="1">
      <c r="A1328" t="inlineStr">
        <is>
          <t>【D201】大学英语四六级大纲词汇电子版 | 正序+乱序+默写都有</t>
        </is>
      </c>
      <c r="B1328" t="inlineStr">
        <is>
          <t>recv95UHBc6Vlt.jpg</t>
        </is>
      </c>
      <c r="C1328" s="2" t="str">
        <f>=HYPERLINK("https://xhslink.com/m/32kg0zEusKW", "https://xhslink.com/m/32kg0zEusKW")</f>
        <v>https://xhslink.com/m/32kg0zEusKW</v>
      </c>
      <c r="D1328"/>
      <c r="E1328">
        <v>6301</v>
      </c>
      <c r="F1328">
        <v>0.99</v>
      </c>
      <c r="G1328"/>
      <c r="H1328"/>
      <c r="I1328">
        <v>2000</v>
      </c>
      <c r="J1328"/>
      <c r="K1328" t="inlineStr">
        <is>
          <t>四六级高频词汇速记手册</t>
        </is>
      </c>
      <c r="L1328" t="inlineStr">
        <is>
          <t>🔥低粉爆款</t>
        </is>
      </c>
      <c r="M1328" t="inlineStr">
        <is>
          <t>妙言老师的店</t>
        </is>
      </c>
      <c r="N1328">
        <v>2023</v>
      </c>
      <c r="O1328">
        <v>4.38</v>
      </c>
      <c r="P1328">
        <v>27000</v>
      </c>
      <c r="Q1328" t="inlineStr">
        <is>
          <t>688e21ef79bc47000126adbc</t>
        </is>
      </c>
      <c r="R1328" t="inlineStr">
        <is>
          <t>🚫重复</t>
        </is>
      </c>
      <c r="S1328" t="inlineStr">
        <is>
          <t>英语资料</t>
        </is>
      </c>
      <c r="T1328" t="inlineStr">
        <is>
          <t>3.11</t>
        </is>
      </c>
      <c r="U1328" s="3">
        <v>46112.78107638889</v>
      </c>
      <c r="V1328" t="inlineStr">
        <is>
          <t>虚拟产品</t>
        </is>
      </c>
      <c r="W1328" s="3">
        <v>46045</v>
      </c>
      <c r="X1328" t="inlineStr">
        <is>
          <t>01</t>
        </is>
      </c>
      <c r="Y1328" t="inlineStr">
        <is>
          <t>2026-Q1</t>
        </is>
      </c>
    </row>
    <row r="1329" ht="38.25" customHeight="1">
      <c r="A1329" t="inlineStr">
        <is>
          <t>四六级爆改提分高频词笔记｜75页+216词阅读听力写作全突破</t>
        </is>
      </c>
      <c r="B1329" t="inlineStr">
        <is>
          <t>recv95UHBc7JSZ.jpg</t>
        </is>
      </c>
      <c r="C1329" s="2" t="str">
        <f>=HYPERLINK("https://xhslink.com/m/7LKSp6FxTrW", "https://xhslink.com/m/7LKSp6FxTrW")</f>
        <v>https://xhslink.com/m/7LKSp6FxTrW</v>
      </c>
      <c r="D1329"/>
      <c r="E1329">
        <v>2171</v>
      </c>
      <c r="F1329">
        <v>9.9</v>
      </c>
      <c r="G1329"/>
      <c r="H1329"/>
      <c r="I1329">
        <v>400</v>
      </c>
      <c r="J1329"/>
      <c r="K1329" t="inlineStr">
        <is>
          <t>四六级高频词汇速记手册</t>
        </is>
      </c>
      <c r="L1329"/>
      <c r="M1329" t="inlineStr">
        <is>
          <t>Econmedian的店</t>
        </is>
      </c>
      <c r="N1329">
        <v>337000</v>
      </c>
      <c r="O1329">
        <v>4.16</v>
      </c>
      <c r="P1329">
        <v>26000</v>
      </c>
      <c r="Q1329" t="inlineStr">
        <is>
          <t>67feb9b32a334f0001c04d82</t>
        </is>
      </c>
      <c r="R1329" t="inlineStr">
        <is>
          <t>🚫重复</t>
        </is>
      </c>
      <c r="S1329" t="inlineStr">
        <is>
          <t>英语资料</t>
        </is>
      </c>
      <c r="T1329" t="inlineStr">
        <is>
          <t>0.01</t>
        </is>
      </c>
      <c r="U1329" s="3">
        <v>46112.78107638889</v>
      </c>
      <c r="V1329" t="inlineStr">
        <is>
          <t>虚拟产品</t>
        </is>
      </c>
      <c r="W1329" s="3">
        <v>46045</v>
      </c>
      <c r="X1329" t="inlineStr">
        <is>
          <t>01</t>
        </is>
      </c>
      <c r="Y1329" t="inlineStr">
        <is>
          <t>2026-Q1</t>
        </is>
      </c>
    </row>
    <row r="1330" ht="38.25" customHeight="1">
      <c r="A1330" t="inlineStr">
        <is>
          <t>【笔记同款】2025下四六级词汇包 pdf 可打印 四六级核心1500</t>
        </is>
      </c>
      <c r="B1330" t="inlineStr">
        <is>
          <t>recv95UHBcJOdI.jpg</t>
        </is>
      </c>
      <c r="C1330" s="2" t="str">
        <f>=HYPERLINK("https://xhslink.com/m/9OoYnhA5Z9R", "https://xhslink.com/m/9OoYnhA5Z9R")</f>
        <v>https://xhslink.com/m/9OoYnhA5Z9R</v>
      </c>
      <c r="D1330"/>
      <c r="E1330">
        <v>1237</v>
      </c>
      <c r="F1330">
        <v>5.9</v>
      </c>
      <c r="G1330"/>
      <c r="H1330"/>
      <c r="I1330">
        <v>200</v>
      </c>
      <c r="J1330"/>
      <c r="K1330" t="inlineStr">
        <is>
          <t>四六级高频词汇速记手册</t>
        </is>
      </c>
      <c r="L1330"/>
      <c r="M1330" t="inlineStr">
        <is>
          <t>幸运冰柠柒的店</t>
        </is>
      </c>
      <c r="N1330">
        <v>748</v>
      </c>
      <c r="O1330">
        <v>4.01</v>
      </c>
      <c r="P1330">
        <v>1719</v>
      </c>
      <c r="Q1330" t="inlineStr">
        <is>
          <t>68cf31e955f59b00013449cd</t>
        </is>
      </c>
      <c r="R1330"/>
      <c r="S1330" t="inlineStr">
        <is>
          <t>英语资料</t>
        </is>
      </c>
      <c r="T1330" t="inlineStr">
        <is>
          <t>1.65</t>
        </is>
      </c>
      <c r="U1330" s="3">
        <v>46112.78107638889</v>
      </c>
      <c r="V1330" t="inlineStr">
        <is>
          <t>虚拟产品</t>
        </is>
      </c>
      <c r="W1330" s="3">
        <v>46045</v>
      </c>
      <c r="X1330" t="inlineStr">
        <is>
          <t>01</t>
        </is>
      </c>
      <c r="Y1330" t="inlineStr">
        <is>
          <t>2026-Q1</t>
        </is>
      </c>
    </row>
    <row r="1331" ht="38.25" customHeight="1">
      <c r="A1331" t="inlineStr">
        <is>
          <t>星火英语 · 全新正版2025年12月四六级英语真题试卷备考资料考试全套模拟试题</t>
        </is>
      </c>
      <c r="B1331" t="inlineStr">
        <is>
          <t>recv95UHBckxUD.jpg</t>
        </is>
      </c>
      <c r="C1331" s="2" t="str">
        <f>=HYPERLINK("https://xhslink.com/m/4mtA1smNEaD", "https://xhslink.com/m/4mtA1smNEaD")</f>
        <v>https://xhslink.com/m/4mtA1smNEaD</v>
      </c>
      <c r="D1331"/>
      <c r="E1331">
        <v>852</v>
      </c>
      <c r="F1331">
        <v>28.8</v>
      </c>
      <c r="G1331"/>
      <c r="H1331"/>
      <c r="I1331">
        <v>300</v>
      </c>
      <c r="J1331"/>
      <c r="K1331" t="inlineStr">
        <is>
          <t>四六级高频词汇速记手册</t>
        </is>
      </c>
      <c r="L1331" t="inlineStr">
        <is>
          <t>🔥低粉爆款</t>
        </is>
      </c>
      <c r="M1331" t="inlineStr">
        <is>
          <t>麟腾的店</t>
        </is>
      </c>
      <c r="N1331">
        <v>33</v>
      </c>
      <c r="O1331">
        <v>4.55</v>
      </c>
      <c r="P1331">
        <v>4353</v>
      </c>
      <c r="Q1331" t="inlineStr">
        <is>
          <t>6783ccbf71bc780001427fc0</t>
        </is>
      </c>
      <c r="R1331"/>
      <c r="S1331" t="inlineStr">
        <is>
          <t>英语资料</t>
        </is>
      </c>
      <c r="T1331" t="inlineStr">
        <is>
          <t>25.82</t>
        </is>
      </c>
      <c r="U1331" s="3">
        <v>46112.78107638889</v>
      </c>
      <c r="V1331" t="inlineStr">
        <is>
          <t>虚拟产品</t>
        </is>
      </c>
      <c r="W1331" s="3">
        <v>46045</v>
      </c>
      <c r="X1331" t="inlineStr">
        <is>
          <t>01</t>
        </is>
      </c>
      <c r="Y1331" t="inlineStr">
        <is>
          <t>2026-Q1</t>
        </is>
      </c>
    </row>
    <row r="1332" ht="38.25" customHeight="1">
      <c r="A1332" t="inlineStr">
        <is>
          <t>英语四六级真题+高频词汇</t>
        </is>
      </c>
      <c r="B1332" t="inlineStr">
        <is>
          <t>recv95UHBcV6qR.jpg</t>
        </is>
      </c>
      <c r="C1332" s="2" t="str">
        <f>=HYPERLINK("https://xhslink.com/m/5H5VdBwwKZc", "https://xhslink.com/m/5H5VdBwwKZc")</f>
        <v>https://xhslink.com/m/5H5VdBwwKZc</v>
      </c>
      <c r="D1332"/>
      <c r="E1332">
        <v>635</v>
      </c>
      <c r="F1332">
        <v>1.99</v>
      </c>
      <c r="G1332"/>
      <c r="H1332"/>
      <c r="I1332">
        <v>400</v>
      </c>
      <c r="J1332"/>
      <c r="K1332" t="inlineStr">
        <is>
          <t>四六级高频词汇速记手册</t>
        </is>
      </c>
      <c r="L1332" t="inlineStr">
        <is>
          <t>🔥低粉爆款</t>
        </is>
      </c>
      <c r="M1332" t="inlineStr">
        <is>
          <t>四叶草资料的店</t>
        </is>
      </c>
      <c r="N1332">
        <v>155</v>
      </c>
      <c r="O1332">
        <v>4.04</v>
      </c>
      <c r="P1332">
        <v>5148</v>
      </c>
      <c r="Q1332" t="inlineStr">
        <is>
          <t>684573d593d07800018dc42c</t>
        </is>
      </c>
      <c r="R1332" t="inlineStr">
        <is>
          <t>🚫重复</t>
        </is>
      </c>
      <c r="S1332" t="inlineStr">
        <is>
          <t>英语资料</t>
        </is>
      </c>
      <c r="T1332" t="inlineStr">
        <is>
          <t>4.10</t>
        </is>
      </c>
      <c r="U1332" s="3">
        <v>46112.78107638889</v>
      </c>
      <c r="V1332" t="inlineStr">
        <is>
          <t>虚拟产品</t>
        </is>
      </c>
      <c r="W1332" s="3">
        <v>46045</v>
      </c>
      <c r="X1332" t="inlineStr">
        <is>
          <t>01</t>
        </is>
      </c>
      <c r="Y1332" t="inlineStr">
        <is>
          <t>2026-Q1</t>
        </is>
      </c>
    </row>
    <row r="1333" ht="38.25" customHeight="1">
      <c r="A1333" t="inlineStr">
        <is>
          <t>2025英语四六级高频词·四六级1500核心词（电子版pdf）</t>
        </is>
      </c>
      <c r="B1333" t="inlineStr">
        <is>
          <t>recv95UHBc4XFm.jpg</t>
        </is>
      </c>
      <c r="C1333" s="2" t="str">
        <f>=HYPERLINK("https://xhslink.com/m/5nOWj6UngSX", "https://xhslink.com/m/5nOWj6UngSX")</f>
        <v>https://xhslink.com/m/5nOWj6UngSX</v>
      </c>
      <c r="D1333"/>
      <c r="E1333">
        <v>286</v>
      </c>
      <c r="F1333">
        <v>4.99</v>
      </c>
      <c r="G1333"/>
      <c r="H1333"/>
      <c r="I1333">
        <v>200</v>
      </c>
      <c r="J1333"/>
      <c r="K1333" t="inlineStr">
        <is>
          <t>四六级高频词汇速记手册</t>
        </is>
      </c>
      <c r="L1333"/>
      <c r="M1333" t="inlineStr">
        <is>
          <t>雪梨🍐学习资料库的店</t>
        </is>
      </c>
      <c r="N1333">
        <v>791</v>
      </c>
      <c r="O1333">
        <v>4.3</v>
      </c>
      <c r="P1333">
        <v>2826</v>
      </c>
      <c r="Q1333" t="inlineStr">
        <is>
          <t>68e879f34daabe00019661b5</t>
        </is>
      </c>
      <c r="R1333"/>
      <c r="S1333" t="inlineStr">
        <is>
          <t>英语资料</t>
        </is>
      </c>
      <c r="T1333" t="inlineStr">
        <is>
          <t>0.36</t>
        </is>
      </c>
      <c r="U1333" s="3">
        <v>46112.78107638889</v>
      </c>
      <c r="V1333" t="inlineStr">
        <is>
          <t>虚拟产品</t>
        </is>
      </c>
      <c r="W1333" s="3">
        <v>46045</v>
      </c>
      <c r="X1333" t="inlineStr">
        <is>
          <t>01</t>
        </is>
      </c>
      <c r="Y1333" t="inlineStr">
        <is>
          <t>2026-Q1</t>
        </is>
      </c>
    </row>
    <row r="1334" ht="38.25" customHeight="1">
      <c r="A1334" t="inlineStr">
        <is>
          <t>自动秒发货！四上数学课件PPT+教学设计（人教版）</t>
        </is>
      </c>
      <c r="B1334" t="inlineStr">
        <is>
          <t>recv95UHBctNQ0.jpg</t>
        </is>
      </c>
      <c r="C1334" s="2" t="str">
        <f>=HYPERLINK("https://xhslink.com/m/D03J68IuVG", "https://xhslink.com/m/D03J68IuVG")</f>
        <v>https://xhslink.com/m/D03J68IuVG</v>
      </c>
      <c r="D1334"/>
      <c r="E1334">
        <v>2250</v>
      </c>
      <c r="F1334">
        <v>69.9</v>
      </c>
      <c r="G1334"/>
      <c r="H1334"/>
      <c r="I1334">
        <v>1000</v>
      </c>
      <c r="J1334"/>
      <c r="K1334" t="inlineStr">
        <is>
          <t>小学数学课件</t>
        </is>
      </c>
      <c r="L1334"/>
      <c r="M1334" t="inlineStr">
        <is>
          <t>小纸盒PPT的店</t>
        </is>
      </c>
      <c r="N1334">
        <v>11000</v>
      </c>
      <c r="O1334">
        <v>4.16</v>
      </c>
      <c r="P1334">
        <v>47000</v>
      </c>
      <c r="Q1334" t="inlineStr">
        <is>
          <t>68b07a809a164100015619b9</t>
        </is>
      </c>
      <c r="R1334" t="inlineStr">
        <is>
          <t>🚫重复</t>
        </is>
      </c>
      <c r="S1334" t="inlineStr">
        <is>
          <t>中小学教辅/教材</t>
        </is>
      </c>
      <c r="T1334" t="inlineStr">
        <is>
          <t>0.20</t>
        </is>
      </c>
      <c r="U1334" s="3">
        <v>46112.78107638889</v>
      </c>
      <c r="V1334" t="inlineStr">
        <is>
          <t>虚拟产品</t>
        </is>
      </c>
      <c r="W1334" s="3">
        <v>46045</v>
      </c>
      <c r="X1334" t="inlineStr">
        <is>
          <t>01</t>
        </is>
      </c>
      <c r="Y1334" t="inlineStr">
        <is>
          <t>2026-Q1</t>
        </is>
      </c>
    </row>
    <row r="1335" ht="38.25" customHeight="1">
      <c r="A1335" t="inlineStr">
        <is>
          <t>2026年春苏教版小学数学一二三四五六年级上下册课件教案习题</t>
        </is>
      </c>
      <c r="B1335" t="inlineStr">
        <is>
          <t>recv95UHBcI3f1.jpg</t>
        </is>
      </c>
      <c r="C1335" s="2" t="str">
        <f>=HYPERLINK("https://xhslink.com/m/9w9LxSBpLPM", "https://xhslink.com/m/9w9LxSBpLPM")</f>
        <v>https://xhslink.com/m/9w9LxSBpLPM</v>
      </c>
      <c r="D1335"/>
      <c r="E1335">
        <v>249</v>
      </c>
      <c r="F1335">
        <v>98.8</v>
      </c>
      <c r="G1335"/>
      <c r="H1335"/>
      <c r="I1335">
        <v>200</v>
      </c>
      <c r="J1335"/>
      <c r="K1335" t="inlineStr">
        <is>
          <t>小学数学课件</t>
        </is>
      </c>
      <c r="L1335"/>
      <c r="M1335" t="inlineStr">
        <is>
          <t>优优备课室的店</t>
        </is>
      </c>
      <c r="N1335">
        <v>641</v>
      </c>
      <c r="O1335">
        <v>3.98</v>
      </c>
      <c r="P1335">
        <v>894</v>
      </c>
      <c r="Q1335" t="inlineStr">
        <is>
          <t>6932a5b17ca5630001d8dcab</t>
        </is>
      </c>
      <c r="R1335"/>
      <c r="S1335" t="inlineStr">
        <is>
          <t>中小学教辅/教材</t>
        </is>
      </c>
      <c r="T1335" t="inlineStr">
        <is>
          <t>0.39</t>
        </is>
      </c>
      <c r="U1335" s="3">
        <v>46112.78107638889</v>
      </c>
      <c r="V1335" t="inlineStr">
        <is>
          <t>虚拟产品</t>
        </is>
      </c>
      <c r="W1335" s="3">
        <v>46045</v>
      </c>
      <c r="X1335" t="inlineStr">
        <is>
          <t>01</t>
        </is>
      </c>
      <c r="Y1335" t="inlineStr">
        <is>
          <t>2026-Q1</t>
        </is>
      </c>
    </row>
    <row r="1336" ht="38.25" customHeight="1">
      <c r="A1336" t="inlineStr">
        <is>
          <t>初中语文数学英语物理化生物史地道法知识点总结电子版素材多版本</t>
        </is>
      </c>
      <c r="B1336" t="inlineStr">
        <is>
          <t>recv95UHBcnHiq.jpg</t>
        </is>
      </c>
      <c r="C1336" s="2" t="str">
        <f>=HYPERLINK("https://xhslink.com/m/8gHzb71J5zj", "https://xhslink.com/m/8gHzb71J5zj")</f>
        <v>https://xhslink.com/m/8gHzb71J5zj</v>
      </c>
      <c r="D1336"/>
      <c r="E1336">
        <v>25000</v>
      </c>
      <c r="F1336">
        <v>4.9</v>
      </c>
      <c r="G1336"/>
      <c r="H1336"/>
      <c r="I1336">
        <v>7000</v>
      </c>
      <c r="J1336"/>
      <c r="K1336" t="inlineStr">
        <is>
          <t>初中物理知识点总结</t>
        </is>
      </c>
      <c r="L1336"/>
      <c r="M1336" t="inlineStr">
        <is>
          <t>赵老师的资料库的店</t>
        </is>
      </c>
      <c r="N1336">
        <v>15000</v>
      </c>
      <c r="O1336">
        <v>4.41</v>
      </c>
      <c r="P1336">
        <v>48000</v>
      </c>
      <c r="Q1336" t="inlineStr">
        <is>
          <t>672cd74310adb50001c571f9</t>
        </is>
      </c>
      <c r="R1336" t="inlineStr">
        <is>
          <t>🚫重复</t>
        </is>
      </c>
      <c r="S1336" t="inlineStr">
        <is>
          <t>中小学教辅/教材</t>
        </is>
      </c>
      <c r="T1336" t="inlineStr">
        <is>
          <t>1.67</t>
        </is>
      </c>
      <c r="U1336" s="3">
        <v>46112.78107638889</v>
      </c>
      <c r="V1336" t="inlineStr">
        <is>
          <t>虚拟产品</t>
        </is>
      </c>
      <c r="W1336" s="3">
        <v>46045</v>
      </c>
      <c r="X1336" t="inlineStr">
        <is>
          <t>01</t>
        </is>
      </c>
      <c r="Y1336" t="inlineStr">
        <is>
          <t>2026-Q1</t>
        </is>
      </c>
    </row>
    <row r="1337" ht="38.25" customHeight="1">
      <c r="A1337" t="inlineStr">
        <is>
          <t>301号：三上习作单/课件</t>
        </is>
      </c>
      <c r="B1337" t="inlineStr">
        <is>
          <t>recv95UHBcDIck.jpg</t>
        </is>
      </c>
      <c r="C1337" s="2" t="str">
        <f>=HYPERLINK("https://xhslink.com/m/6mekKy4nb85", "https://xhslink.com/m/6mekKy4nb85")</f>
        <v>https://xhslink.com/m/6mekKy4nb85</v>
      </c>
      <c r="D1337"/>
      <c r="E1337">
        <v>40000</v>
      </c>
      <c r="F1337">
        <v>4</v>
      </c>
      <c r="G1337"/>
      <c r="H1337"/>
      <c r="I1337">
        <v>5000</v>
      </c>
      <c r="J1337"/>
      <c r="K1337" t="inlineStr">
        <is>
          <t>美术课件</t>
        </is>
      </c>
      <c r="L1337"/>
      <c r="M1337" t="inlineStr">
        <is>
          <t>张主任的情报库的店</t>
        </is>
      </c>
      <c r="N1337">
        <v>28000</v>
      </c>
      <c r="O1337">
        <v>4.57</v>
      </c>
      <c r="P1337">
        <v>222000</v>
      </c>
      <c r="Q1337" t="inlineStr">
        <is>
          <t>69134dcef08ff500014238f9</t>
        </is>
      </c>
      <c r="R1337" t="inlineStr">
        <is>
          <t>🚫重复</t>
        </is>
      </c>
      <c r="S1337" t="inlineStr">
        <is>
          <t>中小学教辅/教材</t>
        </is>
      </c>
      <c r="T1337" t="inlineStr">
        <is>
          <t>1.43</t>
        </is>
      </c>
      <c r="U1337" s="3">
        <v>46112.78107638889</v>
      </c>
      <c r="V1337" t="inlineStr">
        <is>
          <t>虚拟产品</t>
        </is>
      </c>
      <c r="W1337" s="3">
        <v>46045</v>
      </c>
      <c r="X1337" t="inlineStr">
        <is>
          <t>01</t>
        </is>
      </c>
      <c r="Y1337" t="inlineStr">
        <is>
          <t>2026-Q1</t>
        </is>
      </c>
    </row>
    <row r="1338" ht="38.25" customHeight="1">
      <c r="A1338" t="inlineStr">
        <is>
          <t>《马年大吉》美术课件教案</t>
        </is>
      </c>
      <c r="B1338" t="inlineStr">
        <is>
          <t>recv95UHBcU88H.jpg</t>
        </is>
      </c>
      <c r="C1338" s="2" t="str">
        <f>=HYPERLINK("https://xhslink.com/m/AGIOF5OlH0y", "https://xhslink.com/m/AGIOF5OlH0y")</f>
        <v>https://xhslink.com/m/AGIOF5OlH0y</v>
      </c>
      <c r="D1338"/>
      <c r="E1338">
        <v>1780</v>
      </c>
      <c r="F1338">
        <v>6.8</v>
      </c>
      <c r="G1338"/>
      <c r="H1338"/>
      <c r="I1338">
        <v>1000</v>
      </c>
      <c r="J1338"/>
      <c r="K1338" t="inlineStr">
        <is>
          <t>美术课件</t>
        </is>
      </c>
      <c r="L1338"/>
      <c r="M1338" t="inlineStr">
        <is>
          <t>夹子老师美术的店</t>
        </is>
      </c>
      <c r="N1338">
        <v>4087</v>
      </c>
      <c r="O1338">
        <v>4.3</v>
      </c>
      <c r="P1338">
        <v>2429</v>
      </c>
      <c r="Q1338" t="inlineStr">
        <is>
          <t>694243ee4b4ce100010ace27</t>
        </is>
      </c>
      <c r="R1338"/>
      <c r="S1338" t="inlineStr">
        <is>
          <t>中小学教辅/教材</t>
        </is>
      </c>
      <c r="T1338" t="inlineStr">
        <is>
          <t>0.44</t>
        </is>
      </c>
      <c r="U1338" s="3">
        <v>46112.78107638889</v>
      </c>
      <c r="V1338" t="inlineStr">
        <is>
          <t>虚拟产品</t>
        </is>
      </c>
      <c r="W1338" s="3">
        <v>46045</v>
      </c>
      <c r="X1338" t="inlineStr">
        <is>
          <t>01</t>
        </is>
      </c>
      <c r="Y1338" t="inlineStr">
        <is>
          <t>2026-Q1</t>
        </is>
      </c>
    </row>
    <row r="1339" ht="38.25" customHeight="1">
      <c r="A1339" t="inlineStr">
        <is>
          <t>2025人教新八上PPT课件（已WPS加密需授权）更新中</t>
        </is>
      </c>
      <c r="B1339" t="inlineStr">
        <is>
          <t>recv95UHBcXhpV.jpg</t>
        </is>
      </c>
      <c r="C1339" s="2" t="str">
        <f>=HYPERLINK("https://xhslink.com/m/2bnCiK64iLW", "https://xhslink.com/m/2bnCiK64iLW")</f>
        <v>https://xhslink.com/m/2bnCiK64iLW</v>
      </c>
      <c r="D1339"/>
      <c r="E1339">
        <v>1691</v>
      </c>
      <c r="F1339">
        <v>60</v>
      </c>
      <c r="G1339"/>
      <c r="H1339"/>
      <c r="I1339">
        <v>400</v>
      </c>
      <c r="J1339"/>
      <c r="K1339" t="inlineStr">
        <is>
          <t>美术课件</t>
        </is>
      </c>
      <c r="L1339"/>
      <c r="M1339" t="inlineStr">
        <is>
          <t>Tang原创课件的店</t>
        </is>
      </c>
      <c r="N1339">
        <v>72000</v>
      </c>
      <c r="O1339">
        <v>4.39</v>
      </c>
      <c r="P1339">
        <v>75000</v>
      </c>
      <c r="Q1339" t="inlineStr">
        <is>
          <t>68a5d18af38f970001a7a39e</t>
        </is>
      </c>
      <c r="R1339" t="inlineStr">
        <is>
          <t>🚫重复</t>
        </is>
      </c>
      <c r="S1339" t="inlineStr">
        <is>
          <t>PPT模板</t>
        </is>
      </c>
      <c r="T1339" t="inlineStr">
        <is>
          <t>0.02</t>
        </is>
      </c>
      <c r="U1339" s="3">
        <v>46112.78107638889</v>
      </c>
      <c r="V1339" t="inlineStr">
        <is>
          <t>虚拟产品</t>
        </is>
      </c>
      <c r="W1339" s="3">
        <v>46045</v>
      </c>
      <c r="X1339" t="inlineStr">
        <is>
          <t>01</t>
        </is>
      </c>
      <c r="Y1339" t="inlineStr">
        <is>
          <t>2026-Q1</t>
        </is>
      </c>
    </row>
    <row r="1340" ht="38.25" customHeight="1">
      <c r="A1340" t="inlineStr">
        <is>
          <t>新版人教美术三年级上册课件+同步教案</t>
        </is>
      </c>
      <c r="B1340" t="inlineStr">
        <is>
          <t>recv95UHBcQqRS.jpg</t>
        </is>
      </c>
      <c r="C1340" s="2" t="str">
        <f>=HYPERLINK("https://xhslink.com/m/7IMpzo673Pq", "https://xhslink.com/m/7IMpzo673Pq")</f>
        <v>https://xhslink.com/m/7IMpzo673Pq</v>
      </c>
      <c r="D1340"/>
      <c r="E1340">
        <v>1329</v>
      </c>
      <c r="F1340">
        <v>88</v>
      </c>
      <c r="G1340"/>
      <c r="H1340"/>
      <c r="I1340">
        <v>400</v>
      </c>
      <c r="J1340"/>
      <c r="K1340" t="inlineStr">
        <is>
          <t>美术课件</t>
        </is>
      </c>
      <c r="L1340"/>
      <c r="M1340" t="inlineStr">
        <is>
          <t>爱画画的豚豚老师🍊的店</t>
        </is>
      </c>
      <c r="N1340">
        <v>3641</v>
      </c>
      <c r="O1340">
        <v>4.29</v>
      </c>
      <c r="P1340">
        <v>6077</v>
      </c>
      <c r="Q1340" t="inlineStr">
        <is>
          <t>689d56d51745f60001d21a44</t>
        </is>
      </c>
      <c r="R1340" t="inlineStr">
        <is>
          <t>🚫重复</t>
        </is>
      </c>
      <c r="S1340" t="inlineStr">
        <is>
          <t>中小学教辅/教材</t>
        </is>
      </c>
      <c r="T1340" t="inlineStr">
        <is>
          <t>0.37</t>
        </is>
      </c>
      <c r="U1340" s="3">
        <v>46112.78107638889</v>
      </c>
      <c r="V1340" t="inlineStr">
        <is>
          <t>虚拟产品</t>
        </is>
      </c>
      <c r="W1340" s="3">
        <v>46045</v>
      </c>
      <c r="X1340" t="inlineStr">
        <is>
          <t>01</t>
        </is>
      </c>
      <c r="Y1340" t="inlineStr">
        <is>
          <t>2026-Q1</t>
        </is>
      </c>
    </row>
    <row r="1341" ht="38.25" customHeight="1">
      <c r="A1341" t="inlineStr">
        <is>
          <t>人美版四年级上册美术课件全册课件+教案（共15课）</t>
        </is>
      </c>
      <c r="B1341" t="inlineStr">
        <is>
          <t>recv95UHBcoVtX.jpg</t>
        </is>
      </c>
      <c r="C1341" s="2" t="str">
        <f>=HYPERLINK("https://xhslink.com/m/A9XkIwuBjKd", "https://xhslink.com/m/A9XkIwuBjKd")</f>
        <v>https://xhslink.com/m/A9XkIwuBjKd</v>
      </c>
      <c r="D1341"/>
      <c r="E1341">
        <v>1168</v>
      </c>
      <c r="F1341">
        <v>49.9</v>
      </c>
      <c r="G1341"/>
      <c r="H1341"/>
      <c r="I1341">
        <v>800</v>
      </c>
      <c r="J1341"/>
      <c r="K1341" t="inlineStr">
        <is>
          <t>美术课件</t>
        </is>
      </c>
      <c r="L1341"/>
      <c r="M1341" t="inlineStr">
        <is>
          <t>美术老师西西的店</t>
        </is>
      </c>
      <c r="N1341">
        <v>495</v>
      </c>
      <c r="O1341">
        <v>4.34</v>
      </c>
      <c r="P1341">
        <v>2383</v>
      </c>
      <c r="Q1341" t="inlineStr">
        <is>
          <t>693aaace838dce00016f700d</t>
        </is>
      </c>
      <c r="R1341" t="inlineStr">
        <is>
          <t>🚫重复</t>
        </is>
      </c>
      <c r="S1341" t="inlineStr">
        <is>
          <t>中小学教辅/教材</t>
        </is>
      </c>
      <c r="T1341" t="inlineStr">
        <is>
          <t>2.36</t>
        </is>
      </c>
      <c r="U1341" s="3">
        <v>46112.78107638889</v>
      </c>
      <c r="V1341" t="inlineStr">
        <is>
          <t>虚拟产品</t>
        </is>
      </c>
      <c r="W1341" s="3">
        <v>46045</v>
      </c>
      <c r="X1341" t="inlineStr">
        <is>
          <t>01</t>
        </is>
      </c>
      <c r="Y1341" t="inlineStr">
        <is>
          <t>2026-Q1</t>
        </is>
      </c>
    </row>
    <row r="1342" ht="38.25" customHeight="1">
      <c r="A1342" t="inlineStr">
        <is>
          <t>小学美术人教版四年级上册公开课课件教案</t>
        </is>
      </c>
      <c r="B1342" t="inlineStr">
        <is>
          <t>recv95UHBckYhW.jpg</t>
        </is>
      </c>
      <c r="C1342" s="2" t="str">
        <f>=HYPERLINK("https://xhslink.com/m/LPMfP74cjX", "https://xhslink.com/m/LPMfP74cjX")</f>
        <v>https://xhslink.com/m/LPMfP74cjX</v>
      </c>
      <c r="D1342"/>
      <c r="E1342">
        <v>749</v>
      </c>
      <c r="F1342">
        <v>49.9</v>
      </c>
      <c r="G1342"/>
      <c r="H1342"/>
      <c r="I1342"/>
      <c r="J1342"/>
      <c r="K1342" t="inlineStr">
        <is>
          <t>美术课件</t>
        </is>
      </c>
      <c r="L1342"/>
      <c r="M1342" t="inlineStr">
        <is>
          <t>小七美术的店</t>
        </is>
      </c>
      <c r="N1342">
        <v>523</v>
      </c>
      <c r="O1342">
        <v>3.9</v>
      </c>
      <c r="P1342">
        <v>2045</v>
      </c>
      <c r="Q1342" t="inlineStr">
        <is>
          <t>68b2c0d38ec6fa000168ab8a</t>
        </is>
      </c>
      <c r="R1342" t="inlineStr">
        <is>
          <t>🚫重复</t>
        </is>
      </c>
      <c r="S1342" t="inlineStr">
        <is>
          <t>中小学教辅/教材</t>
        </is>
      </c>
      <c r="T1342" t="inlineStr">
        <is>
          <t>1.43</t>
        </is>
      </c>
      <c r="U1342" s="3">
        <v>46112.78107638889</v>
      </c>
      <c r="V1342" t="inlineStr">
        <is>
          <t>虚拟产品</t>
        </is>
      </c>
      <c r="W1342" s="3">
        <v>46045</v>
      </c>
      <c r="X1342" t="inlineStr">
        <is>
          <t>01</t>
        </is>
      </c>
      <c r="Y1342" t="inlineStr">
        <is>
          <t>2026-Q1</t>
        </is>
      </c>
    </row>
    <row r="1343" ht="38.25" customHeight="1">
      <c r="A1343" t="inlineStr">
        <is>
          <t>苏少版/苏教版二上新教材美术ppt课件【仅单课】</t>
        </is>
      </c>
      <c r="B1343" t="inlineStr">
        <is>
          <t>recv95UHBcpdDG.jpg</t>
        </is>
      </c>
      <c r="C1343" s="2" t="str">
        <f>=HYPERLINK("https://xhslink.com/m/AE6l1v9MQTI", "https://xhslink.com/m/AE6l1v9MQTI")</f>
        <v>https://xhslink.com/m/AE6l1v9MQTI</v>
      </c>
      <c r="D1343"/>
      <c r="E1343">
        <v>731</v>
      </c>
      <c r="F1343">
        <v>235</v>
      </c>
      <c r="G1343"/>
      <c r="H1343"/>
      <c r="I1343">
        <v>200</v>
      </c>
      <c r="J1343"/>
      <c r="K1343" t="inlineStr">
        <is>
          <t>美术课件</t>
        </is>
      </c>
      <c r="L1343"/>
      <c r="M1343" t="inlineStr">
        <is>
          <t>叮当美术🎨的店</t>
        </is>
      </c>
      <c r="N1343">
        <v>775</v>
      </c>
      <c r="O1343">
        <v>4.28</v>
      </c>
      <c r="P1343">
        <v>3020</v>
      </c>
      <c r="Q1343" t="inlineStr">
        <is>
          <t>68973620f9d7c80001c52d5d</t>
        </is>
      </c>
      <c r="R1343"/>
      <c r="S1343" t="inlineStr">
        <is>
          <t>PPT模板</t>
        </is>
      </c>
      <c r="T1343" t="inlineStr">
        <is>
          <t>0.94</t>
        </is>
      </c>
      <c r="U1343" s="3">
        <v>46112.78107638889</v>
      </c>
      <c r="V1343" t="inlineStr">
        <is>
          <t>虚拟产品</t>
        </is>
      </c>
      <c r="W1343" s="3">
        <v>46045</v>
      </c>
      <c r="X1343" t="inlineStr">
        <is>
          <t>01</t>
        </is>
      </c>
      <c r="Y1343" t="inlineStr">
        <is>
          <t>2026-Q1</t>
        </is>
      </c>
    </row>
    <row r="1344" ht="38.25" customHeight="1">
      <c r="A1344" t="inlineStr">
        <is>
          <t>新教材人教版美术二年级上册课件教案全套</t>
        </is>
      </c>
      <c r="B1344" t="inlineStr">
        <is>
          <t>recv95UHBc7Brz.jpg</t>
        </is>
      </c>
      <c r="C1344" s="2" t="str">
        <f>=HYPERLINK("https://xhslink.com/m/5R6y1ShVIxZ", "https://xhslink.com/m/5R6y1ShVIxZ")</f>
        <v>https://xhslink.com/m/5R6y1ShVIxZ</v>
      </c>
      <c r="D1344"/>
      <c r="E1344">
        <v>712</v>
      </c>
      <c r="F1344">
        <v>189</v>
      </c>
      <c r="G1344"/>
      <c r="H1344"/>
      <c r="I1344">
        <v>200</v>
      </c>
      <c r="J1344"/>
      <c r="K1344" t="inlineStr">
        <is>
          <t>美术课件</t>
        </is>
      </c>
      <c r="L1344"/>
      <c r="M1344" t="inlineStr">
        <is>
          <t>小杨老师的店</t>
        </is>
      </c>
      <c r="N1344">
        <v>6517</v>
      </c>
      <c r="O1344">
        <v>3.95</v>
      </c>
      <c r="P1344">
        <v>4306</v>
      </c>
      <c r="Q1344" t="inlineStr">
        <is>
          <t>68b5b2850c1e9b000185eb10</t>
        </is>
      </c>
      <c r="R1344" t="inlineStr">
        <is>
          <t>🚫重复</t>
        </is>
      </c>
      <c r="S1344" t="inlineStr">
        <is>
          <t>中小学教辅/教材</t>
        </is>
      </c>
      <c r="T1344" t="inlineStr">
        <is>
          <t>0.11</t>
        </is>
      </c>
      <c r="U1344" s="3">
        <v>46112.78107638889</v>
      </c>
      <c r="V1344" t="inlineStr">
        <is>
          <t>虚拟产品</t>
        </is>
      </c>
      <c r="W1344" s="3">
        <v>46045</v>
      </c>
      <c r="X1344" t="inlineStr">
        <is>
          <t>01</t>
        </is>
      </c>
      <c r="Y1344" t="inlineStr">
        <is>
          <t>2026-Q1</t>
        </is>
      </c>
    </row>
    <row r="1345" ht="38.25" customHeight="1">
      <c r="A1345" t="inlineStr">
        <is>
          <t>人教版美术八年级～精品课件资源</t>
        </is>
      </c>
      <c r="B1345" t="inlineStr">
        <is>
          <t>recv95UHBcmYhu.jpg</t>
        </is>
      </c>
      <c r="C1345" s="2" t="str">
        <f>=HYPERLINK("https://xhslink.com/m/9wjXq0YkgZZ", "https://xhslink.com/m/9wjXq0YkgZZ")</f>
        <v>https://xhslink.com/m/9wjXq0YkgZZ</v>
      </c>
      <c r="D1345"/>
      <c r="E1345">
        <v>732</v>
      </c>
      <c r="F1345">
        <v>90</v>
      </c>
      <c r="G1345"/>
      <c r="H1345"/>
      <c r="I1345">
        <v>200</v>
      </c>
      <c r="J1345"/>
      <c r="K1345" t="inlineStr">
        <is>
          <t>美术课件</t>
        </is>
      </c>
      <c r="L1345"/>
      <c r="M1345" t="inlineStr">
        <is>
          <t>亿口干货的店</t>
        </is>
      </c>
      <c r="N1345">
        <v>7220</v>
      </c>
      <c r="O1345">
        <v>4.35</v>
      </c>
      <c r="P1345">
        <v>15000</v>
      </c>
      <c r="Q1345" t="inlineStr">
        <is>
          <t>68a930529a16410001236816</t>
        </is>
      </c>
      <c r="R1345"/>
      <c r="S1345" t="inlineStr">
        <is>
          <t>中小学教辅/教材</t>
        </is>
      </c>
      <c r="T1345" t="inlineStr">
        <is>
          <t>0.10</t>
        </is>
      </c>
      <c r="U1345" s="3">
        <v>46112.78107638889</v>
      </c>
      <c r="V1345" t="inlineStr">
        <is>
          <t>虚拟产品</t>
        </is>
      </c>
      <c r="W1345" s="3">
        <v>46045</v>
      </c>
      <c r="X1345" t="inlineStr">
        <is>
          <t>01</t>
        </is>
      </c>
      <c r="Y1345" t="inlineStr">
        <is>
          <t>2026-Q1</t>
        </is>
      </c>
    </row>
    <row r="1346" ht="38.25" customHeight="1">
      <c r="A1346" t="inlineStr">
        <is>
          <t>新苏教苏少版小学美术一二三四五六年级上下册PPT课件教案电子版</t>
        </is>
      </c>
      <c r="B1346" t="inlineStr">
        <is>
          <t>recv95UHBcZhVy.jpg</t>
        </is>
      </c>
      <c r="C1346" s="2" t="str">
        <f>=HYPERLINK("https://xhslink.com/m/5H0234I37ID", "https://xhslink.com/m/5H0234I37ID")</f>
        <v>https://xhslink.com/m/5H0234I37ID</v>
      </c>
      <c r="D1346"/>
      <c r="E1346">
        <v>541</v>
      </c>
      <c r="F1346">
        <v>49.9</v>
      </c>
      <c r="G1346"/>
      <c r="H1346"/>
      <c r="I1346">
        <v>200</v>
      </c>
      <c r="J1346"/>
      <c r="K1346" t="inlineStr">
        <is>
          <t>美术课件</t>
        </is>
      </c>
      <c r="L1346"/>
      <c r="M1346" t="inlineStr">
        <is>
          <t>杨老师的资料的店</t>
        </is>
      </c>
      <c r="N1346">
        <v>456</v>
      </c>
      <c r="O1346">
        <v>3.88</v>
      </c>
      <c r="P1346">
        <v>1851</v>
      </c>
      <c r="Q1346" t="inlineStr">
        <is>
          <t>68d5f3c653446d000198a721</t>
        </is>
      </c>
      <c r="R1346"/>
      <c r="S1346" t="inlineStr">
        <is>
          <t>中小学教辅/教材</t>
        </is>
      </c>
      <c r="T1346" t="inlineStr">
        <is>
          <t>1.19</t>
        </is>
      </c>
      <c r="U1346" s="3">
        <v>46112.78107638889</v>
      </c>
      <c r="V1346" t="inlineStr">
        <is>
          <t>虚拟产品</t>
        </is>
      </c>
      <c r="W1346" s="3">
        <v>46045</v>
      </c>
      <c r="X1346" t="inlineStr">
        <is>
          <t>01</t>
        </is>
      </c>
      <c r="Y1346" t="inlineStr">
        <is>
          <t>2026-Q1</t>
        </is>
      </c>
    </row>
    <row r="1347" ht="38.25" customHeight="1">
      <c r="A1347" t="inlineStr">
        <is>
          <t>马年课件（新年课件）ppt60+个，赠送元宵节课件，持续更新</t>
        </is>
      </c>
      <c r="B1347" t="inlineStr">
        <is>
          <t>recv95UHBcbFOE.jpg</t>
        </is>
      </c>
      <c r="C1347" s="2" t="str">
        <f>=HYPERLINK("https://xhslink.com/m/279uOOTBQTu", "https://xhslink.com/m/279uOOTBQTu")</f>
        <v>https://xhslink.com/m/279uOOTBQTu</v>
      </c>
      <c r="D1347"/>
      <c r="E1347">
        <v>308</v>
      </c>
      <c r="F1347">
        <v>10.9</v>
      </c>
      <c r="G1347"/>
      <c r="H1347"/>
      <c r="I1347">
        <v>300</v>
      </c>
      <c r="J1347"/>
      <c r="K1347" t="inlineStr">
        <is>
          <t>美术课件</t>
        </is>
      </c>
      <c r="L1347"/>
      <c r="M1347" t="inlineStr">
        <is>
          <t>🍑桃子老师教画画🎨的店</t>
        </is>
      </c>
      <c r="N1347">
        <v>1105</v>
      </c>
      <c r="O1347">
        <v>4</v>
      </c>
      <c r="P1347">
        <v>916</v>
      </c>
      <c r="Q1347" t="inlineStr">
        <is>
          <t>6940f00c8a05770001577f3f</t>
        </is>
      </c>
      <c r="R1347"/>
      <c r="S1347" t="inlineStr">
        <is>
          <t>PPT模板</t>
        </is>
      </c>
      <c r="T1347" t="inlineStr">
        <is>
          <t>0.28</t>
        </is>
      </c>
      <c r="U1347" s="3">
        <v>46112.78107638889</v>
      </c>
      <c r="V1347" t="inlineStr">
        <is>
          <t>虚拟产品</t>
        </is>
      </c>
      <c r="W1347" s="3">
        <v>46045</v>
      </c>
      <c r="X1347" t="inlineStr">
        <is>
          <t>01</t>
        </is>
      </c>
      <c r="Y1347" t="inlineStr">
        <is>
          <t>2026-Q1</t>
        </is>
      </c>
    </row>
    <row r="1348" ht="38.25" customHeight="1">
      <c r="A1348" t="inlineStr">
        <is>
          <t>27考研/28考研择校小程序打破院校信息差</t>
        </is>
      </c>
      <c r="B1348" t="inlineStr">
        <is>
          <t>recv96fACg34j0.jpg</t>
        </is>
      </c>
      <c r="C1348" s="2" t="str">
        <f>=HYPERLINK("https://xhslink.com/m/2txFhL6uAgx", "https://xhslink.com/m/2txFhL6uAgx")</f>
        <v>https://xhslink.com/m/2txFhL6uAgx</v>
      </c>
      <c r="D1348"/>
      <c r="E1348">
        <v>12000</v>
      </c>
      <c r="F1348">
        <v>15</v>
      </c>
      <c r="G1348"/>
      <c r="H1348"/>
      <c r="I1348">
        <v>800</v>
      </c>
      <c r="J1348"/>
      <c r="K1348" t="inlineStr">
        <is>
          <t>考研</t>
        </is>
      </c>
      <c r="L1348"/>
      <c r="M1348" t="inlineStr">
        <is>
          <t>考研小鲤梦的店</t>
        </is>
      </c>
      <c r="N1348">
        <v>8003</v>
      </c>
      <c r="O1348">
        <v>4.44</v>
      </c>
      <c r="P1348">
        <v>58000</v>
      </c>
      <c r="Q1348" t="inlineStr">
        <is>
          <t>65fe3a32ca2e600001dacb0c</t>
        </is>
      </c>
      <c r="R1348" t="inlineStr">
        <is>
          <t>🚫重复</t>
        </is>
      </c>
      <c r="S1348" t="inlineStr">
        <is>
          <t>考研资料</t>
        </is>
      </c>
      <c r="T1348" t="inlineStr">
        <is>
          <t>1.50</t>
        </is>
      </c>
      <c r="U1348" s="3">
        <v>46112.78107638889</v>
      </c>
      <c r="V1348" t="inlineStr">
        <is>
          <t>虚拟产品</t>
        </is>
      </c>
      <c r="W1348" s="3">
        <v>46045</v>
      </c>
      <c r="X1348" t="inlineStr">
        <is>
          <t>01</t>
        </is>
      </c>
      <c r="Y1348" t="inlineStr">
        <is>
          <t>2026-Q1</t>
        </is>
      </c>
    </row>
    <row r="1349" ht="38.25" customHeight="1">
      <c r="A1349" t="inlineStr">
        <is>
          <t>27/28考研院校专业选择资料解析【打破考研信息差】</t>
        </is>
      </c>
      <c r="B1349" t="inlineStr">
        <is>
          <t>recv96fACg0Kco.jpg</t>
        </is>
      </c>
      <c r="C1349" s="2" t="str">
        <f>=HYPERLINK("https://xhslink.com/m/20pozU7vxpH", "https://xhslink.com/m/20pozU7vxpH")</f>
        <v>https://xhslink.com/m/20pozU7vxpH</v>
      </c>
      <c r="D1349"/>
      <c r="E1349">
        <v>7447</v>
      </c>
      <c r="F1349">
        <v>10</v>
      </c>
      <c r="G1349"/>
      <c r="H1349"/>
      <c r="I1349">
        <v>500</v>
      </c>
      <c r="J1349"/>
      <c r="K1349" t="inlineStr">
        <is>
          <t>考研</t>
        </is>
      </c>
      <c r="L1349" t="inlineStr">
        <is>
          <t>🔥低粉爆款</t>
        </is>
      </c>
      <c r="M1349" t="inlineStr">
        <is>
          <t>鲨鲨熊不熬夜的店</t>
        </is>
      </c>
      <c r="N1349">
        <v>1158</v>
      </c>
      <c r="O1349">
        <v>4.43</v>
      </c>
      <c r="P1349">
        <v>7509</v>
      </c>
      <c r="Q1349" t="inlineStr">
        <is>
          <t>68299b0d5380b8000108ebb7</t>
        </is>
      </c>
      <c r="R1349"/>
      <c r="S1349" t="inlineStr">
        <is>
          <t>考研资料</t>
        </is>
      </c>
      <c r="T1349" t="inlineStr">
        <is>
          <t>6.43</t>
        </is>
      </c>
      <c r="U1349" s="3">
        <v>46112.78107638889</v>
      </c>
      <c r="V1349" t="inlineStr">
        <is>
          <t>虚拟产品</t>
        </is>
      </c>
      <c r="W1349" s="3">
        <v>46045</v>
      </c>
      <c r="X1349" t="inlineStr">
        <is>
          <t>01</t>
        </is>
      </c>
      <c r="Y1349" t="inlineStr">
        <is>
          <t>2026-Q1</t>
        </is>
      </c>
    </row>
    <row r="1350" ht="38.25" customHeight="1">
      <c r="A1350" t="inlineStr">
        <is>
          <t>送答疑26考研政治刷题小程序肖四肖八腿8徐6米鹏强化押题解析错题</t>
        </is>
      </c>
      <c r="B1350" t="inlineStr">
        <is>
          <t>recv96fACg4TWJ.jpg</t>
        </is>
      </c>
      <c r="C1350" s="2" t="str">
        <f>=HYPERLINK("https://xhslink.com/m/7DUj29KfhvF", "https://xhslink.com/m/7DUj29KfhvF")</f>
        <v>https://xhslink.com/m/7DUj29KfhvF</v>
      </c>
      <c r="D1350"/>
      <c r="E1350">
        <v>3382</v>
      </c>
      <c r="F1350">
        <v>199</v>
      </c>
      <c r="G1350"/>
      <c r="H1350"/>
      <c r="I1350">
        <v>1000</v>
      </c>
      <c r="J1350"/>
      <c r="K1350" t="inlineStr">
        <is>
          <t>考研</t>
        </is>
      </c>
      <c r="L1350"/>
      <c r="M1350" t="inlineStr">
        <is>
          <t>一等文考研【作文模板定制】的店</t>
        </is>
      </c>
      <c r="N1350">
        <v>1135</v>
      </c>
      <c r="O1350">
        <v>4.27</v>
      </c>
      <c r="P1350">
        <v>4190</v>
      </c>
      <c r="Q1350" t="inlineStr">
        <is>
          <t>68010ee7085471000122d68c</t>
        </is>
      </c>
      <c r="R1350"/>
      <c r="S1350" t="inlineStr">
        <is>
          <t>考研资料</t>
        </is>
      </c>
      <c r="T1350" t="inlineStr">
        <is>
          <t>2.98</t>
        </is>
      </c>
      <c r="U1350" s="3">
        <v>46112.78107638889</v>
      </c>
      <c r="V1350" t="inlineStr">
        <is>
          <t>虚拟产品</t>
        </is>
      </c>
      <c r="W1350" s="3">
        <v>46045</v>
      </c>
      <c r="X1350" t="inlineStr">
        <is>
          <t>01</t>
        </is>
      </c>
      <c r="Y1350" t="inlineStr">
        <is>
          <t>2026-Q1</t>
        </is>
      </c>
    </row>
    <row r="1351" ht="38.25" customHeight="1">
      <c r="A1351" t="inlineStr">
        <is>
          <t>【只背三个模板】26考研英语小作文模板笔记超地道语料库原创模版</t>
        </is>
      </c>
      <c r="B1351" t="inlineStr">
        <is>
          <t>recv96fACge6Cy.jpg</t>
        </is>
      </c>
      <c r="C1351" s="2" t="str">
        <f>=HYPERLINK("https://xhslink.com/m/AbJmG8WuMXK", "https://xhslink.com/m/AbJmG8WuMXK")</f>
        <v>https://xhslink.com/m/AbJmG8WuMXK</v>
      </c>
      <c r="D1351"/>
      <c r="E1351">
        <v>2378</v>
      </c>
      <c r="F1351">
        <v>19.9</v>
      </c>
      <c r="G1351"/>
      <c r="H1351"/>
      <c r="I1351">
        <v>2000</v>
      </c>
      <c r="J1351"/>
      <c r="K1351" t="inlineStr">
        <is>
          <t>考研</t>
        </is>
      </c>
      <c r="L1351"/>
      <c r="M1351" t="inlineStr">
        <is>
          <t>如履薄冰ice的店</t>
        </is>
      </c>
      <c r="N1351">
        <v>3719</v>
      </c>
      <c r="O1351">
        <v>4.32</v>
      </c>
      <c r="P1351">
        <v>2920</v>
      </c>
      <c r="Q1351" t="inlineStr">
        <is>
          <t>6899d8d4015b44000117784f</t>
        </is>
      </c>
      <c r="R1351" t="inlineStr">
        <is>
          <t>🚫重复</t>
        </is>
      </c>
      <c r="S1351" t="inlineStr">
        <is>
          <t>考研资料</t>
        </is>
      </c>
      <c r="T1351" t="inlineStr">
        <is>
          <t>0.64</t>
        </is>
      </c>
      <c r="U1351" s="3">
        <v>46112.78107638889</v>
      </c>
      <c r="V1351" t="inlineStr">
        <is>
          <t>虚拟产品</t>
        </is>
      </c>
      <c r="W1351" s="3">
        <v>46045</v>
      </c>
      <c r="X1351" t="inlineStr">
        <is>
          <t>01</t>
        </is>
      </c>
      <c r="Y1351" t="inlineStr">
        <is>
          <t>2026-Q1</t>
        </is>
      </c>
    </row>
    <row r="1352" ht="38.25" customHeight="1">
      <c r="A1352" t="inlineStr">
        <is>
          <t>26年考研冲刺急救包（考前必背）</t>
        </is>
      </c>
      <c r="B1352" t="inlineStr">
        <is>
          <t>recv96fACgyJK0.jpg</t>
        </is>
      </c>
      <c r="C1352" s="2" t="str">
        <f>=HYPERLINK("https://xhslink.com/m/3YxQHu47THf", "https://xhslink.com/m/3YxQHu47THf")</f>
        <v>https://xhslink.com/m/3YxQHu47THf</v>
      </c>
      <c r="D1352"/>
      <c r="E1352">
        <v>2260</v>
      </c>
      <c r="F1352">
        <v>9.99</v>
      </c>
      <c r="G1352"/>
      <c r="H1352"/>
      <c r="I1352">
        <v>2000</v>
      </c>
      <c r="J1352"/>
      <c r="K1352" t="inlineStr">
        <is>
          <t>考研</t>
        </is>
      </c>
      <c r="L1352" t="inlineStr">
        <is>
          <t>🔥低粉爆款</t>
        </is>
      </c>
      <c r="M1352" t="inlineStr">
        <is>
          <t>奋斗小白的店</t>
        </is>
      </c>
      <c r="N1352">
        <v>368</v>
      </c>
      <c r="O1352">
        <v>4.23</v>
      </c>
      <c r="P1352">
        <v>12000</v>
      </c>
      <c r="Q1352" t="inlineStr">
        <is>
          <t>69211e4c603b4e0001f34f1d</t>
        </is>
      </c>
      <c r="R1352" t="inlineStr">
        <is>
          <t>🚫重复</t>
        </is>
      </c>
      <c r="S1352" t="inlineStr">
        <is>
          <t>考研资料</t>
        </is>
      </c>
      <c r="T1352" t="inlineStr">
        <is>
          <t>6.14</t>
        </is>
      </c>
      <c r="U1352" s="3">
        <v>46112.78107638889</v>
      </c>
      <c r="V1352" t="inlineStr">
        <is>
          <t>虚拟产品</t>
        </is>
      </c>
      <c r="W1352" s="3">
        <v>46045</v>
      </c>
      <c r="X1352" t="inlineStr">
        <is>
          <t>01</t>
        </is>
      </c>
      <c r="Y1352" t="inlineStr">
        <is>
          <t>2026-Q1</t>
        </is>
      </c>
    </row>
    <row r="1353" ht="38.25" customHeight="1">
      <c r="A1353" t="inlineStr">
        <is>
          <t>自制OneNote文学考研笔记 适用26/27文学考研 五科 | 笔记同款</t>
        </is>
      </c>
      <c r="B1353" t="inlineStr">
        <is>
          <t>recv96fACgrBFS.jpg</t>
        </is>
      </c>
      <c r="C1353" s="2" t="str">
        <f>=HYPERLINK("https://xhslink.com/m/4LPWopzpnnM", "https://xhslink.com/m/4LPWopzpnnM")</f>
        <v>https://xhslink.com/m/4LPWopzpnnM</v>
      </c>
      <c r="D1353"/>
      <c r="E1353">
        <v>2038</v>
      </c>
      <c r="F1353">
        <v>39</v>
      </c>
      <c r="G1353"/>
      <c r="H1353"/>
      <c r="I1353">
        <v>200</v>
      </c>
      <c r="J1353"/>
      <c r="K1353" t="inlineStr">
        <is>
          <t>考研</t>
        </is>
      </c>
      <c r="L1353"/>
      <c r="M1353" t="inlineStr">
        <is>
          <t>文学过过过的店</t>
        </is>
      </c>
      <c r="N1353">
        <v>3185</v>
      </c>
      <c r="O1353">
        <v>4.35</v>
      </c>
      <c r="P1353">
        <v>15000</v>
      </c>
      <c r="Q1353" t="inlineStr">
        <is>
          <t>67655a6cc6c20a0001a6d05e</t>
        </is>
      </c>
      <c r="R1353"/>
      <c r="S1353" t="inlineStr">
        <is>
          <t>考研资料</t>
        </is>
      </c>
      <c r="T1353" t="inlineStr">
        <is>
          <t>0.64</t>
        </is>
      </c>
      <c r="U1353" s="3">
        <v>46112.78107638889</v>
      </c>
      <c r="V1353" t="inlineStr">
        <is>
          <t>虚拟产品</t>
        </is>
      </c>
      <c r="W1353" s="3">
        <v>46045</v>
      </c>
      <c r="X1353" t="inlineStr">
        <is>
          <t>01</t>
        </is>
      </c>
      <c r="Y1353" t="inlineStr">
        <is>
          <t>2026-Q1</t>
        </is>
      </c>
    </row>
    <row r="1354" ht="38.25" customHeight="1">
      <c r="A1354" t="inlineStr">
        <is>
          <t>优翼 · 【26春寒假计划】小学语数英寒假衔接预复习21天学习计划</t>
        </is>
      </c>
      <c r="B1354" t="inlineStr">
        <is>
          <t>recv96fACgAkbO.jpg</t>
        </is>
      </c>
      <c r="C1354" s="2" t="str">
        <f>=HYPERLINK("https://xhslink.com/m/9KJUPiqFb9P", "https://xhslink.com/m/9KJUPiqFb9P")</f>
        <v>https://xhslink.com/m/9KJUPiqFb9P</v>
      </c>
      <c r="D1354"/>
      <c r="E1354">
        <v>293</v>
      </c>
      <c r="F1354">
        <v>48.8</v>
      </c>
      <c r="G1354"/>
      <c r="H1354"/>
      <c r="I1354">
        <v>200</v>
      </c>
      <c r="J1354"/>
      <c r="K1354" t="inlineStr">
        <is>
          <t>寒假衔接</t>
        </is>
      </c>
      <c r="L1354"/>
      <c r="M1354" t="inlineStr">
        <is>
          <t>优翼旗舰店</t>
        </is>
      </c>
      <c r="N1354">
        <v>34000</v>
      </c>
      <c r="O1354">
        <v>4.53</v>
      </c>
      <c r="P1354">
        <v>6057</v>
      </c>
      <c r="Q1354" t="inlineStr">
        <is>
          <t>694263a60df67a0015e7f837</t>
        </is>
      </c>
      <c r="R1354"/>
      <c r="S1354" t="inlineStr">
        <is>
          <t>中小学教辅/教材</t>
        </is>
      </c>
      <c r="T1354" t="inlineStr">
        <is>
          <t>0.01</t>
        </is>
      </c>
      <c r="U1354" s="3">
        <v>46112.78107638889</v>
      </c>
      <c r="V1354" t="inlineStr">
        <is>
          <t>虚拟产品</t>
        </is>
      </c>
      <c r="W1354" s="3">
        <v>46045</v>
      </c>
      <c r="X1354" t="inlineStr">
        <is>
          <t>01</t>
        </is>
      </c>
      <c r="Y1354" t="inlineStr">
        <is>
          <t>2026-Q1</t>
        </is>
      </c>
    </row>
    <row r="1355" ht="38.25" customHeight="1">
      <c r="A1355" t="inlineStr">
        <is>
          <t>2025新教材初中地理知识点考点总结七八年级上下册读图速记手册</t>
        </is>
      </c>
      <c r="B1355" t="inlineStr">
        <is>
          <t>recv96fACghJK5.jpg</t>
        </is>
      </c>
      <c r="C1355" s="2" t="str">
        <f>=HYPERLINK("https://xhslink.com/m/3vhKV2FEaAt", "https://xhslink.com/m/3vhKV2FEaAt")</f>
        <v>https://xhslink.com/m/3vhKV2FEaAt</v>
      </c>
      <c r="D1355"/>
      <c r="E1355">
        <v>5001</v>
      </c>
      <c r="F1355">
        <v>300</v>
      </c>
      <c r="G1355"/>
      <c r="H1355"/>
      <c r="I1355">
        <v>200</v>
      </c>
      <c r="J1355"/>
      <c r="K1355" t="inlineStr">
        <is>
          <t>初中</t>
        </is>
      </c>
      <c r="L1355"/>
      <c r="M1355" t="inlineStr">
        <is>
          <t>默默老师的地理课的店</t>
        </is>
      </c>
      <c r="N1355">
        <v>44000</v>
      </c>
      <c r="O1355">
        <v>4.39</v>
      </c>
      <c r="P1355">
        <v>5247</v>
      </c>
      <c r="Q1355" t="inlineStr">
        <is>
          <t>64f0ac5369262b000147276d</t>
        </is>
      </c>
      <c r="R1355"/>
      <c r="S1355" t="inlineStr">
        <is>
          <t>中小学教辅/教材</t>
        </is>
      </c>
      <c r="T1355" t="inlineStr">
        <is>
          <t>0.11</t>
        </is>
      </c>
      <c r="U1355" s="3">
        <v>46112.78107638889</v>
      </c>
      <c r="V1355" t="inlineStr">
        <is>
          <t>虚拟产品</t>
        </is>
      </c>
      <c r="W1355" s="3">
        <v>46045</v>
      </c>
      <c r="X1355" t="inlineStr">
        <is>
          <t>01</t>
        </is>
      </c>
      <c r="Y1355" t="inlineStr">
        <is>
          <t>2026-Q1</t>
        </is>
      </c>
    </row>
    <row r="1356" ht="38.25" customHeight="1">
      <c r="A1356" t="inlineStr">
        <is>
          <t>2025张雪峰【初中提分笔记】新教材新中考初中复习知识清单考点集</t>
        </is>
      </c>
      <c r="B1356" t="inlineStr">
        <is>
          <t>recv96fACglHKF.jpg</t>
        </is>
      </c>
      <c r="C1356" s="2" t="str">
        <f>=HYPERLINK("https://xhslink.com/m/7kN7ughGsf1", "https://xhslink.com/m/7kN7ughGsf1")</f>
        <v>https://xhslink.com/m/7kN7ughGsf1</v>
      </c>
      <c r="D1356"/>
      <c r="E1356">
        <v>1601</v>
      </c>
      <c r="F1356">
        <v>340</v>
      </c>
      <c r="G1356"/>
      <c r="H1356"/>
      <c r="I1356">
        <v>1000</v>
      </c>
      <c r="J1356"/>
      <c r="K1356" t="inlineStr">
        <is>
          <t>初中</t>
        </is>
      </c>
      <c r="L1356" t="inlineStr">
        <is>
          <t>🔥低粉爆款</t>
        </is>
      </c>
      <c r="M1356" t="inlineStr">
        <is>
          <t>文韵小书屋的店</t>
        </is>
      </c>
      <c r="N1356">
        <v>30</v>
      </c>
      <c r="O1356">
        <v>4.68</v>
      </c>
      <c r="P1356">
        <v>2099</v>
      </c>
      <c r="Q1356" t="inlineStr">
        <is>
          <t>68e703087d3b3f0001fb90a2</t>
        </is>
      </c>
      <c r="R1356" t="inlineStr">
        <is>
          <t>🚫重复</t>
        </is>
      </c>
      <c r="S1356" t="inlineStr">
        <is>
          <t>中小学教辅/教材</t>
        </is>
      </c>
      <c r="T1356" t="inlineStr">
        <is>
          <t>53.37</t>
        </is>
      </c>
      <c r="U1356" s="3">
        <v>46112.78107638889</v>
      </c>
      <c r="V1356" t="inlineStr">
        <is>
          <t>虚拟产品</t>
        </is>
      </c>
      <c r="W1356" s="3">
        <v>46045</v>
      </c>
      <c r="X1356" t="inlineStr">
        <is>
          <t>01</t>
        </is>
      </c>
      <c r="Y1356" t="inlineStr">
        <is>
          <t>2026-Q1</t>
        </is>
      </c>
    </row>
    <row r="1357" ht="38.25" customHeight="1">
      <c r="A1357" t="inlineStr">
        <is>
          <t>天星教育 · 【高考解题快招】试题调研26版高中课本基础知识高考押题冲刺</t>
        </is>
      </c>
      <c r="B1357" t="inlineStr">
        <is>
          <t>recv96fACg20OA.jpg</t>
        </is>
      </c>
      <c r="C1357" s="2" t="str">
        <f>=HYPERLINK("https://xhslink.com/m/2js0HCL1z2f", "https://xhslink.com/m/2js0HCL1z2f")</f>
        <v>https://xhslink.com/m/2js0HCL1z2f</v>
      </c>
      <c r="D1357"/>
      <c r="E1357">
        <v>25000</v>
      </c>
      <c r="F1357">
        <v>52.8</v>
      </c>
      <c r="G1357"/>
      <c r="H1357"/>
      <c r="I1357">
        <v>2000</v>
      </c>
      <c r="J1357"/>
      <c r="K1357" t="inlineStr">
        <is>
          <t>高中</t>
        </is>
      </c>
      <c r="L1357"/>
      <c r="M1357" t="inlineStr">
        <is>
          <t>天星教育旗舰店</t>
        </is>
      </c>
      <c r="N1357">
        <v>228000</v>
      </c>
      <c r="O1357">
        <v>4.76</v>
      </c>
      <c r="P1357">
        <v>137000</v>
      </c>
      <c r="Q1357" t="inlineStr">
        <is>
          <t>6747d5f3ec68d700017e2849</t>
        </is>
      </c>
      <c r="R1357" t="inlineStr">
        <is>
          <t>🚫重复</t>
        </is>
      </c>
      <c r="S1357" t="inlineStr">
        <is>
          <t>高中/高考资料</t>
        </is>
      </c>
      <c r="T1357" t="inlineStr">
        <is>
          <t>0.11</t>
        </is>
      </c>
      <c r="U1357" s="3">
        <v>46112.78107638889</v>
      </c>
      <c r="V1357" t="inlineStr">
        <is>
          <t>虚拟产品</t>
        </is>
      </c>
      <c r="W1357" s="3">
        <v>46045</v>
      </c>
      <c r="X1357" t="inlineStr">
        <is>
          <t>01</t>
        </is>
      </c>
      <c r="Y1357" t="inlineStr">
        <is>
          <t>2026-Q1</t>
        </is>
      </c>
    </row>
    <row r="1358" ht="38.25" customHeight="1">
      <c r="A1358" t="inlineStr">
        <is>
          <t>作文纸条 · 一看就能用的作文素材经典素材2025高中备考议论文范文写作技巧书</t>
        </is>
      </c>
      <c r="B1358" t="inlineStr">
        <is>
          <t>recv96fACgISLh.jpg</t>
        </is>
      </c>
      <c r="C1358" s="2" t="str">
        <f>=HYPERLINK("https://xhslink.com/m/8MmJHXzHKJj", "https://xhslink.com/m/8MmJHXzHKJj")</f>
        <v>https://xhslink.com/m/8MmJHXzHKJj</v>
      </c>
      <c r="D1358"/>
      <c r="E1358">
        <v>22000</v>
      </c>
      <c r="F1358">
        <v>77.8</v>
      </c>
      <c r="G1358"/>
      <c r="H1358"/>
      <c r="I1358">
        <v>3000</v>
      </c>
      <c r="J1358"/>
      <c r="K1358" t="inlineStr">
        <is>
          <t>高中</t>
        </is>
      </c>
      <c r="L1358"/>
      <c r="M1358" t="inlineStr">
        <is>
          <t>作文纸条旗舰店</t>
        </is>
      </c>
      <c r="N1358">
        <v>157000</v>
      </c>
      <c r="O1358">
        <v>4.68</v>
      </c>
      <c r="P1358">
        <v>145000</v>
      </c>
      <c r="Q1358" t="inlineStr">
        <is>
          <t>6613a397c9b50f000189001c</t>
        </is>
      </c>
      <c r="R1358" t="inlineStr">
        <is>
          <t>🚫重复</t>
        </is>
      </c>
      <c r="S1358" t="inlineStr">
        <is>
          <t>高中/高考资料</t>
        </is>
      </c>
      <c r="T1358" t="inlineStr">
        <is>
          <t>0.14</t>
        </is>
      </c>
      <c r="U1358" s="3">
        <v>46112.78107638889</v>
      </c>
      <c r="V1358" t="inlineStr">
        <is>
          <t>虚拟产品</t>
        </is>
      </c>
      <c r="W1358" s="3">
        <v>46045</v>
      </c>
      <c r="X1358" t="inlineStr">
        <is>
          <t>01</t>
        </is>
      </c>
      <c r="Y1358" t="inlineStr">
        <is>
          <t>2026-Q1</t>
        </is>
      </c>
    </row>
    <row r="1359" ht="38.25" customHeight="1">
      <c r="A1359" t="inlineStr">
        <is>
          <t>【高中数学】十大专题提分技巧精品电子资料word</t>
        </is>
      </c>
      <c r="B1359" t="inlineStr">
        <is>
          <t>recv96fACgW48g.jpg</t>
        </is>
      </c>
      <c r="C1359" s="2" t="str">
        <f>=HYPERLINK("https://xhslink.com/m/2v2OJFdWD1M", "https://xhslink.com/m/2v2OJFdWD1M")</f>
        <v>https://xhslink.com/m/2v2OJFdWD1M</v>
      </c>
      <c r="D1359"/>
      <c r="E1359">
        <v>10000</v>
      </c>
      <c r="F1359">
        <v>29.9</v>
      </c>
      <c r="G1359"/>
      <c r="H1359"/>
      <c r="I1359">
        <v>700</v>
      </c>
      <c r="J1359"/>
      <c r="K1359" t="inlineStr">
        <is>
          <t>高中</t>
        </is>
      </c>
      <c r="L1359"/>
      <c r="M1359" t="inlineStr">
        <is>
          <t>发发的高中资料库的店</t>
        </is>
      </c>
      <c r="N1359">
        <v>16000</v>
      </c>
      <c r="O1359">
        <v>4.44</v>
      </c>
      <c r="P1359">
        <v>51000</v>
      </c>
      <c r="Q1359" t="inlineStr">
        <is>
          <t>6602fb6043184400019946ae</t>
        </is>
      </c>
      <c r="R1359" t="inlineStr">
        <is>
          <t>🚫重复</t>
        </is>
      </c>
      <c r="S1359" t="inlineStr">
        <is>
          <t>高中/高考资料</t>
        </is>
      </c>
      <c r="T1359" t="inlineStr">
        <is>
          <t>0.62</t>
        </is>
      </c>
      <c r="U1359" s="3">
        <v>46112.78107638889</v>
      </c>
      <c r="V1359" t="inlineStr">
        <is>
          <t>虚拟产品</t>
        </is>
      </c>
      <c r="W1359" s="3">
        <v>46045</v>
      </c>
      <c r="X1359" t="inlineStr">
        <is>
          <t>01</t>
        </is>
      </c>
      <c r="Y1359" t="inlineStr">
        <is>
          <t>2026-Q1</t>
        </is>
      </c>
    </row>
    <row r="1360" ht="38.25" customHeight="1">
      <c r="A1360" t="inlineStr">
        <is>
          <t>【多维全练】高中数学PDF+word基础提分</t>
        </is>
      </c>
      <c r="B1360" t="inlineStr">
        <is>
          <t>recv96fACgtXmQ.jpg</t>
        </is>
      </c>
      <c r="C1360" s="2" t="str">
        <f>=HYPERLINK("https://xhslink.com/m/5XseXm8kUMC", "https://xhslink.com/m/5XseXm8kUMC")</f>
        <v>https://xhslink.com/m/5XseXm8kUMC</v>
      </c>
      <c r="D1360"/>
      <c r="E1360">
        <v>3663</v>
      </c>
      <c r="F1360">
        <v>260</v>
      </c>
      <c r="G1360"/>
      <c r="H1360"/>
      <c r="I1360">
        <v>800</v>
      </c>
      <c r="J1360"/>
      <c r="K1360" t="inlineStr">
        <is>
          <t>高中</t>
        </is>
      </c>
      <c r="L1360"/>
      <c r="M1360" t="inlineStr">
        <is>
          <t>小安数学老师的店</t>
        </is>
      </c>
      <c r="N1360">
        <v>10000</v>
      </c>
      <c r="O1360">
        <v>4.5</v>
      </c>
      <c r="P1360">
        <v>9104</v>
      </c>
      <c r="Q1360" t="inlineStr">
        <is>
          <t>6874c0084485460001e69bf7</t>
        </is>
      </c>
      <c r="R1360" t="inlineStr">
        <is>
          <t>🚫重复</t>
        </is>
      </c>
      <c r="S1360" t="inlineStr">
        <is>
          <t>高中/高考资料</t>
        </is>
      </c>
      <c r="T1360" t="inlineStr">
        <is>
          <t>0.37</t>
        </is>
      </c>
      <c r="U1360" s="3">
        <v>46112.78107638889</v>
      </c>
      <c r="V1360" t="inlineStr">
        <is>
          <t>虚拟产品</t>
        </is>
      </c>
      <c r="W1360" s="3">
        <v>46045</v>
      </c>
      <c r="X1360" t="inlineStr">
        <is>
          <t>01</t>
        </is>
      </c>
      <c r="Y1360" t="inlineStr">
        <is>
          <t>2026-Q1</t>
        </is>
      </c>
    </row>
    <row r="1361" ht="38.25" customHeight="1">
      <c r="A1361" t="inlineStr">
        <is>
          <t>高中生物课件（注意是自制版），看好笔记再下单!!发网盘，不退换</t>
        </is>
      </c>
      <c r="B1361" t="inlineStr">
        <is>
          <t>recv96fACgNxOr.jpg</t>
        </is>
      </c>
      <c r="C1361" s="2" t="str">
        <f>=HYPERLINK("https://xhslink.com/m/4hgA1QTfZdW", "https://xhslink.com/m/4hgA1QTfZdW")</f>
        <v>https://xhslink.com/m/4hgA1QTfZdW</v>
      </c>
      <c r="D1361"/>
      <c r="E1361">
        <v>1451</v>
      </c>
      <c r="F1361">
        <v>279.99</v>
      </c>
      <c r="G1361"/>
      <c r="H1361"/>
      <c r="I1361">
        <v>400</v>
      </c>
      <c r="J1361"/>
      <c r="K1361" t="inlineStr">
        <is>
          <t>高中</t>
        </is>
      </c>
      <c r="L1361"/>
      <c r="M1361" t="inlineStr">
        <is>
          <t>生物小马老师的店</t>
        </is>
      </c>
      <c r="N1361">
        <v>4451</v>
      </c>
      <c r="O1361">
        <v>3.88</v>
      </c>
      <c r="P1361">
        <v>1757</v>
      </c>
      <c r="Q1361" t="inlineStr">
        <is>
          <t>683692a3db5737000118efcd</t>
        </is>
      </c>
      <c r="R1361" t="inlineStr">
        <is>
          <t>🚫重复</t>
        </is>
      </c>
      <c r="S1361" t="inlineStr">
        <is>
          <t>中小学教辅/教材</t>
        </is>
      </c>
      <c r="T1361" t="inlineStr">
        <is>
          <t>0.33</t>
        </is>
      </c>
      <c r="U1361" s="3">
        <v>46112.78107638889</v>
      </c>
      <c r="V1361" t="inlineStr">
        <is>
          <t>虚拟产品</t>
        </is>
      </c>
      <c r="W1361" s="3">
        <v>46045</v>
      </c>
      <c r="X1361" t="inlineStr">
        <is>
          <t>01</t>
        </is>
      </c>
      <c r="Y1361" t="inlineStr">
        <is>
          <t>2026-Q1</t>
        </is>
      </c>
    </row>
    <row r="1362" ht="38.25" customHeight="1">
      <c r="A1362" t="inlineStr">
        <is>
          <t>原创护眼纸彩印高中人教版政治笔记 教材同步 一轮复习预习备课</t>
        </is>
      </c>
      <c r="B1362" t="inlineStr">
        <is>
          <t>recv96fACgcSxI.jpg</t>
        </is>
      </c>
      <c r="C1362" s="2" t="str">
        <f>=HYPERLINK("https://xhslink.com/m/9Fr4Khz482M", "https://xhslink.com/m/9Fr4Khz482M")</f>
        <v>https://xhslink.com/m/9Fr4Khz482M</v>
      </c>
      <c r="D1362"/>
      <c r="E1362">
        <v>1205</v>
      </c>
      <c r="F1362">
        <v>280</v>
      </c>
      <c r="G1362"/>
      <c r="H1362"/>
      <c r="I1362">
        <v>200</v>
      </c>
      <c r="J1362"/>
      <c r="K1362" t="inlineStr">
        <is>
          <t>高中</t>
        </is>
      </c>
      <c r="L1362"/>
      <c r="M1362" t="inlineStr">
        <is>
          <t>写笔记的竹子的店</t>
        </is>
      </c>
      <c r="N1362">
        <v>2625</v>
      </c>
      <c r="O1362">
        <v>4.73</v>
      </c>
      <c r="P1362">
        <v>3668</v>
      </c>
      <c r="Q1362" t="inlineStr">
        <is>
          <t>68537c23d4dabb000106fc9d</t>
        </is>
      </c>
      <c r="R1362"/>
      <c r="S1362" t="inlineStr">
        <is>
          <t>高中/高考资料</t>
        </is>
      </c>
      <c r="T1362" t="inlineStr">
        <is>
          <t>0.46</t>
        </is>
      </c>
      <c r="U1362" s="3">
        <v>46112.78107638889</v>
      </c>
      <c r="V1362" t="inlineStr">
        <is>
          <t>虚拟产品</t>
        </is>
      </c>
      <c r="W1362" s="3">
        <v>46045</v>
      </c>
      <c r="X1362" t="inlineStr">
        <is>
          <t>01</t>
        </is>
      </c>
      <c r="Y1362" t="inlineStr">
        <is>
          <t>2026-Q1</t>
        </is>
      </c>
    </row>
    <row r="1363" ht="38.25" customHeight="1">
      <c r="A1363" t="inlineStr">
        <is>
          <t>高中语文高分必备议论文序列化写作训练含模板和详情解析专项练习</t>
        </is>
      </c>
      <c r="B1363" t="inlineStr">
        <is>
          <t>recv96fACg28Oj.jpg</t>
        </is>
      </c>
      <c r="C1363" s="2" t="str">
        <f>=HYPERLINK("https://xhslink.com/m/39mIzEJEotP", "https://xhslink.com/m/39mIzEJEotP")</f>
        <v>https://xhslink.com/m/39mIzEJEotP</v>
      </c>
      <c r="D1363"/>
      <c r="E1363">
        <v>847</v>
      </c>
      <c r="F1363">
        <v>27.8</v>
      </c>
      <c r="G1363"/>
      <c r="H1363"/>
      <c r="I1363">
        <v>700</v>
      </c>
      <c r="J1363"/>
      <c r="K1363" t="inlineStr">
        <is>
          <t>高中</t>
        </is>
      </c>
      <c r="L1363"/>
      <c r="M1363" t="inlineStr">
        <is>
          <t>大斌老师的店</t>
        </is>
      </c>
      <c r="N1363">
        <v>436</v>
      </c>
      <c r="O1363">
        <v>4.34</v>
      </c>
      <c r="P1363">
        <v>2448</v>
      </c>
      <c r="Q1363" t="inlineStr">
        <is>
          <t>6925045914b526000117eec8</t>
        </is>
      </c>
      <c r="R1363" t="inlineStr">
        <is>
          <t>🚫重复</t>
        </is>
      </c>
      <c r="S1363" t="inlineStr">
        <is>
          <t>高中/高考资料</t>
        </is>
      </c>
      <c r="T1363" t="inlineStr">
        <is>
          <t>1.94</t>
        </is>
      </c>
      <c r="U1363" s="3">
        <v>46112.78107638889</v>
      </c>
      <c r="V1363" t="inlineStr">
        <is>
          <t>虚拟产品</t>
        </is>
      </c>
      <c r="W1363" s="3">
        <v>46045</v>
      </c>
      <c r="X1363" t="inlineStr">
        <is>
          <t>01</t>
        </is>
      </c>
      <c r="Y1363" t="inlineStr">
        <is>
          <t>2026-Q1</t>
        </is>
      </c>
    </row>
    <row r="1364" ht="38.25" customHeight="1">
      <c r="A1364" t="inlineStr">
        <is>
          <t>一数教辅：高中数学一本通选择性必修第二册【高二】</t>
        </is>
      </c>
      <c r="B1364" t="inlineStr">
        <is>
          <t>recv96fACg37yH.jpg</t>
        </is>
      </c>
      <c r="C1364" s="2" t="str">
        <f>=HYPERLINK("https://xhslink.com/m/Afe74BoigTj", "https://xhslink.com/m/Afe74BoigTj")</f>
        <v>https://xhslink.com/m/Afe74BoigTj</v>
      </c>
      <c r="D1364"/>
      <c r="E1364">
        <v>736</v>
      </c>
      <c r="F1364">
        <v>29.8</v>
      </c>
      <c r="G1364"/>
      <c r="H1364"/>
      <c r="I1364">
        <v>700</v>
      </c>
      <c r="J1364"/>
      <c r="K1364" t="inlineStr">
        <is>
          <t>高中</t>
        </is>
      </c>
      <c r="L1364"/>
      <c r="M1364" t="inlineStr">
        <is>
          <t>一数教辅的店</t>
        </is>
      </c>
      <c r="N1364">
        <v>49000</v>
      </c>
      <c r="O1364">
        <v>4.72</v>
      </c>
      <c r="P1364">
        <v>41000</v>
      </c>
      <c r="Q1364" t="inlineStr">
        <is>
          <t>6917e8db6a8e7d0001909316</t>
        </is>
      </c>
      <c r="R1364" t="inlineStr">
        <is>
          <t>🚫重复</t>
        </is>
      </c>
      <c r="S1364" t="inlineStr">
        <is>
          <t>高中/高考资料</t>
        </is>
      </c>
      <c r="T1364" t="inlineStr">
        <is>
          <t>0.02</t>
        </is>
      </c>
      <c r="U1364" s="3">
        <v>46112.78107638889</v>
      </c>
      <c r="V1364" t="inlineStr">
        <is>
          <t>虚拟产品</t>
        </is>
      </c>
      <c r="W1364" s="3">
        <v>46045</v>
      </c>
      <c r="X1364" t="inlineStr">
        <is>
          <t>01</t>
        </is>
      </c>
      <c r="Y1364" t="inlineStr">
        <is>
          <t>2026-Q1</t>
        </is>
      </c>
    </row>
    <row r="1365" ht="38.25" customHeight="1">
      <c r="A1365" t="inlineStr">
        <is>
          <t>2025新高考英语单词背诵3500+688核心词汇电子版</t>
        </is>
      </c>
      <c r="B1365" t="inlineStr">
        <is>
          <t>recv96fACgyRTM.jpg</t>
        </is>
      </c>
      <c r="C1365" s="2" t="str">
        <f>=HYPERLINK("https://xhslink.com/m/5xV0b4myd3N", "https://xhslink.com/m/5xV0b4myd3N")</f>
        <v>https://xhslink.com/m/5xV0b4myd3N</v>
      </c>
      <c r="D1365"/>
      <c r="E1365">
        <v>312</v>
      </c>
      <c r="F1365">
        <v>5.9</v>
      </c>
      <c r="G1365"/>
      <c r="H1365"/>
      <c r="I1365">
        <v>300</v>
      </c>
      <c r="J1365"/>
      <c r="K1365" t="inlineStr">
        <is>
          <t>高中</t>
        </is>
      </c>
      <c r="L1365"/>
      <c r="M1365" t="inlineStr">
        <is>
          <t>颜学题库的店</t>
        </is>
      </c>
      <c r="N1365">
        <v>449</v>
      </c>
      <c r="O1365">
        <v>4.29</v>
      </c>
      <c r="P1365">
        <v>1460</v>
      </c>
      <c r="Q1365" t="inlineStr">
        <is>
          <t>69155997cba79f0001bf6062</t>
        </is>
      </c>
      <c r="R1365"/>
      <c r="S1365" t="inlineStr">
        <is>
          <t>高中/高考资料</t>
        </is>
      </c>
      <c r="T1365" t="inlineStr">
        <is>
          <t>0.69</t>
        </is>
      </c>
      <c r="U1365" s="3">
        <v>46112.78107638889</v>
      </c>
      <c r="V1365" t="inlineStr">
        <is>
          <t>虚拟产品</t>
        </is>
      </c>
      <c r="W1365" s="3">
        <v>46045</v>
      </c>
      <c r="X1365" t="inlineStr">
        <is>
          <t>01</t>
        </is>
      </c>
      <c r="Y1365" t="inlineStr">
        <is>
          <t>2026-Q1</t>
        </is>
      </c>
    </row>
    <row r="1366" ht="38.25" customHeight="1">
      <c r="A1366" t="inlineStr">
        <is>
          <t>高中物理题型大归纳高分必备学霸必备轻松90+</t>
        </is>
      </c>
      <c r="B1366" t="inlineStr">
        <is>
          <t>recv96fACgAxIm.jpg</t>
        </is>
      </c>
      <c r="C1366" s="2" t="str">
        <f>=HYPERLINK("https://xhslink.com/m/37MnQiV3MGi", "https://xhslink.com/m/37MnQiV3MGi")</f>
        <v>https://xhslink.com/m/37MnQiV3MGi</v>
      </c>
      <c r="D1366"/>
      <c r="E1366">
        <v>267</v>
      </c>
      <c r="F1366">
        <v>289</v>
      </c>
      <c r="G1366"/>
      <c r="H1366"/>
      <c r="I1366">
        <v>200</v>
      </c>
      <c r="J1366"/>
      <c r="K1366" t="inlineStr">
        <is>
          <t>高中</t>
        </is>
      </c>
      <c r="L1366"/>
      <c r="M1366" t="inlineStr">
        <is>
          <t>teacher李讲高中的店</t>
        </is>
      </c>
      <c r="N1366">
        <v>24000</v>
      </c>
      <c r="O1366">
        <v>4.52</v>
      </c>
      <c r="P1366">
        <v>3435</v>
      </c>
      <c r="Q1366" t="inlineStr">
        <is>
          <t>68ea80c58aa5760001c75926</t>
        </is>
      </c>
      <c r="R1366" t="inlineStr">
        <is>
          <t>🚫重复</t>
        </is>
      </c>
      <c r="S1366" t="inlineStr">
        <is>
          <t>高中/高考资料</t>
        </is>
      </c>
      <c r="T1366" t="inlineStr">
        <is>
          <t>0.01</t>
        </is>
      </c>
      <c r="U1366" s="3">
        <v>46112.78107638889</v>
      </c>
      <c r="V1366" t="inlineStr">
        <is>
          <t>虚拟产品</t>
        </is>
      </c>
      <c r="W1366" s="3">
        <v>46045</v>
      </c>
      <c r="X1366" t="inlineStr">
        <is>
          <t>01</t>
        </is>
      </c>
      <c r="Y1366" t="inlineStr">
        <is>
          <t>2026-Q1</t>
        </is>
      </c>
    </row>
    <row r="1367" ht="38.25" customHeight="1">
      <c r="A1367" t="inlineStr">
        <is>
          <t>3份天赋测试+1小时电话咨询+15天陪跑</t>
        </is>
      </c>
      <c r="B1367" t="inlineStr">
        <is>
          <t>recv9c10sSjvSk.jpg</t>
        </is>
      </c>
      <c r="C1367" s="2" t="str">
        <f>=HYPERLINK("https://xhslink.com/m/1xnPsfUCrAt", "https://xhslink.com/m/1xnPsfUCrAt")</f>
        <v>https://xhslink.com/m/1xnPsfUCrAt</v>
      </c>
      <c r="D1367"/>
      <c r="E1367">
        <v>1378</v>
      </c>
      <c r="F1367">
        <v>399</v>
      </c>
      <c r="G1367"/>
      <c r="H1367"/>
      <c r="I1367">
        <v>400</v>
      </c>
      <c r="J1367"/>
      <c r="K1367" t="inlineStr">
        <is>
          <t>测试</t>
        </is>
      </c>
      <c r="L1367"/>
      <c r="M1367" t="inlineStr">
        <is>
          <t>竺悦课糖的店</t>
        </is>
      </c>
      <c r="N1367">
        <v>4600</v>
      </c>
      <c r="O1367">
        <v>3.87</v>
      </c>
      <c r="P1367">
        <v>2016</v>
      </c>
      <c r="Q1367" t="inlineStr">
        <is>
          <t>66d6a41d45cb9400013b0cc0</t>
        </is>
      </c>
      <c r="R1367"/>
      <c r="S1367" t="inlineStr">
        <is>
          <t>咨询服务</t>
        </is>
      </c>
      <c r="T1367" t="inlineStr">
        <is>
          <t>0.30</t>
        </is>
      </c>
      <c r="U1367" s="3">
        <v>46112.78107638889</v>
      </c>
      <c r="V1367" t="inlineStr">
        <is>
          <t>虚拟产品</t>
        </is>
      </c>
      <c r="W1367" s="3">
        <v>46046</v>
      </c>
      <c r="X1367" t="inlineStr">
        <is>
          <t>01</t>
        </is>
      </c>
      <c r="Y1367" t="inlineStr">
        <is>
          <t>2026-Q1</t>
        </is>
      </c>
    </row>
    <row r="1368" ht="38.25" customHeight="1">
      <c r="A1368" t="inlineStr">
        <is>
          <t>麋鹿性偏好测试光遇荣格八维心理测试心理测评工具</t>
        </is>
      </c>
      <c r="B1368" t="inlineStr">
        <is>
          <t>recv9c176s55Qc.jpg</t>
        </is>
      </c>
      <c r="C1368" s="2" t="str">
        <f>=HYPERLINK("https://xhslink.com/m/4P9v98nl5Xq", "https://xhslink.com/m/4P9v98nl5Xq")</f>
        <v>https://xhslink.com/m/4P9v98nl5Xq</v>
      </c>
      <c r="D1368"/>
      <c r="E1368">
        <v>1396</v>
      </c>
      <c r="F1368">
        <v>1.99</v>
      </c>
      <c r="G1368"/>
      <c r="H1368"/>
      <c r="I1368">
        <v>600</v>
      </c>
      <c r="J1368"/>
      <c r="K1368" t="inlineStr">
        <is>
          <t>测试</t>
        </is>
      </c>
      <c r="L1368" t="inlineStr">
        <is>
          <t>🔥低粉爆款</t>
        </is>
      </c>
      <c r="M1368" t="inlineStr">
        <is>
          <t>小金素材库的店</t>
        </is>
      </c>
      <c r="N1368">
        <v>256</v>
      </c>
      <c r="O1368">
        <v>4.33</v>
      </c>
      <c r="P1368">
        <v>3572</v>
      </c>
      <c r="Q1368" t="inlineStr">
        <is>
          <t>68d606a89176f50001cb69f3</t>
        </is>
      </c>
      <c r="R1368"/>
      <c r="S1368" t="inlineStr">
        <is>
          <t>生活成长</t>
        </is>
      </c>
      <c r="T1368" t="inlineStr">
        <is>
          <t>5.45</t>
        </is>
      </c>
      <c r="U1368" s="3">
        <v>46112.78107638889</v>
      </c>
      <c r="V1368" t="inlineStr">
        <is>
          <t>虚拟产品</t>
        </is>
      </c>
      <c r="W1368" s="3">
        <v>46046</v>
      </c>
      <c r="X1368" t="inlineStr">
        <is>
          <t>01</t>
        </is>
      </c>
      <c r="Y1368" t="inlineStr">
        <is>
          <t>2026-Q1</t>
        </is>
      </c>
    </row>
    <row r="1369" ht="38.25" customHeight="1">
      <c r="A1369" t="inlineStr">
        <is>
          <t>26国考省考申论规范词（表格版&amp;挖空版）电子版pdf版 · 26申论规</t>
        </is>
      </c>
      <c r="B1369" t="inlineStr">
        <is>
          <t>__upload_recv9c176sbkEG.jpg</t>
        </is>
      </c>
      <c r="C1369" s="2" t="str">
        <f>=HYPERLINK("https://xhslink.com/m/53Ls4wnFakK", "https://xhslink.com/m/53Ls4wnFakK")</f>
        <v>https://xhslink.com/m/53Ls4wnFakK</v>
      </c>
      <c r="D1369"/>
      <c r="E1369">
        <v>8515</v>
      </c>
      <c r="F1369">
        <v>14.99</v>
      </c>
      <c r="G1369"/>
      <c r="H1369"/>
      <c r="I1369"/>
      <c r="J1369">
        <v>100</v>
      </c>
      <c r="K1369" t="inlineStr">
        <is>
          <t>公务员</t>
        </is>
      </c>
      <c r="L1369" t="inlineStr">
        <is>
          <t>🔥低粉爆款</t>
        </is>
      </c>
      <c r="M1369" t="inlineStr">
        <is>
          <t>YY学姐资料库的店</t>
        </is>
      </c>
      <c r="N1369">
        <v>937</v>
      </c>
      <c r="O1369">
        <v>4.19</v>
      </c>
      <c r="P1369">
        <v>8627</v>
      </c>
      <c r="Q1369" t="inlineStr">
        <is>
          <t>68fb8aa7fe39ac001541fdab</t>
        </is>
      </c>
      <c r="R1369"/>
      <c r="S1369" t="inlineStr">
        <is>
          <t>考公资料</t>
        </is>
      </c>
      <c r="T1369" t="inlineStr">
        <is>
          <t>9.09</t>
        </is>
      </c>
      <c r="U1369" s="3">
        <v>46112.78107638889</v>
      </c>
      <c r="V1369" t="inlineStr">
        <is>
          <t>虚拟产品</t>
        </is>
      </c>
      <c r="W1369" s="3">
        <v>46046</v>
      </c>
      <c r="X1369" t="inlineStr">
        <is>
          <t>01</t>
        </is>
      </c>
      <c r="Y1369" t="inlineStr">
        <is>
          <t>2026-Q1</t>
        </is>
      </c>
    </row>
    <row r="1370" ht="38.25" customHeight="1">
      <c r="A1370" t="inlineStr">
        <is>
          <t>公务员国考省考历年真题套卷</t>
        </is>
      </c>
      <c r="B1370" t="inlineStr">
        <is>
          <t>recv9c176saula.jpg</t>
        </is>
      </c>
      <c r="C1370" s="2" t="str">
        <f>=HYPERLINK("https://xhslink.com/m/2lsz46jn0d5", "https://xhslink.com/m/2lsz46jn0d5")</f>
        <v>https://xhslink.com/m/2lsz46jn0d5</v>
      </c>
      <c r="D1370"/>
      <c r="E1370">
        <v>6742</v>
      </c>
      <c r="F1370">
        <v>22.5</v>
      </c>
      <c r="G1370"/>
      <c r="H1370"/>
      <c r="I1370">
        <v>1000</v>
      </c>
      <c r="J1370"/>
      <c r="K1370" t="inlineStr">
        <is>
          <t>公务员</t>
        </is>
      </c>
      <c r="L1370"/>
      <c r="M1370" t="inlineStr">
        <is>
          <t>小吴的考公书斋的店</t>
        </is>
      </c>
      <c r="N1370">
        <v>5816</v>
      </c>
      <c r="O1370">
        <v>4.41</v>
      </c>
      <c r="P1370">
        <v>13000</v>
      </c>
      <c r="Q1370" t="inlineStr">
        <is>
          <t>66a221382abbe3000122865c</t>
        </is>
      </c>
      <c r="R1370" t="inlineStr">
        <is>
          <t>🚫重复</t>
        </is>
      </c>
      <c r="S1370" t="inlineStr">
        <is>
          <t>考公资料</t>
        </is>
      </c>
      <c r="T1370" t="inlineStr">
        <is>
          <t>1.16</t>
        </is>
      </c>
      <c r="U1370" s="3">
        <v>46112.78107638889</v>
      </c>
      <c r="V1370" t="inlineStr">
        <is>
          <t>虚拟产品</t>
        </is>
      </c>
      <c r="W1370" s="3">
        <v>46046</v>
      </c>
      <c r="X1370" t="inlineStr">
        <is>
          <t>01</t>
        </is>
      </c>
      <c r="Y1370" t="inlineStr">
        <is>
          <t>2026-Q1</t>
        </is>
      </c>
    </row>
    <row r="1371" ht="38.25" customHeight="1">
      <c r="A1371" t="inlineStr">
        <is>
          <t>公务员考试历年真题套卷</t>
        </is>
      </c>
      <c r="B1371" t="inlineStr">
        <is>
          <t>recv9c176snwrW.jpg</t>
        </is>
      </c>
      <c r="C1371" s="2" t="str">
        <f>=HYPERLINK("https://xhslink.com/m/6MBHXcEzjKM", "https://xhslink.com/m/6MBHXcEzjKM")</f>
        <v>https://xhslink.com/m/6MBHXcEzjKM</v>
      </c>
      <c r="D1371"/>
      <c r="E1371">
        <v>5042</v>
      </c>
      <c r="F1371">
        <v>31.4</v>
      </c>
      <c r="G1371"/>
      <c r="H1371"/>
      <c r="I1371">
        <v>2000</v>
      </c>
      <c r="J1371"/>
      <c r="K1371" t="inlineStr">
        <is>
          <t>公务员</t>
        </is>
      </c>
      <c r="L1371" t="inlineStr">
        <is>
          <t>🔥低粉爆款</t>
        </is>
      </c>
      <c r="M1371" t="inlineStr">
        <is>
          <t>木木的书堂的店</t>
        </is>
      </c>
      <c r="N1371">
        <v>116</v>
      </c>
      <c r="O1371">
        <v>4.52</v>
      </c>
      <c r="P1371">
        <v>7745</v>
      </c>
      <c r="Q1371" t="inlineStr">
        <is>
          <t>68b13b380991b40001cd2355</t>
        </is>
      </c>
      <c r="R1371" t="inlineStr">
        <is>
          <t>🚫重复</t>
        </is>
      </c>
      <c r="S1371" t="inlineStr">
        <is>
          <t>考公资料</t>
        </is>
      </c>
      <c r="T1371" t="inlineStr">
        <is>
          <t>43.47</t>
        </is>
      </c>
      <c r="U1371" s="3">
        <v>46112.78107638889</v>
      </c>
      <c r="V1371" t="inlineStr">
        <is>
          <t>虚拟产品</t>
        </is>
      </c>
      <c r="W1371" s="3">
        <v>46046</v>
      </c>
      <c r="X1371" t="inlineStr">
        <is>
          <t>01</t>
        </is>
      </c>
      <c r="Y1371" t="inlineStr">
        <is>
          <t>2026-Q1</t>
        </is>
      </c>
    </row>
    <row r="1372" ht="38.25" customHeight="1">
      <c r="A1372" t="inlineStr">
        <is>
          <t>25/26届秋招+春招+寒假实习信息汇总表（每日更新赠送资料）</t>
        </is>
      </c>
      <c r="B1372" t="inlineStr">
        <is>
          <t>recv9c176sezV4.jpg</t>
        </is>
      </c>
      <c r="C1372" s="2" t="str">
        <f>=HYPERLINK("https://xhslink.com/m/60ToLuVxgBg", "https://xhslink.com/m/60ToLuVxgBg")</f>
        <v>https://xhslink.com/m/60ToLuVxgBg</v>
      </c>
      <c r="D1372"/>
      <c r="E1372">
        <v>20000</v>
      </c>
      <c r="F1372">
        <v>9.9</v>
      </c>
      <c r="G1372"/>
      <c r="H1372"/>
      <c r="I1372">
        <v>2000</v>
      </c>
      <c r="J1372"/>
      <c r="K1372" t="inlineStr">
        <is>
          <t>秋招</t>
        </is>
      </c>
      <c r="L1372" t="inlineStr">
        <is>
          <t>🔥低粉爆款</t>
        </is>
      </c>
      <c r="M1372" t="inlineStr">
        <is>
          <t>嘟嘟吖爱读书的店</t>
        </is>
      </c>
      <c r="N1372">
        <v>1082</v>
      </c>
      <c r="O1372">
        <v>4.21</v>
      </c>
      <c r="P1372">
        <v>20000</v>
      </c>
      <c r="Q1372" t="inlineStr">
        <is>
          <t>68911a2179bc470001436f2b</t>
        </is>
      </c>
      <c r="R1372" t="inlineStr">
        <is>
          <t>🚫重复</t>
        </is>
      </c>
      <c r="S1372" t="inlineStr">
        <is>
          <t>求职面试/职场</t>
        </is>
      </c>
      <c r="T1372" t="inlineStr">
        <is>
          <t>18.48</t>
        </is>
      </c>
      <c r="U1372" s="3">
        <v>46112.78107638889</v>
      </c>
      <c r="V1372" t="inlineStr">
        <is>
          <t>虚拟产品</t>
        </is>
      </c>
      <c r="W1372" s="3">
        <v>46046</v>
      </c>
      <c r="X1372" t="inlineStr">
        <is>
          <t>01</t>
        </is>
      </c>
      <c r="Y1372" t="inlineStr">
        <is>
          <t>2026-Q1</t>
        </is>
      </c>
    </row>
    <row r="1373" ht="38.25" customHeight="1">
      <c r="A1373" t="inlineStr">
        <is>
          <t>半小书 · 2026高中黄夫人物理/佟大大数学&amp;送免费视频录播课+单独答案解析</t>
        </is>
      </c>
      <c r="B1373" t="inlineStr">
        <is>
          <t>recv9c176s8yg9.jpg</t>
        </is>
      </c>
      <c r="C1373" s="2" t="str">
        <f>=HYPERLINK("https://xhslink.com/m/6pg2hSuBKY4", "https://xhslink.com/m/6pg2hSuBKY4")</f>
        <v>https://xhslink.com/m/6pg2hSuBKY4</v>
      </c>
      <c r="D1373"/>
      <c r="E1373">
        <v>14000</v>
      </c>
      <c r="F1373">
        <v>69</v>
      </c>
      <c r="G1373"/>
      <c r="H1373"/>
      <c r="I1373">
        <v>1000</v>
      </c>
      <c r="J1373"/>
      <c r="K1373" t="inlineStr">
        <is>
          <t>高中物理</t>
        </is>
      </c>
      <c r="L1373"/>
      <c r="M1373" t="inlineStr">
        <is>
          <t>半小书旗舰店</t>
        </is>
      </c>
      <c r="N1373">
        <v>25000</v>
      </c>
      <c r="O1373">
        <v>4.81</v>
      </c>
      <c r="P1373">
        <v>43000</v>
      </c>
      <c r="Q1373" t="inlineStr">
        <is>
          <t>64e56f2dc2d2cf0001cae59b</t>
        </is>
      </c>
      <c r="R1373" t="inlineStr">
        <is>
          <t>🚫重复</t>
        </is>
      </c>
      <c r="S1373" t="inlineStr">
        <is>
          <t>高中/高考资料</t>
        </is>
      </c>
      <c r="T1373" t="inlineStr">
        <is>
          <t>0.56</t>
        </is>
      </c>
      <c r="U1373" s="3">
        <v>46112.78107638889</v>
      </c>
      <c r="V1373" t="inlineStr">
        <is>
          <t>虚拟产品</t>
        </is>
      </c>
      <c r="W1373" s="3">
        <v>46046</v>
      </c>
      <c r="X1373" t="inlineStr">
        <is>
          <t>01</t>
        </is>
      </c>
      <c r="Y1373" t="inlineStr">
        <is>
          <t>2026-Q1</t>
        </is>
      </c>
    </row>
    <row r="1374" ht="38.25" customHeight="1">
      <c r="A1374" t="inlineStr">
        <is>
          <t>2025高考高三总复习一轮二轮语文数学英语物理化生政治史地电子版</t>
        </is>
      </c>
      <c r="B1374" t="inlineStr">
        <is>
          <t>recv9c176sJmLe.jpg</t>
        </is>
      </c>
      <c r="C1374" s="2" t="str">
        <f>=HYPERLINK("https://xhslink.com/m/mqfZIYrDxs", "https://xhslink.com/m/mqfZIYrDxs")</f>
        <v>https://xhslink.com/m/mqfZIYrDxs</v>
      </c>
      <c r="D1374"/>
      <c r="E1374">
        <v>9030</v>
      </c>
      <c r="F1374">
        <v>9.9</v>
      </c>
      <c r="G1374"/>
      <c r="H1374"/>
      <c r="I1374">
        <v>800</v>
      </c>
      <c r="J1374"/>
      <c r="K1374" t="inlineStr">
        <is>
          <t>高中物理</t>
        </is>
      </c>
      <c r="L1374"/>
      <c r="M1374" t="inlineStr">
        <is>
          <t>高分资料库的店</t>
        </is>
      </c>
      <c r="N1374">
        <v>8771</v>
      </c>
      <c r="O1374">
        <v>4.44</v>
      </c>
      <c r="P1374">
        <v>30000</v>
      </c>
      <c r="Q1374" t="inlineStr">
        <is>
          <t>672ef2254c39cc00012363e8</t>
        </is>
      </c>
      <c r="R1374" t="inlineStr">
        <is>
          <t>🚫重复</t>
        </is>
      </c>
      <c r="S1374" t="inlineStr">
        <is>
          <t>高中/高考资料</t>
        </is>
      </c>
      <c r="T1374" t="inlineStr">
        <is>
          <t>1.03</t>
        </is>
      </c>
      <c r="U1374" s="3">
        <v>46112.78107638889</v>
      </c>
      <c r="V1374" t="inlineStr">
        <is>
          <t>虚拟产品</t>
        </is>
      </c>
      <c r="W1374" s="3">
        <v>46046</v>
      </c>
      <c r="X1374" t="inlineStr">
        <is>
          <t>01</t>
        </is>
      </c>
      <c r="Y1374" t="inlineStr">
        <is>
          <t>2026-Q1</t>
        </is>
      </c>
    </row>
    <row r="1375" ht="38.25" customHeight="1">
      <c r="A1375" t="inlineStr">
        <is>
          <t>高中高三高考总复习知识解题技巧归纳总结教程资料提分课程重点</t>
        </is>
      </c>
      <c r="B1375" t="inlineStr">
        <is>
          <t>recv9c176sW8C8.jpg</t>
        </is>
      </c>
      <c r="C1375" s="2" t="str">
        <f>=HYPERLINK("https://xhslink.com/m/TgFzwnCVSL", "https://xhslink.com/m/TgFzwnCVSL")</f>
        <v>https://xhslink.com/m/TgFzwnCVSL</v>
      </c>
      <c r="D1375"/>
      <c r="E1375">
        <v>17000</v>
      </c>
      <c r="F1375">
        <v>9.8</v>
      </c>
      <c r="G1375"/>
      <c r="H1375"/>
      <c r="I1375">
        <v>900</v>
      </c>
      <c r="J1375"/>
      <c r="K1375" t="inlineStr">
        <is>
          <t>高中化学</t>
        </is>
      </c>
      <c r="L1375"/>
      <c r="M1375" t="inlineStr">
        <is>
          <t>发发的高中资料库的店</t>
        </is>
      </c>
      <c r="N1375">
        <v>16000</v>
      </c>
      <c r="O1375">
        <v>4.44</v>
      </c>
      <c r="P1375">
        <v>51000</v>
      </c>
      <c r="Q1375" t="inlineStr">
        <is>
          <t>6607d2b65c3c5a000156f28f</t>
        </is>
      </c>
      <c r="R1375" t="inlineStr">
        <is>
          <t>🚫重复</t>
        </is>
      </c>
      <c r="S1375" t="inlineStr">
        <is>
          <t>高中/高考资料</t>
        </is>
      </c>
      <c r="T1375" t="inlineStr">
        <is>
          <t>1.06</t>
        </is>
      </c>
      <c r="U1375" s="3">
        <v>46112.78107638889</v>
      </c>
      <c r="V1375" t="inlineStr">
        <is>
          <t>虚拟产品</t>
        </is>
      </c>
      <c r="W1375" s="3">
        <v>46046</v>
      </c>
      <c r="X1375" t="inlineStr">
        <is>
          <t>01</t>
        </is>
      </c>
      <c r="Y1375" t="inlineStr">
        <is>
          <t>2026-Q1</t>
        </is>
      </c>
    </row>
    <row r="1376" ht="38.25" customHeight="1">
      <c r="A1376" t="inlineStr">
        <is>
          <t>最新版高一化学必修一知识清单（填空版，背诵版）电子版pdf，pdf</t>
        </is>
      </c>
      <c r="B1376" t="inlineStr">
        <is>
          <t>recv9c176syjjJ.jpg</t>
        </is>
      </c>
      <c r="C1376" s="2" t="str">
        <f>=HYPERLINK("https://xhslink.com/m/3xjR4HYGtEY", "https://xhslink.com/m/3xjR4HYGtEY")</f>
        <v>https://xhslink.com/m/3xjR4HYGtEY</v>
      </c>
      <c r="D1376"/>
      <c r="E1376">
        <v>2150</v>
      </c>
      <c r="F1376">
        <v>16.9</v>
      </c>
      <c r="G1376"/>
      <c r="H1376"/>
      <c r="I1376">
        <v>300</v>
      </c>
      <c r="J1376"/>
      <c r="K1376" t="inlineStr">
        <is>
          <t>高中化学</t>
        </is>
      </c>
      <c r="L1376"/>
      <c r="M1376" t="inlineStr">
        <is>
          <t>娜娜化学老师的店</t>
        </is>
      </c>
      <c r="N1376">
        <v>28000</v>
      </c>
      <c r="O1376">
        <v>4.37</v>
      </c>
      <c r="P1376">
        <v>22000</v>
      </c>
      <c r="Q1376" t="inlineStr">
        <is>
          <t>66f948f694a44c000102de52</t>
        </is>
      </c>
      <c r="R1376"/>
      <c r="S1376" t="inlineStr">
        <is>
          <t>高中/高考资料</t>
        </is>
      </c>
      <c r="T1376" t="inlineStr">
        <is>
          <t>0.08</t>
        </is>
      </c>
      <c r="U1376" s="3">
        <v>46112.78107638889</v>
      </c>
      <c r="V1376" t="inlineStr">
        <is>
          <t>虚拟产品</t>
        </is>
      </c>
      <c r="W1376" s="3">
        <v>46046</v>
      </c>
      <c r="X1376" t="inlineStr">
        <is>
          <t>01</t>
        </is>
      </c>
      <c r="Y1376" t="inlineStr">
        <is>
          <t>2026-Q1</t>
        </is>
      </c>
    </row>
    <row r="1377" ht="38.25" customHeight="1">
      <c r="A1377" t="inlineStr">
        <is>
          <t>浙大版初中高中学数学物理化学思想方法导引学霸辅导书全国通用</t>
        </is>
      </c>
      <c r="B1377" t="inlineStr">
        <is>
          <t>__upload_recv9c176sOphK.jpg</t>
        </is>
      </c>
      <c r="C1377" s="2" t="str">
        <f>=HYPERLINK("https://xhslink.com/m/2yhaOZufcbl", "https://xhslink.com/m/2yhaOZufcbl")</f>
        <v>https://xhslink.com/m/2yhaOZufcbl</v>
      </c>
      <c r="D1377"/>
      <c r="E1377">
        <v>1618</v>
      </c>
      <c r="F1377">
        <v>39.9</v>
      </c>
      <c r="G1377"/>
      <c r="H1377"/>
      <c r="I1377">
        <v>600</v>
      </c>
      <c r="J1377">
        <v>100</v>
      </c>
      <c r="K1377" t="inlineStr">
        <is>
          <t>高中化学</t>
        </is>
      </c>
      <c r="L1377"/>
      <c r="M1377" t="inlineStr">
        <is>
          <t>清玄书苑的店</t>
        </is>
      </c>
      <c r="N1377">
        <v>700</v>
      </c>
      <c r="O1377">
        <v>4.72</v>
      </c>
      <c r="P1377">
        <v>1942</v>
      </c>
      <c r="Q1377" t="inlineStr">
        <is>
          <t>6849a00a57fa160001abab8d</t>
        </is>
      </c>
      <c r="R1377" t="inlineStr">
        <is>
          <t>🚫重复</t>
        </is>
      </c>
      <c r="S1377" t="inlineStr">
        <is>
          <t>中小学教辅/教材</t>
        </is>
      </c>
      <c r="T1377" t="inlineStr">
        <is>
          <t>2.31</t>
        </is>
      </c>
      <c r="U1377" s="3">
        <v>46112.78107638889</v>
      </c>
      <c r="V1377" t="inlineStr">
        <is>
          <t>虚拟产品</t>
        </is>
      </c>
      <c r="W1377" s="3">
        <v>46046</v>
      </c>
      <c r="X1377" t="inlineStr">
        <is>
          <t>01</t>
        </is>
      </c>
      <c r="Y1377" t="inlineStr">
        <is>
          <t>2026-Q1</t>
        </is>
      </c>
    </row>
    <row r="1378" ht="38.25" customHeight="1">
      <c r="A1378" t="inlineStr">
        <is>
          <t>人教版高中语文数学英语物化生政史地知识点总结电子版Word素材</t>
        </is>
      </c>
      <c r="B1378" t="inlineStr">
        <is>
          <t>recv9c176snfah.jpg</t>
        </is>
      </c>
      <c r="C1378" s="2" t="str">
        <f>=HYPERLINK("https://xhslink.com/m/3RtKTNszoiF", "https://xhslink.com/m/3RtKTNszoiF")</f>
        <v>https://xhslink.com/m/3RtKTNszoiF</v>
      </c>
      <c r="D1378"/>
      <c r="E1378">
        <v>11000</v>
      </c>
      <c r="F1378">
        <v>4.9</v>
      </c>
      <c r="G1378"/>
      <c r="H1378"/>
      <c r="I1378">
        <v>1000</v>
      </c>
      <c r="J1378"/>
      <c r="K1378" t="inlineStr">
        <is>
          <t>高中英语</t>
        </is>
      </c>
      <c r="L1378"/>
      <c r="M1378" t="inlineStr">
        <is>
          <t>高分资料库的店</t>
        </is>
      </c>
      <c r="N1378">
        <v>8771</v>
      </c>
      <c r="O1378">
        <v>4.44</v>
      </c>
      <c r="P1378">
        <v>30000</v>
      </c>
      <c r="Q1378" t="inlineStr">
        <is>
          <t>671281b5fe85310001094a19</t>
        </is>
      </c>
      <c r="R1378" t="inlineStr">
        <is>
          <t>🚫重复</t>
        </is>
      </c>
      <c r="S1378" t="inlineStr">
        <is>
          <t>高中/高考资料</t>
        </is>
      </c>
      <c r="T1378" t="inlineStr">
        <is>
          <t>1.25</t>
        </is>
      </c>
      <c r="U1378" s="3">
        <v>46112.78107638889</v>
      </c>
      <c r="V1378" t="inlineStr">
        <is>
          <t>虚拟产品</t>
        </is>
      </c>
      <c r="W1378" s="3">
        <v>46046</v>
      </c>
      <c r="X1378" t="inlineStr">
        <is>
          <t>01</t>
        </is>
      </c>
      <c r="Y1378" t="inlineStr">
        <is>
          <t>2026-Q1</t>
        </is>
      </c>
    </row>
    <row r="1379" ht="38.25" customHeight="1">
      <c r="A1379" t="inlineStr">
        <is>
          <t>浙大版初中高中学数学物理化学思想方法导引学霸辅导书全国通用</t>
        </is>
      </c>
      <c r="B1379" t="inlineStr">
        <is>
          <t>__upload_recv9c176smZrO.jpg</t>
        </is>
      </c>
      <c r="C1379" s="2" t="str">
        <f>=HYPERLINK("https://xhslink.com/m/2EKL915QYNG", "https://xhslink.com/m/2EKL915QYNG")</f>
        <v>https://xhslink.com/m/2EKL915QYNG</v>
      </c>
      <c r="D1379"/>
      <c r="E1379">
        <v>1618</v>
      </c>
      <c r="F1379">
        <v>49.9</v>
      </c>
      <c r="G1379"/>
      <c r="H1379"/>
      <c r="I1379"/>
      <c r="J1379">
        <v>100</v>
      </c>
      <c r="K1379" t="inlineStr">
        <is>
          <t>高中英语</t>
        </is>
      </c>
      <c r="L1379"/>
      <c r="M1379" t="inlineStr">
        <is>
          <t>清玄书苑的店</t>
        </is>
      </c>
      <c r="N1379">
        <v>700</v>
      </c>
      <c r="O1379">
        <v>4.72</v>
      </c>
      <c r="P1379">
        <v>1942</v>
      </c>
      <c r="Q1379" t="inlineStr">
        <is>
          <t>68665cc1afc5ca0001aca5b5</t>
        </is>
      </c>
      <c r="R1379" t="inlineStr">
        <is>
          <t>🚫重复</t>
        </is>
      </c>
      <c r="S1379" t="inlineStr">
        <is>
          <t>中小学教辅/教材</t>
        </is>
      </c>
      <c r="T1379" t="inlineStr">
        <is>
          <t>2.31</t>
        </is>
      </c>
      <c r="U1379" s="3">
        <v>46112.78107638889</v>
      </c>
      <c r="V1379" t="inlineStr">
        <is>
          <t>虚拟产品</t>
        </is>
      </c>
      <c r="W1379" s="3">
        <v>46046</v>
      </c>
      <c r="X1379" t="inlineStr">
        <is>
          <t>01</t>
        </is>
      </c>
      <c r="Y1379" t="inlineStr">
        <is>
          <t>2026-Q1</t>
        </is>
      </c>
    </row>
    <row r="1380" ht="38.25" customHeight="1">
      <c r="A1380" t="inlineStr">
        <is>
          <t>高中语法填空十大考点公式与解题技巧专项【原创配三个课件】</t>
        </is>
      </c>
      <c r="B1380" t="inlineStr">
        <is>
          <t>recv9c176saFMy.jpg</t>
        </is>
      </c>
      <c r="C1380" s="2" t="str">
        <f>=HYPERLINK("https://xhslink.com/m/Akzi8ce3NPH", "https://xhslink.com/m/Akzi8ce3NPH")</f>
        <v>https://xhslink.com/m/Akzi8ce3NPH</v>
      </c>
      <c r="D1380"/>
      <c r="E1380">
        <v>1301</v>
      </c>
      <c r="F1380">
        <v>18.9</v>
      </c>
      <c r="G1380"/>
      <c r="H1380"/>
      <c r="I1380">
        <v>500</v>
      </c>
      <c r="J1380"/>
      <c r="K1380" t="inlineStr">
        <is>
          <t>高中英语</t>
        </is>
      </c>
      <c r="L1380"/>
      <c r="M1380" t="inlineStr">
        <is>
          <t>一只教书羊🐑的店</t>
        </is>
      </c>
      <c r="N1380">
        <v>29000</v>
      </c>
      <c r="O1380">
        <v>4.28</v>
      </c>
      <c r="P1380">
        <v>7334</v>
      </c>
      <c r="Q1380" t="inlineStr">
        <is>
          <t>66fa0b055bcbab0001199109</t>
        </is>
      </c>
      <c r="R1380"/>
      <c r="S1380" t="inlineStr">
        <is>
          <t>高中/高考资料</t>
        </is>
      </c>
      <c r="T1380" t="inlineStr">
        <is>
          <t>0.04</t>
        </is>
      </c>
      <c r="U1380" s="3">
        <v>46112.78107638889</v>
      </c>
      <c r="V1380" t="inlineStr">
        <is>
          <t>虚拟产品</t>
        </is>
      </c>
      <c r="W1380" s="3">
        <v>46046</v>
      </c>
      <c r="X1380" t="inlineStr">
        <is>
          <t>01</t>
        </is>
      </c>
      <c r="Y1380" t="inlineStr">
        <is>
          <t>2026-Q1</t>
        </is>
      </c>
    </row>
    <row r="1381" ht="38.25" customHeight="1">
      <c r="A1381" t="inlineStr">
        <is>
          <t>2026版新高中英语读后续写</t>
        </is>
      </c>
      <c r="B1381" t="inlineStr">
        <is>
          <t>recv9c176svAD6.jpg</t>
        </is>
      </c>
      <c r="C1381" s="2" t="str">
        <f>=HYPERLINK("https://xhslink.com/m/45AcchfT28Z", "https://xhslink.com/m/45AcchfT28Z")</f>
        <v>https://xhslink.com/m/45AcchfT28Z</v>
      </c>
      <c r="D1381"/>
      <c r="E1381">
        <v>1188</v>
      </c>
      <c r="F1381">
        <v>42</v>
      </c>
      <c r="G1381"/>
      <c r="H1381"/>
      <c r="I1381">
        <v>300</v>
      </c>
      <c r="J1381"/>
      <c r="K1381" t="inlineStr">
        <is>
          <t>高中英语</t>
        </is>
      </c>
      <c r="L1381"/>
      <c r="M1381" t="inlineStr">
        <is>
          <t>清华大学出版社学习分社的店</t>
        </is>
      </c>
      <c r="N1381">
        <v>1319000</v>
      </c>
      <c r="O1381">
        <v>4.66</v>
      </c>
      <c r="P1381">
        <v>73000</v>
      </c>
      <c r="Q1381" t="inlineStr">
        <is>
          <t>6746b734d5050400011fbe05</t>
        </is>
      </c>
      <c r="R1381" t="inlineStr">
        <is>
          <t>🚫重复</t>
        </is>
      </c>
      <c r="S1381" t="inlineStr">
        <is>
          <t>高中/高考资料</t>
        </is>
      </c>
      <c r="T1381" t="inlineStr">
        <is>
          <t>0.00</t>
        </is>
      </c>
      <c r="U1381" s="3">
        <v>46112.78107638889</v>
      </c>
      <c r="V1381" t="inlineStr">
        <is>
          <t>虚拟产品</t>
        </is>
      </c>
      <c r="W1381" s="3">
        <v>46046</v>
      </c>
      <c r="X1381" t="inlineStr">
        <is>
          <t>01</t>
        </is>
      </c>
      <c r="Y1381" t="inlineStr">
        <is>
          <t>2026-Q1</t>
        </is>
      </c>
    </row>
    <row r="1382" ht="38.25" customHeight="1">
      <c r="A1382" t="inlineStr">
        <is>
          <t>26届高考英语12月各题型专项练习合集（PDF+WORD版）含答案解析</t>
        </is>
      </c>
      <c r="B1382" t="inlineStr">
        <is>
          <t>recv9c176se5mN.jpg</t>
        </is>
      </c>
      <c r="C1382" s="2" t="str">
        <f>=HYPERLINK("https://xhslink.com/m/1bkXV3RuwK6", "https://xhslink.com/m/1bkXV3RuwK6")</f>
        <v>https://xhslink.com/m/1bkXV3RuwK6</v>
      </c>
      <c r="D1382"/>
      <c r="E1382">
        <v>672</v>
      </c>
      <c r="F1382">
        <v>3.6</v>
      </c>
      <c r="G1382"/>
      <c r="H1382"/>
      <c r="I1382">
        <v>300</v>
      </c>
      <c r="J1382"/>
      <c r="K1382" t="inlineStr">
        <is>
          <t>高中英语</t>
        </is>
      </c>
      <c r="L1382"/>
      <c r="M1382" t="inlineStr">
        <is>
          <t>高中英语加工厂的店</t>
        </is>
      </c>
      <c r="N1382">
        <v>3880</v>
      </c>
      <c r="O1382">
        <v>4.19</v>
      </c>
      <c r="P1382">
        <v>1840</v>
      </c>
      <c r="Q1382" t="inlineStr">
        <is>
          <t>695bdfa3e2833800019e0929</t>
        </is>
      </c>
      <c r="R1382" t="inlineStr">
        <is>
          <t>🚫重复</t>
        </is>
      </c>
      <c r="S1382" t="inlineStr">
        <is>
          <t>高中/高考资料</t>
        </is>
      </c>
      <c r="T1382" t="inlineStr">
        <is>
          <t>0.17</t>
        </is>
      </c>
      <c r="U1382" s="3">
        <v>46112.78107638889</v>
      </c>
      <c r="V1382" t="inlineStr">
        <is>
          <t>虚拟产品</t>
        </is>
      </c>
      <c r="W1382" s="3">
        <v>46046</v>
      </c>
      <c r="X1382" t="inlineStr">
        <is>
          <t>01</t>
        </is>
      </c>
      <c r="Y1382" t="inlineStr">
        <is>
          <t>2026-Q1</t>
        </is>
      </c>
    </row>
    <row r="1383" ht="38.25" customHeight="1">
      <c r="A1383" t="inlineStr">
        <is>
          <t>天星教育 · 【高考解题快招】试题调研26版高中课本基础知识高考押题冲刺</t>
        </is>
      </c>
      <c r="B1383" t="inlineStr">
        <is>
          <t>recv9c176sVBuR.jpg</t>
        </is>
      </c>
      <c r="C1383" s="2" t="str">
        <f>=HYPERLINK("https://xhslink.com/m/SjY0rjkglX", "https://xhslink.com/m/SjY0rjkglX")</f>
        <v>https://xhslink.com/m/SjY0rjkglX</v>
      </c>
      <c r="D1383"/>
      <c r="E1383">
        <v>25000</v>
      </c>
      <c r="F1383">
        <v>13.2</v>
      </c>
      <c r="G1383"/>
      <c r="H1383"/>
      <c r="I1383">
        <v>2000</v>
      </c>
      <c r="J1383"/>
      <c r="K1383" t="inlineStr">
        <is>
          <t>高中地理</t>
        </is>
      </c>
      <c r="L1383"/>
      <c r="M1383" t="inlineStr">
        <is>
          <t>天星教育旗舰店</t>
        </is>
      </c>
      <c r="N1383">
        <v>228000</v>
      </c>
      <c r="O1383">
        <v>4.77</v>
      </c>
      <c r="P1383">
        <v>137000</v>
      </c>
      <c r="Q1383" t="inlineStr">
        <is>
          <t>66f8d4c05bcbab0001129263</t>
        </is>
      </c>
      <c r="R1383" t="inlineStr">
        <is>
          <t>🚫重复</t>
        </is>
      </c>
      <c r="S1383" t="inlineStr">
        <is>
          <t>高中/高考资料</t>
        </is>
      </c>
      <c r="T1383" t="inlineStr">
        <is>
          <t>0.11</t>
        </is>
      </c>
      <c r="U1383" s="3">
        <v>46112.78107638889</v>
      </c>
      <c r="V1383" t="inlineStr">
        <is>
          <t>虚拟产品</t>
        </is>
      </c>
      <c r="W1383" s="3">
        <v>46046</v>
      </c>
      <c r="X1383" t="inlineStr">
        <is>
          <t>01</t>
        </is>
      </c>
      <c r="Y1383" t="inlineStr">
        <is>
          <t>2026-Q1</t>
        </is>
      </c>
    </row>
    <row r="1384" ht="38.25" customHeight="1">
      <c r="A1384" t="inlineStr">
        <is>
          <t>【中小学必备】2026新款世界&amp;中国3D立体凹凸地图</t>
        </is>
      </c>
      <c r="B1384" t="inlineStr">
        <is>
          <t>recv9c176sMrqv.jpg</t>
        </is>
      </c>
      <c r="C1384" s="2" t="str">
        <f>=HYPERLINK("https://xhslink.com/m/8fx9GgL8DRv", "https://xhslink.com/m/8fx9GgL8DRv")</f>
        <v>https://xhslink.com/m/8fx9GgL8DRv</v>
      </c>
      <c r="D1384"/>
      <c r="E1384">
        <v>16000</v>
      </c>
      <c r="F1384">
        <v>119</v>
      </c>
      <c r="G1384"/>
      <c r="H1384"/>
      <c r="I1384">
        <v>2000</v>
      </c>
      <c r="J1384"/>
      <c r="K1384" t="inlineStr">
        <is>
          <t>高中地理</t>
        </is>
      </c>
      <c r="L1384"/>
      <c r="M1384" t="inlineStr">
        <is>
          <t>深柳学堂的店</t>
        </is>
      </c>
      <c r="N1384">
        <v>8622</v>
      </c>
      <c r="O1384">
        <v>4.51</v>
      </c>
      <c r="P1384">
        <v>20000</v>
      </c>
      <c r="Q1384" t="inlineStr">
        <is>
          <t>65976884b3e0310001bb606f</t>
        </is>
      </c>
      <c r="R1384" t="inlineStr">
        <is>
          <t>🚫重复</t>
        </is>
      </c>
      <c r="S1384" t="inlineStr">
        <is>
          <t>中小学教辅/教材</t>
        </is>
      </c>
      <c r="T1384" t="inlineStr">
        <is>
          <t>1.86</t>
        </is>
      </c>
      <c r="U1384" s="3">
        <v>46112.78107638889</v>
      </c>
      <c r="V1384" t="inlineStr">
        <is>
          <t>虚拟产品</t>
        </is>
      </c>
      <c r="W1384" s="3">
        <v>46046</v>
      </c>
      <c r="X1384" t="inlineStr">
        <is>
          <t>01</t>
        </is>
      </c>
      <c r="Y1384" t="inlineStr">
        <is>
          <t>2026-Q1</t>
        </is>
      </c>
    </row>
    <row r="1385" ht="38.25" customHeight="1">
      <c r="A1385" t="inlineStr">
        <is>
          <t>2026一数·必刷100讲 高考数学核心方法(2.0版)一数教辅一数图书</t>
        </is>
      </c>
      <c r="B1385" t="inlineStr">
        <is>
          <t>recv9c176srdnX.jpg</t>
        </is>
      </c>
      <c r="C1385" s="2" t="str">
        <f>=HYPERLINK("https://xhslink.com/m/96ZqNU7QuJM", "https://xhslink.com/m/96ZqNU7QuJM")</f>
        <v>https://xhslink.com/m/96ZqNU7QuJM</v>
      </c>
      <c r="D1385"/>
      <c r="E1385">
        <v>12000</v>
      </c>
      <c r="F1385">
        <v>79.8</v>
      </c>
      <c r="G1385"/>
      <c r="H1385"/>
      <c r="I1385">
        <v>2000</v>
      </c>
      <c r="J1385"/>
      <c r="K1385" t="inlineStr">
        <is>
          <t>高中地理</t>
        </is>
      </c>
      <c r="L1385"/>
      <c r="M1385" t="inlineStr">
        <is>
          <t>一数教辅的店</t>
        </is>
      </c>
      <c r="N1385">
        <v>49000</v>
      </c>
      <c r="O1385">
        <v>4.71</v>
      </c>
      <c r="P1385">
        <v>41000</v>
      </c>
      <c r="Q1385" t="inlineStr">
        <is>
          <t>691ac624e3156e00019782d7</t>
        </is>
      </c>
      <c r="R1385" t="inlineStr">
        <is>
          <t>🚫重复</t>
        </is>
      </c>
      <c r="S1385" t="inlineStr">
        <is>
          <t>高中/高考资料</t>
        </is>
      </c>
      <c r="T1385" t="inlineStr">
        <is>
          <t>0.24</t>
        </is>
      </c>
      <c r="U1385" s="3">
        <v>46112.78107638889</v>
      </c>
      <c r="V1385" t="inlineStr">
        <is>
          <t>虚拟产品</t>
        </is>
      </c>
      <c r="W1385" s="3">
        <v>46046</v>
      </c>
      <c r="X1385" t="inlineStr">
        <is>
          <t>01</t>
        </is>
      </c>
      <c r="Y1385" t="inlineStr">
        <is>
          <t>2026-Q1</t>
        </is>
      </c>
    </row>
    <row r="1386" ht="38.25" customHeight="1">
      <c r="A1386" t="inlineStr">
        <is>
          <t>新人教版教资用高中各科语数英物理化学生物历史政治地理教案学案</t>
        </is>
      </c>
      <c r="B1386" t="inlineStr">
        <is>
          <t>recv9c176sCRLG.jpg</t>
        </is>
      </c>
      <c r="C1386" s="2" t="str">
        <f>=HYPERLINK("https://xhslink.com/m/5AVehgfoKev", "https://xhslink.com/m/5AVehgfoKev")</f>
        <v>https://xhslink.com/m/5AVehgfoKev</v>
      </c>
      <c r="D1386"/>
      <c r="E1386">
        <v>12000</v>
      </c>
      <c r="F1386">
        <v>19.8</v>
      </c>
      <c r="G1386"/>
      <c r="H1386"/>
      <c r="I1386">
        <v>900</v>
      </c>
      <c r="J1386"/>
      <c r="K1386" t="inlineStr">
        <is>
          <t>高中地理</t>
        </is>
      </c>
      <c r="L1386"/>
      <c r="M1386" t="inlineStr">
        <is>
          <t>佛系的曾老师的店</t>
        </is>
      </c>
      <c r="N1386">
        <v>6336</v>
      </c>
      <c r="O1386">
        <v>3.96</v>
      </c>
      <c r="P1386">
        <v>27000</v>
      </c>
      <c r="Q1386" t="inlineStr">
        <is>
          <t>6688a3b1d2166e00017fe8dc</t>
        </is>
      </c>
      <c r="R1386" t="inlineStr">
        <is>
          <t>🚫重复</t>
        </is>
      </c>
      <c r="S1386" t="inlineStr">
        <is>
          <t>教资资料</t>
        </is>
      </c>
      <c r="T1386" t="inlineStr">
        <is>
          <t>1.89</t>
        </is>
      </c>
      <c r="U1386" s="3">
        <v>46112.78107638889</v>
      </c>
      <c r="V1386" t="inlineStr">
        <is>
          <t>虚拟产品</t>
        </is>
      </c>
      <c r="W1386" s="3">
        <v>46046</v>
      </c>
      <c r="X1386" t="inlineStr">
        <is>
          <t>01</t>
        </is>
      </c>
      <c r="Y1386" t="inlineStr">
        <is>
          <t>2026-Q1</t>
        </is>
      </c>
    </row>
    <row r="1387" ht="38.25" customHeight="1">
      <c r="A1387" t="inlineStr">
        <is>
          <t>天星教育 · 【高一高二刷题】解题觉醒26版高中同步要点专题应用解题方法</t>
        </is>
      </c>
      <c r="B1387" t="inlineStr">
        <is>
          <t>recv9c176sCglT.jpg</t>
        </is>
      </c>
      <c r="C1387" s="2" t="str">
        <f>=HYPERLINK("https://xhslink.com/m/9oyzc3cQNEi", "https://xhslink.com/m/9oyzc3cQNEi")</f>
        <v>https://xhslink.com/m/9oyzc3cQNEi</v>
      </c>
      <c r="D1387"/>
      <c r="E1387">
        <v>3713</v>
      </c>
      <c r="F1387">
        <v>27.9</v>
      </c>
      <c r="G1387"/>
      <c r="H1387"/>
      <c r="I1387">
        <v>500</v>
      </c>
      <c r="J1387"/>
      <c r="K1387" t="inlineStr">
        <is>
          <t>高中地理</t>
        </is>
      </c>
      <c r="L1387"/>
      <c r="M1387" t="inlineStr">
        <is>
          <t>天星教育旗舰店</t>
        </is>
      </c>
      <c r="N1387">
        <v>228000</v>
      </c>
      <c r="O1387">
        <v>4.77</v>
      </c>
      <c r="P1387">
        <v>137000</v>
      </c>
      <c r="Q1387" t="inlineStr">
        <is>
          <t>6645804625f23200013443b7</t>
        </is>
      </c>
      <c r="R1387" t="inlineStr">
        <is>
          <t>🚫重复</t>
        </is>
      </c>
      <c r="S1387" t="inlineStr">
        <is>
          <t>高中/高考资料</t>
        </is>
      </c>
      <c r="T1387" t="inlineStr">
        <is>
          <t>0.02</t>
        </is>
      </c>
      <c r="U1387" s="3">
        <v>46112.78107638889</v>
      </c>
      <c r="V1387" t="inlineStr">
        <is>
          <t>虚拟产品</t>
        </is>
      </c>
      <c r="W1387" s="3">
        <v>46046</v>
      </c>
      <c r="X1387" t="inlineStr">
        <is>
          <t>01</t>
        </is>
      </c>
      <c r="Y1387" t="inlineStr">
        <is>
          <t>2026-Q1</t>
        </is>
      </c>
    </row>
    <row r="1388" ht="38.25" customHeight="1">
      <c r="A1388" t="inlineStr">
        <is>
          <t>天星教育 · 2026试题调研题型专练高考知识点高三基础知识专项练习高考选择题</t>
        </is>
      </c>
      <c r="B1388" t="inlineStr">
        <is>
          <t>recv9c176s840r.jpg</t>
        </is>
      </c>
      <c r="C1388" s="2" t="str">
        <f>=HYPERLINK("https://xhslink.com/m/5OEIRlCVEW", "https://xhslink.com/m/5OEIRlCVEW")</f>
        <v>https://xhslink.com/m/5OEIRlCVEW</v>
      </c>
      <c r="D1388"/>
      <c r="E1388">
        <v>2424</v>
      </c>
      <c r="F1388">
        <v>27.9</v>
      </c>
      <c r="G1388"/>
      <c r="H1388"/>
      <c r="I1388">
        <v>300</v>
      </c>
      <c r="J1388"/>
      <c r="K1388" t="inlineStr">
        <is>
          <t>高中地理</t>
        </is>
      </c>
      <c r="L1388"/>
      <c r="M1388" t="inlineStr">
        <is>
          <t>天星教育旗舰店</t>
        </is>
      </c>
      <c r="N1388">
        <v>228000</v>
      </c>
      <c r="O1388">
        <v>4.77</v>
      </c>
      <c r="P1388">
        <v>137000</v>
      </c>
      <c r="Q1388" t="inlineStr">
        <is>
          <t>689a9830d023a300013cb39b</t>
        </is>
      </c>
      <c r="R1388" t="inlineStr">
        <is>
          <t>🚫重复</t>
        </is>
      </c>
      <c r="S1388" t="inlineStr">
        <is>
          <t>高中/高考资料</t>
        </is>
      </c>
      <c r="T1388" t="inlineStr">
        <is>
          <t>0.01</t>
        </is>
      </c>
      <c r="U1388" s="3">
        <v>46112.78107638889</v>
      </c>
      <c r="V1388" t="inlineStr">
        <is>
          <t>虚拟产品</t>
        </is>
      </c>
      <c r="W1388" s="3">
        <v>46046</v>
      </c>
      <c r="X1388" t="inlineStr">
        <is>
          <t>01</t>
        </is>
      </c>
      <c r="Y1388" t="inlineStr">
        <is>
          <t>2026-Q1</t>
        </is>
      </c>
    </row>
    <row r="1389" ht="38.25" customHeight="1">
      <c r="A1389" t="inlineStr">
        <is>
          <t>人教部编版高中语文物理化学生物政治历史地理说课稿电子版</t>
        </is>
      </c>
      <c r="B1389" t="inlineStr">
        <is>
          <t>recv9c176sAde8.jpg</t>
        </is>
      </c>
      <c r="C1389" s="2" t="str">
        <f>=HYPERLINK("https://xhslink.com/m/7sva7qobSLk", "https://xhslink.com/m/7sva7qobSLk")</f>
        <v>https://xhslink.com/m/7sva7qobSLk</v>
      </c>
      <c r="D1389"/>
      <c r="E1389">
        <v>1869</v>
      </c>
      <c r="F1389">
        <v>9.9</v>
      </c>
      <c r="G1389"/>
      <c r="H1389"/>
      <c r="I1389">
        <v>500</v>
      </c>
      <c r="J1389"/>
      <c r="K1389" t="inlineStr">
        <is>
          <t>高中地理</t>
        </is>
      </c>
      <c r="L1389"/>
      <c r="M1389" t="inlineStr">
        <is>
          <t>努力提升的郭老师的店</t>
        </is>
      </c>
      <c r="N1389">
        <v>954</v>
      </c>
      <c r="O1389">
        <v>4.1</v>
      </c>
      <c r="P1389">
        <v>3962</v>
      </c>
      <c r="Q1389" t="inlineStr">
        <is>
          <t>67698ad967b3ca00015b308d</t>
        </is>
      </c>
      <c r="R1389" t="inlineStr">
        <is>
          <t>🚫重复</t>
        </is>
      </c>
      <c r="S1389" t="inlineStr">
        <is>
          <t>高中/高考资料</t>
        </is>
      </c>
      <c r="T1389" t="inlineStr">
        <is>
          <t>1.96</t>
        </is>
      </c>
      <c r="U1389" s="3">
        <v>46112.78107638889</v>
      </c>
      <c r="V1389" t="inlineStr">
        <is>
          <t>虚拟产品</t>
        </is>
      </c>
      <c r="W1389" s="3">
        <v>46046</v>
      </c>
      <c r="X1389" t="inlineStr">
        <is>
          <t>01</t>
        </is>
      </c>
      <c r="Y1389" t="inlineStr">
        <is>
          <t>2026-Q1</t>
        </is>
      </c>
    </row>
    <row r="1390" ht="38.25" customHeight="1">
      <c r="A1390" t="inlineStr">
        <is>
          <t>作文纸条 · 一看就能用的作文素材经典素材2025高中备考议论文范文写作技巧书</t>
        </is>
      </c>
      <c r="B1390" t="inlineStr">
        <is>
          <t>recv9c176sRSf3.jpg</t>
        </is>
      </c>
      <c r="C1390" s="2" t="str">
        <f>=HYPERLINK("https://xhslink.com/m/2CgVcJS8MEQ", "https://xhslink.com/m/2CgVcJS8MEQ")</f>
        <v>https://xhslink.com/m/2CgVcJS8MEQ</v>
      </c>
      <c r="D1390"/>
      <c r="E1390">
        <v>22000</v>
      </c>
      <c r="F1390">
        <v>111.8</v>
      </c>
      <c r="G1390"/>
      <c r="H1390"/>
      <c r="I1390">
        <v>3000</v>
      </c>
      <c r="J1390"/>
      <c r="K1390" t="inlineStr">
        <is>
          <t>高中语文</t>
        </is>
      </c>
      <c r="L1390"/>
      <c r="M1390" t="inlineStr">
        <is>
          <t>作文纸条旗舰店</t>
        </is>
      </c>
      <c r="N1390">
        <v>157000</v>
      </c>
      <c r="O1390">
        <v>4.67</v>
      </c>
      <c r="P1390">
        <v>145000</v>
      </c>
      <c r="Q1390" t="inlineStr">
        <is>
          <t>6613a397c9b50f0001890025</t>
        </is>
      </c>
      <c r="R1390" t="inlineStr">
        <is>
          <t>🚫重复</t>
        </is>
      </c>
      <c r="S1390" t="inlineStr">
        <is>
          <t>高中/高考资料</t>
        </is>
      </c>
      <c r="T1390" t="inlineStr">
        <is>
          <t>0.14</t>
        </is>
      </c>
      <c r="U1390" s="3">
        <v>46112.78107638889</v>
      </c>
      <c r="V1390" t="inlineStr">
        <is>
          <t>虚拟产品</t>
        </is>
      </c>
      <c r="W1390" s="3">
        <v>46046</v>
      </c>
      <c r="X1390" t="inlineStr">
        <is>
          <t>01</t>
        </is>
      </c>
      <c r="Y1390" t="inlineStr">
        <is>
          <t>2026-Q1</t>
        </is>
      </c>
    </row>
    <row r="1391" ht="38.25" customHeight="1">
      <c r="A1391" t="inlineStr">
        <is>
          <t>【2026版】高考语文十年真题考点精讲与分类详解</t>
        </is>
      </c>
      <c r="B1391" t="inlineStr">
        <is>
          <t>recv9c176sFTnQ.jpg</t>
        </is>
      </c>
      <c r="C1391" s="2" t="str">
        <f>=HYPERLINK("https://xhslink.com/m/AGkJgNnhvF9", "https://xhslink.com/m/AGkJgNnhvF9")</f>
        <v>https://xhslink.com/m/AGkJgNnhvF9</v>
      </c>
      <c r="D1391"/>
      <c r="E1391">
        <v>5007</v>
      </c>
      <c r="F1391">
        <v>65</v>
      </c>
      <c r="G1391"/>
      <c r="H1391"/>
      <c r="I1391">
        <v>500</v>
      </c>
      <c r="J1391"/>
      <c r="K1391" t="inlineStr">
        <is>
          <t>高中语文</t>
        </is>
      </c>
      <c r="L1391"/>
      <c r="M1391" t="inlineStr">
        <is>
          <t>清华大学出版社学习分社的店</t>
        </is>
      </c>
      <c r="N1391">
        <v>1319000</v>
      </c>
      <c r="O1391">
        <v>4.66</v>
      </c>
      <c r="P1391">
        <v>73000</v>
      </c>
      <c r="Q1391" t="inlineStr">
        <is>
          <t>66c58372ad9959000126b9e2</t>
        </is>
      </c>
      <c r="R1391" t="inlineStr">
        <is>
          <t>🚫重复</t>
        </is>
      </c>
      <c r="S1391" t="inlineStr">
        <is>
          <t>高中/高考资料</t>
        </is>
      </c>
      <c r="T1391" t="inlineStr">
        <is>
          <t>0.00</t>
        </is>
      </c>
      <c r="U1391" s="3">
        <v>46112.78107638889</v>
      </c>
      <c r="V1391" t="inlineStr">
        <is>
          <t>虚拟产品</t>
        </is>
      </c>
      <c r="W1391" s="3">
        <v>46046</v>
      </c>
      <c r="X1391" t="inlineStr">
        <is>
          <t>01</t>
        </is>
      </c>
      <c r="Y1391" t="inlineStr">
        <is>
          <t>2026-Q1</t>
        </is>
      </c>
    </row>
    <row r="1392" ht="38.25" customHeight="1">
      <c r="A1392" t="inlineStr">
        <is>
          <t>上海高考作文素材|2025新版上海四校思辨性作文母题素材 32万字</t>
        </is>
      </c>
      <c r="B1392" t="inlineStr">
        <is>
          <t>recv9c176sXg1U.jpg</t>
        </is>
      </c>
      <c r="C1392" s="2" t="str">
        <f>=HYPERLINK("https://xhslink.com/m/8QezO8cEsBP", "https://xhslink.com/m/8QezO8cEsBP")</f>
        <v>https://xhslink.com/m/8QezO8cEsBP</v>
      </c>
      <c r="D1392"/>
      <c r="E1392">
        <v>2549</v>
      </c>
      <c r="F1392">
        <v>35.9</v>
      </c>
      <c r="G1392"/>
      <c r="H1392"/>
      <c r="I1392">
        <v>700</v>
      </c>
      <c r="J1392"/>
      <c r="K1392" t="inlineStr">
        <is>
          <t>高中语文</t>
        </is>
      </c>
      <c r="L1392"/>
      <c r="M1392" t="inlineStr">
        <is>
          <t>亦明学姐🍎高中藏宝阁的店</t>
        </is>
      </c>
      <c r="N1392">
        <v>3617</v>
      </c>
      <c r="O1392">
        <v>4.34</v>
      </c>
      <c r="P1392">
        <v>9672</v>
      </c>
      <c r="Q1392" t="inlineStr">
        <is>
          <t>68f44514c67e47000118b803</t>
        </is>
      </c>
      <c r="R1392" t="inlineStr">
        <is>
          <t>🚫重复</t>
        </is>
      </c>
      <c r="S1392" t="inlineStr">
        <is>
          <t>高中/高考资料</t>
        </is>
      </c>
      <c r="T1392" t="inlineStr">
        <is>
          <t>0.70</t>
        </is>
      </c>
      <c r="U1392" s="3">
        <v>46112.78107638889</v>
      </c>
      <c r="V1392" t="inlineStr">
        <is>
          <t>虚拟产品</t>
        </is>
      </c>
      <c r="W1392" s="3">
        <v>46046</v>
      </c>
      <c r="X1392" t="inlineStr">
        <is>
          <t>01</t>
        </is>
      </c>
      <c r="Y1392" t="inlineStr">
        <is>
          <t>2026-Q1</t>
        </is>
      </c>
    </row>
    <row r="1393" ht="38.25" customHeight="1">
      <c r="A1393" t="inlineStr">
        <is>
          <t>人教部编版高中语文物理化学生物政治历史地理说课稿电子版</t>
        </is>
      </c>
      <c r="B1393" t="inlineStr">
        <is>
          <t>recv9c176sBspd.jpg</t>
        </is>
      </c>
      <c r="C1393" s="2" t="str">
        <f>=HYPERLINK("https://xhslink.com/m/Akp7qznGuye", "https://xhslink.com/m/Akp7qznGuye")</f>
        <v>https://xhslink.com/m/Akp7qznGuye</v>
      </c>
      <c r="D1393"/>
      <c r="E1393">
        <v>1869</v>
      </c>
      <c r="F1393">
        <v>9.9</v>
      </c>
      <c r="G1393"/>
      <c r="H1393"/>
      <c r="I1393">
        <v>500</v>
      </c>
      <c r="J1393"/>
      <c r="K1393" t="inlineStr">
        <is>
          <t>高中语文</t>
        </is>
      </c>
      <c r="L1393"/>
      <c r="M1393" t="inlineStr">
        <is>
          <t>努力提升的郭老师的店</t>
        </is>
      </c>
      <c r="N1393">
        <v>954</v>
      </c>
      <c r="O1393">
        <v>4.1</v>
      </c>
      <c r="P1393">
        <v>3962</v>
      </c>
      <c r="Q1393" t="inlineStr">
        <is>
          <t>67698ad967b3ca00015b306c</t>
        </is>
      </c>
      <c r="R1393" t="inlineStr">
        <is>
          <t>🚫重复</t>
        </is>
      </c>
      <c r="S1393" t="inlineStr">
        <is>
          <t>高中/高考资料</t>
        </is>
      </c>
      <c r="T1393" t="inlineStr">
        <is>
          <t>1.96</t>
        </is>
      </c>
      <c r="U1393" s="3">
        <v>46112.78107638889</v>
      </c>
      <c r="V1393" t="inlineStr">
        <is>
          <t>虚拟产品</t>
        </is>
      </c>
      <c r="W1393" s="3">
        <v>46046</v>
      </c>
      <c r="X1393" t="inlineStr">
        <is>
          <t>01</t>
        </is>
      </c>
      <c r="Y1393" t="inlineStr">
        <is>
          <t>2026-Q1</t>
        </is>
      </c>
    </row>
    <row r="1394" ht="38.25" customHeight="1">
      <c r="A1394" t="inlineStr">
        <is>
          <t>高中语文高分必备议论文序列化写作训练含模板和详情解析专项练习</t>
        </is>
      </c>
      <c r="B1394" t="inlineStr">
        <is>
          <t>recv9c176sMd6h.jpg</t>
        </is>
      </c>
      <c r="C1394" s="2" t="str">
        <f>=HYPERLINK("https://xhslink.com/m/ZVBE4N59NO", "https://xhslink.com/m/ZVBE4N59NO")</f>
        <v>https://xhslink.com/m/ZVBE4N59NO</v>
      </c>
      <c r="D1394"/>
      <c r="E1394">
        <v>841</v>
      </c>
      <c r="F1394">
        <v>169</v>
      </c>
      <c r="G1394"/>
      <c r="H1394"/>
      <c r="I1394">
        <v>700</v>
      </c>
      <c r="J1394"/>
      <c r="K1394" t="inlineStr">
        <is>
          <t>高中语文</t>
        </is>
      </c>
      <c r="L1394"/>
      <c r="M1394" t="inlineStr">
        <is>
          <t>大斌老师的店</t>
        </is>
      </c>
      <c r="N1394">
        <v>441</v>
      </c>
      <c r="O1394">
        <v>4.34</v>
      </c>
      <c r="P1394">
        <v>2472</v>
      </c>
      <c r="Q1394" t="inlineStr">
        <is>
          <t>693153373dc5360001736afc</t>
        </is>
      </c>
      <c r="R1394" t="inlineStr">
        <is>
          <t>🚫重复</t>
        </is>
      </c>
      <c r="S1394" t="inlineStr">
        <is>
          <t>高中/高考资料</t>
        </is>
      </c>
      <c r="T1394" t="inlineStr">
        <is>
          <t>1.91</t>
        </is>
      </c>
      <c r="U1394" s="3">
        <v>46112.78107638889</v>
      </c>
      <c r="V1394" t="inlineStr">
        <is>
          <t>虚拟产品</t>
        </is>
      </c>
      <c r="W1394" s="3">
        <v>46046</v>
      </c>
      <c r="X1394" t="inlineStr">
        <is>
          <t>01</t>
        </is>
      </c>
      <c r="Y1394" t="inlineStr">
        <is>
          <t>2026-Q1</t>
        </is>
      </c>
    </row>
    <row r="1395" ht="38.25" customHeight="1">
      <c r="A1395" t="inlineStr">
        <is>
          <t>【春春语文】高中语文万能模板冲刺包</t>
        </is>
      </c>
      <c r="B1395" t="inlineStr">
        <is>
          <t>recv9c176s4fPK.jpg</t>
        </is>
      </c>
      <c r="C1395" s="2" t="str">
        <f>=HYPERLINK("https://xhslink.com/m/8sWkdx2vDAb", "https://xhslink.com/m/8sWkdx2vDAb")</f>
        <v>https://xhslink.com/m/8sWkdx2vDAb</v>
      </c>
      <c r="D1395"/>
      <c r="E1395">
        <v>603</v>
      </c>
      <c r="F1395">
        <v>99</v>
      </c>
      <c r="G1395"/>
      <c r="H1395"/>
      <c r="I1395">
        <v>500</v>
      </c>
      <c r="J1395"/>
      <c r="K1395" t="inlineStr">
        <is>
          <t>高中语文</t>
        </is>
      </c>
      <c r="L1395"/>
      <c r="M1395" t="inlineStr">
        <is>
          <t>高途中考决胜天团的店</t>
        </is>
      </c>
      <c r="N1395">
        <v>1272</v>
      </c>
      <c r="O1395">
        <v>4.63</v>
      </c>
      <c r="P1395">
        <v>18000</v>
      </c>
      <c r="Q1395" t="inlineStr">
        <is>
          <t>691dac0fccb9e00001c5e319</t>
        </is>
      </c>
      <c r="R1395" t="inlineStr">
        <is>
          <t>🚫重复</t>
        </is>
      </c>
      <c r="S1395" t="inlineStr">
        <is>
          <t>高中/高考资料</t>
        </is>
      </c>
      <c r="T1395" t="inlineStr">
        <is>
          <t>0.47</t>
        </is>
      </c>
      <c r="U1395" s="3">
        <v>46112.78107638889</v>
      </c>
      <c r="V1395" t="inlineStr">
        <is>
          <t>虚拟产品</t>
        </is>
      </c>
      <c r="W1395" s="3">
        <v>46046</v>
      </c>
      <c r="X1395" t="inlineStr">
        <is>
          <t>01</t>
        </is>
      </c>
      <c r="Y1395" t="inlineStr">
        <is>
          <t>2026-Q1</t>
        </is>
      </c>
    </row>
    <row r="1396" ht="38.25" customHeight="1">
      <c r="A1396" t="inlineStr">
        <is>
          <t>（正版首发）（每天更新！）26届出海外派类公司秋招&amp;春招汇总</t>
        </is>
      </c>
      <c r="B1396" t="inlineStr">
        <is>
          <t>recv9c176s64IE.jpg</t>
        </is>
      </c>
      <c r="C1396" s="2" t="str">
        <f>=HYPERLINK("https://xhslink.com/m/9G1nFmD7VUl", "https://xhslink.com/m/9G1nFmD7VUl")</f>
        <v>https://xhslink.com/m/9G1nFmD7VUl</v>
      </c>
      <c r="D1396"/>
      <c r="E1396">
        <v>2172</v>
      </c>
      <c r="F1396">
        <v>25.9</v>
      </c>
      <c r="G1396"/>
      <c r="H1396"/>
      <c r="I1396">
        <v>600</v>
      </c>
      <c r="J1396"/>
      <c r="K1396" t="inlineStr">
        <is>
          <t>春招</t>
        </is>
      </c>
      <c r="L1396"/>
      <c r="M1396" t="inlineStr">
        <is>
          <t>美国就业指导员的店</t>
        </is>
      </c>
      <c r="N1396">
        <v>9033</v>
      </c>
      <c r="O1396">
        <v>4.21</v>
      </c>
      <c r="P1396">
        <v>3313</v>
      </c>
      <c r="Q1396" t="inlineStr">
        <is>
          <t>68a2d6604eed2d0001fc3c72</t>
        </is>
      </c>
      <c r="R1396"/>
      <c r="S1396" t="inlineStr">
        <is>
          <t>求职面试/职场</t>
        </is>
      </c>
      <c r="T1396" t="inlineStr">
        <is>
          <t>0.24</t>
        </is>
      </c>
      <c r="U1396" s="3">
        <v>46112.78107638889</v>
      </c>
      <c r="V1396" t="inlineStr">
        <is>
          <t>虚拟产品</t>
        </is>
      </c>
      <c r="W1396" s="3">
        <v>46046</v>
      </c>
      <c r="X1396" t="inlineStr">
        <is>
          <t>01</t>
        </is>
      </c>
      <c r="Y1396" t="inlineStr">
        <is>
          <t>2026-Q1</t>
        </is>
      </c>
    </row>
    <row r="1397" ht="38.25" customHeight="1">
      <c r="A1397" t="inlineStr">
        <is>
          <t>【每日更新】22-26届秋招/春招/实习企业信息汇总表（秒发货）</t>
        </is>
      </c>
      <c r="B1397" t="inlineStr">
        <is>
          <t>recv9c176sEIIC.jpg</t>
        </is>
      </c>
      <c r="C1397" s="2" t="str">
        <f>=HYPERLINK("https://xhslink.com/m/AnCe2uyh0Ef", "https://xhslink.com/m/AnCe2uyh0Ef")</f>
        <v>https://xhslink.com/m/AnCe2uyh0Ef</v>
      </c>
      <c r="D1397"/>
      <c r="E1397">
        <v>233</v>
      </c>
      <c r="F1397">
        <v>8.8</v>
      </c>
      <c r="G1397"/>
      <c r="H1397"/>
      <c r="I1397">
        <v>200</v>
      </c>
      <c r="J1397"/>
      <c r="K1397" t="inlineStr">
        <is>
          <t>春招</t>
        </is>
      </c>
      <c r="L1397" t="inlineStr">
        <is>
          <t>🔥低粉爆款</t>
        </is>
      </c>
      <c r="M1397" t="inlineStr">
        <is>
          <t>苏泽力的店</t>
        </is>
      </c>
      <c r="N1397">
        <v>21</v>
      </c>
      <c r="O1397">
        <v>3.98</v>
      </c>
      <c r="P1397">
        <v>291</v>
      </c>
      <c r="Q1397" t="inlineStr">
        <is>
          <t>6935535c15fdcf00017b629e</t>
        </is>
      </c>
      <c r="R1397" t="inlineStr">
        <is>
          <t>🚫重复</t>
        </is>
      </c>
      <c r="S1397" t="inlineStr">
        <is>
          <t>求职面试/职场</t>
        </is>
      </c>
      <c r="T1397" t="inlineStr">
        <is>
          <t>11.10</t>
        </is>
      </c>
      <c r="U1397" s="3">
        <v>46112.78107638889</v>
      </c>
      <c r="V1397" t="inlineStr">
        <is>
          <t>虚拟产品</t>
        </is>
      </c>
      <c r="W1397" s="3">
        <v>46046</v>
      </c>
      <c r="X1397" t="inlineStr">
        <is>
          <t>01</t>
        </is>
      </c>
      <c r="Y1397" t="inlineStr">
        <is>
          <t>2026-Q1</t>
        </is>
      </c>
    </row>
    <row r="1398" ht="38.25" customHeight="1">
      <c r="A1398" t="inlineStr">
        <is>
          <t>每天更新！26届春招秋招补录网申公司岗位招聘表，赠网申插件！</t>
        </is>
      </c>
      <c r="B1398" t="inlineStr">
        <is>
          <t>recv9c176sNf7g.jpg</t>
        </is>
      </c>
      <c r="C1398" s="2" t="str">
        <f>=HYPERLINK("https://xhslink.com/m/3O0DobrzeIq", "https://xhslink.com/m/3O0DobrzeIq")</f>
        <v>https://xhslink.com/m/3O0DobrzeIq</v>
      </c>
      <c r="D1398"/>
      <c r="E1398">
        <v>345</v>
      </c>
      <c r="F1398">
        <v>9.9</v>
      </c>
      <c r="G1398"/>
      <c r="H1398"/>
      <c r="I1398">
        <v>200</v>
      </c>
      <c r="J1398"/>
      <c r="K1398" t="inlineStr">
        <is>
          <t>秋招</t>
        </is>
      </c>
      <c r="L1398"/>
      <c r="M1398" t="inlineStr">
        <is>
          <t>塔塔网申的店</t>
        </is>
      </c>
      <c r="N1398">
        <v>1967</v>
      </c>
      <c r="O1398">
        <v>3.82</v>
      </c>
      <c r="P1398">
        <v>1901</v>
      </c>
      <c r="Q1398" t="inlineStr">
        <is>
          <t>687e2ec98fe3470001fd63c2</t>
        </is>
      </c>
      <c r="R1398"/>
      <c r="S1398" t="inlineStr">
        <is>
          <t>求职面试/职场</t>
        </is>
      </c>
      <c r="T1398" t="inlineStr">
        <is>
          <t>0.18</t>
        </is>
      </c>
      <c r="U1398" s="3">
        <v>46112.78107638889</v>
      </c>
      <c r="V1398" t="inlineStr">
        <is>
          <t>虚拟产品</t>
        </is>
      </c>
      <c r="W1398" s="3">
        <v>46046</v>
      </c>
      <c r="X1398" t="inlineStr">
        <is>
          <t>01</t>
        </is>
      </c>
      <c r="Y1398" t="inlineStr">
        <is>
          <t>2026-Q1</t>
        </is>
      </c>
    </row>
    <row r="1399" ht="38.25" customHeight="1">
      <c r="A1399" t="inlineStr">
        <is>
          <t>什么是初中物理 清华大学出版社</t>
        </is>
      </c>
      <c r="B1399" t="inlineStr">
        <is>
          <t>recv9c176sFrjq.jpg</t>
        </is>
      </c>
      <c r="C1399" s="2" t="str">
        <f>=HYPERLINK("https://xhslink.com/m/3Y2QhqYO6lz", "https://xhslink.com/m/3Y2QhqYO6lz")</f>
        <v>https://xhslink.com/m/3Y2QhqYO6lz</v>
      </c>
      <c r="D1399"/>
      <c r="E1399">
        <v>3087</v>
      </c>
      <c r="F1399">
        <v>27.5</v>
      </c>
      <c r="G1399"/>
      <c r="H1399"/>
      <c r="I1399">
        <v>200</v>
      </c>
      <c r="J1399"/>
      <c r="K1399" t="inlineStr">
        <is>
          <t>初中物理</t>
        </is>
      </c>
      <c r="L1399"/>
      <c r="M1399" t="inlineStr">
        <is>
          <t>清华大学出版社的店</t>
        </is>
      </c>
      <c r="N1399">
        <v>444000</v>
      </c>
      <c r="O1399">
        <v>4.54</v>
      </c>
      <c r="P1399">
        <v>295000</v>
      </c>
      <c r="Q1399" t="inlineStr">
        <is>
          <t>66010e2c2f75fe00013696df</t>
        </is>
      </c>
      <c r="R1399" t="inlineStr">
        <is>
          <t>🚫重复</t>
        </is>
      </c>
      <c r="S1399" t="inlineStr">
        <is>
          <t>中小学教辅/教材</t>
        </is>
      </c>
      <c r="T1399" t="inlineStr">
        <is>
          <t>0.01</t>
        </is>
      </c>
      <c r="U1399" s="3">
        <v>46112.78107638889</v>
      </c>
      <c r="V1399" t="inlineStr">
        <is>
          <t>虚拟产品</t>
        </is>
      </c>
      <c r="W1399" s="3">
        <v>46046</v>
      </c>
      <c r="X1399" t="inlineStr">
        <is>
          <t>01</t>
        </is>
      </c>
      <c r="Y1399" t="inlineStr">
        <is>
          <t>2026-Q1</t>
        </is>
      </c>
    </row>
    <row r="1400" ht="38.25" customHeight="1">
      <c r="A1400" t="inlineStr">
        <is>
          <t>2025张雪峰【初中提分笔记】新教材新中考初中复习知识清单考点集</t>
        </is>
      </c>
      <c r="B1400" t="inlineStr">
        <is>
          <t>recv9c176sTwrK.jpg</t>
        </is>
      </c>
      <c r="C1400" s="2" t="str">
        <f>=HYPERLINK("https://xhslink.com/m/zGEsYx0iih", "https://xhslink.com/m/zGEsYx0iih")</f>
        <v>https://xhslink.com/m/zGEsYx0iih</v>
      </c>
      <c r="D1400"/>
      <c r="E1400">
        <v>1600</v>
      </c>
      <c r="F1400">
        <v>32</v>
      </c>
      <c r="G1400"/>
      <c r="H1400"/>
      <c r="I1400">
        <v>1000</v>
      </c>
      <c r="J1400"/>
      <c r="K1400" t="inlineStr">
        <is>
          <t>初中物理</t>
        </is>
      </c>
      <c r="L1400" t="inlineStr">
        <is>
          <t>🔥低粉爆款</t>
        </is>
      </c>
      <c r="M1400" t="inlineStr">
        <is>
          <t>文韵小书屋的店</t>
        </is>
      </c>
      <c r="N1400">
        <v>30</v>
      </c>
      <c r="O1400">
        <v>4.68</v>
      </c>
      <c r="P1400">
        <v>2107</v>
      </c>
      <c r="Q1400" t="inlineStr">
        <is>
          <t>68459a823aa6a60014a4de97</t>
        </is>
      </c>
      <c r="R1400" t="inlineStr">
        <is>
          <t>🚫重复</t>
        </is>
      </c>
      <c r="S1400" t="inlineStr">
        <is>
          <t>中小学教辅/教材</t>
        </is>
      </c>
      <c r="T1400" t="inlineStr">
        <is>
          <t>53.33</t>
        </is>
      </c>
      <c r="U1400" s="3">
        <v>46112.78107638889</v>
      </c>
      <c r="V1400" t="inlineStr">
        <is>
          <t>虚拟产品</t>
        </is>
      </c>
      <c r="W1400" s="3">
        <v>46046</v>
      </c>
      <c r="X1400" t="inlineStr">
        <is>
          <t>01</t>
        </is>
      </c>
      <c r="Y1400" t="inlineStr">
        <is>
          <t>2026-Q1</t>
        </is>
      </c>
    </row>
    <row r="1401" ht="38.25" customHeight="1">
      <c r="A1401" t="inlineStr">
        <is>
          <t>初中物理初二初三八年级上下册九年级全一册题型专项电子版</t>
        </is>
      </c>
      <c r="B1401" t="inlineStr">
        <is>
          <t>recv9c176sH9rC.jpg</t>
        </is>
      </c>
      <c r="C1401" s="2" t="str">
        <f>=HYPERLINK("https://xhslink.com/m/2ARIHYPhcWM", "https://xhslink.com/m/2ARIHYPhcWM")</f>
        <v>https://xhslink.com/m/2ARIHYPhcWM</v>
      </c>
      <c r="D1401"/>
      <c r="E1401">
        <v>1349</v>
      </c>
      <c r="F1401">
        <v>19.9</v>
      </c>
      <c r="G1401"/>
      <c r="H1401"/>
      <c r="I1401">
        <v>200</v>
      </c>
      <c r="J1401"/>
      <c r="K1401" t="inlineStr">
        <is>
          <t>初中物理</t>
        </is>
      </c>
      <c r="L1401"/>
      <c r="M1401" t="inlineStr">
        <is>
          <t>何老师金榜题名的店</t>
        </is>
      </c>
      <c r="N1401">
        <v>746</v>
      </c>
      <c r="O1401">
        <v>4.35</v>
      </c>
      <c r="P1401">
        <v>3256</v>
      </c>
      <c r="Q1401" t="inlineStr">
        <is>
          <t>684409d1d4dabb00018d339b</t>
        </is>
      </c>
      <c r="R1401"/>
      <c r="S1401" t="inlineStr">
        <is>
          <t>中小学教辅/教材</t>
        </is>
      </c>
      <c r="T1401" t="inlineStr">
        <is>
          <t>1.81</t>
        </is>
      </c>
      <c r="U1401" s="3">
        <v>46112.78107638889</v>
      </c>
      <c r="V1401" t="inlineStr">
        <is>
          <t>虚拟产品</t>
        </is>
      </c>
      <c r="W1401" s="3">
        <v>46046</v>
      </c>
      <c r="X1401" t="inlineStr">
        <is>
          <t>01</t>
        </is>
      </c>
      <c r="Y1401" t="inlineStr">
        <is>
          <t>2026-Q1</t>
        </is>
      </c>
    </row>
    <row r="1402" ht="38.25" customHeight="1">
      <c r="A1402" t="inlineStr">
        <is>
          <t>初中语文数学英语物理化生物史地道法知识点总结电子版素材多版本</t>
        </is>
      </c>
      <c r="B1402" t="inlineStr">
        <is>
          <t>recv9c176szkds.jpg</t>
        </is>
      </c>
      <c r="C1402" s="2" t="str">
        <f>=HYPERLINK("https://xhslink.com/m/3rDucUvV7vS", "https://xhslink.com/m/3rDucUvV7vS")</f>
        <v>https://xhslink.com/m/3rDucUvV7vS</v>
      </c>
      <c r="D1402"/>
      <c r="E1402">
        <v>25000</v>
      </c>
      <c r="F1402">
        <v>7.9</v>
      </c>
      <c r="G1402"/>
      <c r="H1402"/>
      <c r="I1402">
        <v>7000</v>
      </c>
      <c r="J1402"/>
      <c r="K1402" t="inlineStr">
        <is>
          <t>初中化学</t>
        </is>
      </c>
      <c r="L1402"/>
      <c r="M1402" t="inlineStr">
        <is>
          <t>赵老师的资料库的店</t>
        </is>
      </c>
      <c r="N1402">
        <v>15000</v>
      </c>
      <c r="O1402">
        <v>4.41</v>
      </c>
      <c r="P1402">
        <v>48000</v>
      </c>
      <c r="Q1402" t="inlineStr">
        <is>
          <t>672cd74310adb50001c57211</t>
        </is>
      </c>
      <c r="R1402" t="inlineStr">
        <is>
          <t>🚫重复</t>
        </is>
      </c>
      <c r="S1402" t="inlineStr">
        <is>
          <t>中小学教辅/教材</t>
        </is>
      </c>
      <c r="T1402" t="inlineStr">
        <is>
          <t>1.67</t>
        </is>
      </c>
      <c r="U1402" s="3">
        <v>46112.78107638889</v>
      </c>
      <c r="V1402" t="inlineStr">
        <is>
          <t>虚拟产品</t>
        </is>
      </c>
      <c r="W1402" s="3">
        <v>46046</v>
      </c>
      <c r="X1402" t="inlineStr">
        <is>
          <t>01</t>
        </is>
      </c>
      <c r="Y1402" t="inlineStr">
        <is>
          <t>2026-Q1</t>
        </is>
      </c>
    </row>
    <row r="1403" ht="38.25" customHeight="1">
      <c r="A1403" t="inlineStr">
        <is>
          <t>初中化学睡前默写小纸条 +知识归纳总结+化学方程式大全 电子版</t>
        </is>
      </c>
      <c r="B1403" t="inlineStr">
        <is>
          <t>recv9c176sTgch.jpg</t>
        </is>
      </c>
      <c r="C1403" s="2" t="str">
        <f>=HYPERLINK("https://xhslink.com/m/4tsIP58Y1Lw", "https://xhslink.com/m/4tsIP58Y1Lw")</f>
        <v>https://xhslink.com/m/4tsIP58Y1Lw</v>
      </c>
      <c r="D1403"/>
      <c r="E1403">
        <v>1076</v>
      </c>
      <c r="F1403">
        <v>9.8</v>
      </c>
      <c r="G1403"/>
      <c r="H1403"/>
      <c r="I1403">
        <v>200</v>
      </c>
      <c r="J1403"/>
      <c r="K1403" t="inlineStr">
        <is>
          <t>初中化学</t>
        </is>
      </c>
      <c r="L1403"/>
      <c r="M1403" t="inlineStr">
        <is>
          <t>小徐老师学习资料库的店</t>
        </is>
      </c>
      <c r="N1403">
        <v>5732</v>
      </c>
      <c r="O1403">
        <v>4.06</v>
      </c>
      <c r="P1403">
        <v>10000</v>
      </c>
      <c r="Q1403" t="inlineStr">
        <is>
          <t>6713b905758fa40001b3ab2d</t>
        </is>
      </c>
      <c r="R1403" t="inlineStr">
        <is>
          <t>🚫重复</t>
        </is>
      </c>
      <c r="S1403" t="inlineStr">
        <is>
          <t>中小学教辅/教材</t>
        </is>
      </c>
      <c r="T1403" t="inlineStr">
        <is>
          <t>0.19</t>
        </is>
      </c>
      <c r="U1403" s="3">
        <v>46112.78107638889</v>
      </c>
      <c r="V1403" t="inlineStr">
        <is>
          <t>虚拟产品</t>
        </is>
      </c>
      <c r="W1403" s="3">
        <v>46046</v>
      </c>
      <c r="X1403" t="inlineStr">
        <is>
          <t>01</t>
        </is>
      </c>
      <c r="Y1403" t="inlineStr">
        <is>
          <t>2026-Q1</t>
        </is>
      </c>
    </row>
    <row r="1404" ht="38.25" customHeight="1">
      <c r="A1404" t="inlineStr">
        <is>
          <t>作文纸条 · 一看就能用的作文素材初中版2025新版中考初一二三记叙文写作技巧</t>
        </is>
      </c>
      <c r="B1404" t="inlineStr">
        <is>
          <t>recv9c176sKibK.jpg</t>
        </is>
      </c>
      <c r="C1404" s="2" t="str">
        <f>=HYPERLINK("https://xhslink.com/m/9W92hMrbVyi", "https://xhslink.com/m/9W92hMrbVyi")</f>
        <v>https://xhslink.com/m/9W92hMrbVyi</v>
      </c>
      <c r="D1404"/>
      <c r="E1404">
        <v>10000</v>
      </c>
      <c r="F1404">
        <v>137.8</v>
      </c>
      <c r="G1404"/>
      <c r="H1404"/>
      <c r="I1404">
        <v>900</v>
      </c>
      <c r="J1404"/>
      <c r="K1404" t="inlineStr">
        <is>
          <t>初中语文</t>
        </is>
      </c>
      <c r="L1404"/>
      <c r="M1404" t="inlineStr">
        <is>
          <t>作文纸条旗舰店</t>
        </is>
      </c>
      <c r="N1404">
        <v>157000</v>
      </c>
      <c r="O1404">
        <v>4.67</v>
      </c>
      <c r="P1404">
        <v>145000</v>
      </c>
      <c r="Q1404" t="inlineStr">
        <is>
          <t>663b4b42eb7ed90001247005</t>
        </is>
      </c>
      <c r="R1404" t="inlineStr">
        <is>
          <t>🚫重复</t>
        </is>
      </c>
      <c r="S1404" t="inlineStr">
        <is>
          <t>中小学教辅/教材</t>
        </is>
      </c>
      <c r="T1404" t="inlineStr">
        <is>
          <t>0.06</t>
        </is>
      </c>
      <c r="U1404" s="3">
        <v>46112.78107638889</v>
      </c>
      <c r="V1404" t="inlineStr">
        <is>
          <t>虚拟产品</t>
        </is>
      </c>
      <c r="W1404" s="3">
        <v>46046</v>
      </c>
      <c r="X1404" t="inlineStr">
        <is>
          <t>01</t>
        </is>
      </c>
      <c r="Y1404" t="inlineStr">
        <is>
          <t>2026-Q1</t>
        </is>
      </c>
    </row>
    <row r="1405" ht="38.25" customHeight="1">
      <c r="A1405" t="inlineStr">
        <is>
          <t>中考语文阅读理解答题模板+五类文体分类阅读（电子版）</t>
        </is>
      </c>
      <c r="B1405" t="inlineStr">
        <is>
          <t>recv9c176sBJwV.jpg</t>
        </is>
      </c>
      <c r="C1405" s="2" t="str">
        <f>=HYPERLINK("https://xhslink.com/m/7z1khMpRYoV", "https://xhslink.com/m/7z1khMpRYoV")</f>
        <v>https://xhslink.com/m/7z1khMpRYoV</v>
      </c>
      <c r="D1405"/>
      <c r="E1405">
        <v>7857</v>
      </c>
      <c r="F1405">
        <v>13.99</v>
      </c>
      <c r="G1405"/>
      <c r="H1405"/>
      <c r="I1405">
        <v>400</v>
      </c>
      <c r="J1405"/>
      <c r="K1405" t="inlineStr">
        <is>
          <t>初中语文</t>
        </is>
      </c>
      <c r="L1405"/>
      <c r="M1405" t="inlineStr">
        <is>
          <t>教语文的橙子老师的店</t>
        </is>
      </c>
      <c r="N1405">
        <v>3725</v>
      </c>
      <c r="O1405">
        <v>3.84</v>
      </c>
      <c r="P1405">
        <v>9387</v>
      </c>
      <c r="Q1405" t="inlineStr">
        <is>
          <t>6847860e6d1910000176136e</t>
        </is>
      </c>
      <c r="R1405" t="inlineStr">
        <is>
          <t>🚫重复</t>
        </is>
      </c>
      <c r="S1405" t="inlineStr">
        <is>
          <t>中小学教辅/教材</t>
        </is>
      </c>
      <c r="T1405" t="inlineStr">
        <is>
          <t>2.11</t>
        </is>
      </c>
      <c r="U1405" s="3">
        <v>46112.78107638889</v>
      </c>
      <c r="V1405" t="inlineStr">
        <is>
          <t>虚拟产品</t>
        </is>
      </c>
      <c r="W1405" s="3">
        <v>46046</v>
      </c>
      <c r="X1405" t="inlineStr">
        <is>
          <t>01</t>
        </is>
      </c>
      <c r="Y1405" t="inlineStr">
        <is>
          <t>2026-Q1</t>
        </is>
      </c>
    </row>
    <row r="1406" ht="38.25" customHeight="1">
      <c r="A1406" t="inlineStr">
        <is>
          <t>初中语文期中期末复习资料（部编版人教版）</t>
        </is>
      </c>
      <c r="B1406" t="inlineStr">
        <is>
          <t>recv9c176sujUA.jpg</t>
        </is>
      </c>
      <c r="C1406" s="2" t="str">
        <f>=HYPERLINK("https://xhslink.com/m/6XZfKxGzMQh", "https://xhslink.com/m/6XZfKxGzMQh")</f>
        <v>https://xhslink.com/m/6XZfKxGzMQh</v>
      </c>
      <c r="D1406"/>
      <c r="E1406">
        <v>3632</v>
      </c>
      <c r="F1406">
        <v>59.9</v>
      </c>
      <c r="G1406"/>
      <c r="H1406"/>
      <c r="I1406">
        <v>600</v>
      </c>
      <c r="J1406"/>
      <c r="K1406" t="inlineStr">
        <is>
          <t>初中语文</t>
        </is>
      </c>
      <c r="L1406"/>
      <c r="M1406" t="inlineStr">
        <is>
          <t>教语文的葭葭子的店</t>
        </is>
      </c>
      <c r="N1406">
        <v>13000</v>
      </c>
      <c r="O1406">
        <v>4.36</v>
      </c>
      <c r="P1406">
        <v>14000</v>
      </c>
      <c r="Q1406" t="inlineStr">
        <is>
          <t>67d9285c5fc3f70001367020</t>
        </is>
      </c>
      <c r="R1406" t="inlineStr">
        <is>
          <t>🚫重复</t>
        </is>
      </c>
      <c r="S1406" t="inlineStr">
        <is>
          <t>中小学教辅/教材</t>
        </is>
      </c>
      <c r="T1406" t="inlineStr">
        <is>
          <t>0.28</t>
        </is>
      </c>
      <c r="U1406" s="3">
        <v>46112.78107638889</v>
      </c>
      <c r="V1406" t="inlineStr">
        <is>
          <t>虚拟产品</t>
        </is>
      </c>
      <c r="W1406" s="3">
        <v>46046</v>
      </c>
      <c r="X1406" t="inlineStr">
        <is>
          <t>01</t>
        </is>
      </c>
      <c r="Y1406" t="inlineStr">
        <is>
          <t>2026-Q1</t>
        </is>
      </c>
    </row>
    <row r="1407" ht="38.25" customHeight="1">
      <c r="A1407" t="inlineStr">
        <is>
          <t>开心 · 【初中必背文言文漫画笔记】秒懂秒记初中课内经典常考全覆盖</t>
        </is>
      </c>
      <c r="B1407" t="inlineStr">
        <is>
          <t>recv9c176srEen.jpg</t>
        </is>
      </c>
      <c r="C1407" s="2" t="str">
        <f>=HYPERLINK("https://xhslink.com/m/5BIbe3BwJii", "https://xhslink.com/m/5BIbe3BwJii")</f>
        <v>https://xhslink.com/m/5BIbe3BwJii</v>
      </c>
      <c r="D1407"/>
      <c r="E1407">
        <v>3498</v>
      </c>
      <c r="F1407">
        <v>59</v>
      </c>
      <c r="G1407"/>
      <c r="H1407"/>
      <c r="I1407">
        <v>300</v>
      </c>
      <c r="J1407"/>
      <c r="K1407" t="inlineStr">
        <is>
          <t>初中语文</t>
        </is>
      </c>
      <c r="L1407"/>
      <c r="M1407" t="inlineStr">
        <is>
          <t>长沙开心图书的店</t>
        </is>
      </c>
      <c r="N1407">
        <v>1517</v>
      </c>
      <c r="O1407">
        <v>4.6</v>
      </c>
      <c r="P1407">
        <v>13000</v>
      </c>
      <c r="Q1407" t="inlineStr">
        <is>
          <t>66bb096a6599160001fdb59c</t>
        </is>
      </c>
      <c r="R1407"/>
      <c r="S1407" t="inlineStr">
        <is>
          <t>中小学教辅/教材</t>
        </is>
      </c>
      <c r="T1407" t="inlineStr">
        <is>
          <t>2.31</t>
        </is>
      </c>
      <c r="U1407" s="3">
        <v>46112.78107638889</v>
      </c>
      <c r="V1407" t="inlineStr">
        <is>
          <t>虚拟产品</t>
        </is>
      </c>
      <c r="W1407" s="3">
        <v>46046</v>
      </c>
      <c r="X1407" t="inlineStr">
        <is>
          <t>01</t>
        </is>
      </c>
      <c r="Y1407" t="inlineStr">
        <is>
          <t>2026-Q1</t>
        </is>
      </c>
    </row>
    <row r="1408" ht="38.25" customHeight="1">
      <c r="A1408" t="inlineStr">
        <is>
          <t>一本 · 【初中100问】初中语文阅读答题方法100问答题模板+导图+方法CZ</t>
        </is>
      </c>
      <c r="B1408" t="inlineStr">
        <is>
          <t>recv9c176sVOvp.jpg</t>
        </is>
      </c>
      <c r="C1408" s="2" t="str">
        <f>=HYPERLINK("https://xhslink.com/m/4Cb2w8DPiPd", "https://xhslink.com/m/4Cb2w8DPiPd")</f>
        <v>https://xhslink.com/m/4Cb2w8DPiPd</v>
      </c>
      <c r="D1408"/>
      <c r="E1408">
        <v>2123</v>
      </c>
      <c r="F1408">
        <v>154.6</v>
      </c>
      <c r="G1408"/>
      <c r="H1408"/>
      <c r="I1408">
        <v>200</v>
      </c>
      <c r="J1408"/>
      <c r="K1408" t="inlineStr">
        <is>
          <t>初中语文</t>
        </is>
      </c>
      <c r="L1408"/>
      <c r="M1408" t="inlineStr">
        <is>
          <t>一本旗舰店</t>
        </is>
      </c>
      <c r="N1408">
        <v>69000</v>
      </c>
      <c r="O1408">
        <v>4.59</v>
      </c>
      <c r="P1408">
        <v>233000</v>
      </c>
      <c r="Q1408" t="inlineStr">
        <is>
          <t>66d65f5f0cfd4b00014999f8</t>
        </is>
      </c>
      <c r="R1408" t="inlineStr">
        <is>
          <t>🚫重复</t>
        </is>
      </c>
      <c r="S1408" t="inlineStr">
        <is>
          <t>中小学教辅/教材</t>
        </is>
      </c>
      <c r="T1408" t="inlineStr">
        <is>
          <t>0.03</t>
        </is>
      </c>
      <c r="U1408" s="3">
        <v>46112.78107638889</v>
      </c>
      <c r="V1408" t="inlineStr">
        <is>
          <t>虚拟产品</t>
        </is>
      </c>
      <c r="W1408" s="3">
        <v>46046</v>
      </c>
      <c r="X1408" t="inlineStr">
        <is>
          <t>01</t>
        </is>
      </c>
      <c r="Y1408" t="inlineStr">
        <is>
          <t>2026-Q1</t>
        </is>
      </c>
    </row>
    <row r="1409" ht="38.25" customHeight="1">
      <c r="A1409" t="inlineStr">
        <is>
          <t>25秋初中语文教材全梳理主旨概要重点pdf带目录</t>
        </is>
      </c>
      <c r="B1409" t="inlineStr">
        <is>
          <t>recv9c176sUNPw.jpg</t>
        </is>
      </c>
      <c r="C1409" s="2" t="str">
        <f>=HYPERLINK("https://xhslink.com/m/3ogtdpVXSSn", "https://xhslink.com/m/3ogtdpVXSSn")</f>
        <v>https://xhslink.com/m/3ogtdpVXSSn</v>
      </c>
      <c r="D1409"/>
      <c r="E1409">
        <v>1707</v>
      </c>
      <c r="F1409">
        <v>13.49</v>
      </c>
      <c r="G1409"/>
      <c r="H1409"/>
      <c r="I1409">
        <v>600</v>
      </c>
      <c r="J1409"/>
      <c r="K1409" t="inlineStr">
        <is>
          <t>初中语文</t>
        </is>
      </c>
      <c r="L1409"/>
      <c r="M1409" t="inlineStr">
        <is>
          <t>逸点语文的店</t>
        </is>
      </c>
      <c r="N1409">
        <v>928</v>
      </c>
      <c r="O1409">
        <v>4.31</v>
      </c>
      <c r="P1409">
        <v>3109</v>
      </c>
      <c r="Q1409" t="inlineStr">
        <is>
          <t>67d18a15ba9cf80001c4c483</t>
        </is>
      </c>
      <c r="R1409"/>
      <c r="S1409" t="inlineStr">
        <is>
          <t>中小学教辅/教材</t>
        </is>
      </c>
      <c r="T1409" t="inlineStr">
        <is>
          <t>1.84</t>
        </is>
      </c>
      <c r="U1409" s="3">
        <v>46112.78107638889</v>
      </c>
      <c r="V1409" t="inlineStr">
        <is>
          <t>虚拟产品</t>
        </is>
      </c>
      <c r="W1409" s="3">
        <v>46046</v>
      </c>
      <c r="X1409" t="inlineStr">
        <is>
          <t>01</t>
        </is>
      </c>
      <c r="Y1409" t="inlineStr">
        <is>
          <t>2026-Q1</t>
        </is>
      </c>
    </row>
    <row r="1410" ht="38.25" customHeight="1">
      <c r="A1410" t="inlineStr">
        <is>
          <t>华理社 · 中考初中语文 基础知识2000题+文言文阅读2000题（赠视频课）</t>
        </is>
      </c>
      <c r="B1410" t="inlineStr">
        <is>
          <t>recv9c176s02av.jpg</t>
        </is>
      </c>
      <c r="C1410" s="2" t="str">
        <f>=HYPERLINK("https://xhslink.com/m/3OEYmH46nC6", "https://xhslink.com/m/3OEYmH46nC6")</f>
        <v>https://xhslink.com/m/3OEYmH46nC6</v>
      </c>
      <c r="D1410"/>
      <c r="E1410">
        <v>565</v>
      </c>
      <c r="F1410">
        <v>91</v>
      </c>
      <c r="G1410"/>
      <c r="H1410"/>
      <c r="I1410">
        <v>200</v>
      </c>
      <c r="J1410"/>
      <c r="K1410" t="inlineStr">
        <is>
          <t>初中语文</t>
        </is>
      </c>
      <c r="L1410"/>
      <c r="M1410" t="inlineStr">
        <is>
          <t>华理社旗舰店</t>
        </is>
      </c>
      <c r="N1410">
        <v>14000</v>
      </c>
      <c r="O1410">
        <v>4.8</v>
      </c>
      <c r="P1410">
        <v>45000</v>
      </c>
      <c r="Q1410" t="inlineStr">
        <is>
          <t>6746ae51b5fee100013b1b61</t>
        </is>
      </c>
      <c r="R1410" t="inlineStr">
        <is>
          <t>🚫重复</t>
        </is>
      </c>
      <c r="S1410" t="inlineStr">
        <is>
          <t>中小学教辅/教材</t>
        </is>
      </c>
      <c r="T1410" t="inlineStr">
        <is>
          <t>0.04</t>
        </is>
      </c>
      <c r="U1410" s="3">
        <v>46112.78107638889</v>
      </c>
      <c r="V1410" t="inlineStr">
        <is>
          <t>虚拟产品</t>
        </is>
      </c>
      <c r="W1410" s="3">
        <v>46046</v>
      </c>
      <c r="X1410" t="inlineStr">
        <is>
          <t>01</t>
        </is>
      </c>
      <c r="Y1410" t="inlineStr">
        <is>
          <t>2026-Q1</t>
        </is>
      </c>
    </row>
    <row r="1411" ht="38.25" customHeight="1">
      <c r="A1411" t="inlineStr">
        <is>
          <t>学而思 · 图书2025版初中数学计算全覆盖每天15分钟分层练习计算不丢分</t>
        </is>
      </c>
      <c r="B1411" t="inlineStr">
        <is>
          <t>recv9c176sU5md.jpg</t>
        </is>
      </c>
      <c r="C1411" s="2" t="str">
        <f>=HYPERLINK("https://xhslink.com/m/85MrTubLS9Z", "https://xhslink.com/m/85MrTubLS9Z")</f>
        <v>https://xhslink.com/m/85MrTubLS9Z</v>
      </c>
      <c r="D1411"/>
      <c r="E1411">
        <v>2514</v>
      </c>
      <c r="F1411">
        <v>29.9</v>
      </c>
      <c r="G1411"/>
      <c r="H1411"/>
      <c r="I1411">
        <v>900</v>
      </c>
      <c r="J1411"/>
      <c r="K1411" t="inlineStr">
        <is>
          <t>初中数学</t>
        </is>
      </c>
      <c r="L1411"/>
      <c r="M1411" t="inlineStr">
        <is>
          <t>学而思图书旗舰店</t>
        </is>
      </c>
      <c r="N1411">
        <v>81000</v>
      </c>
      <c r="O1411">
        <v>4.48</v>
      </c>
      <c r="P1411">
        <v>217000</v>
      </c>
      <c r="Q1411" t="inlineStr">
        <is>
          <t>686cdd1680b7300001bae4aa</t>
        </is>
      </c>
      <c r="R1411" t="inlineStr">
        <is>
          <t>🚫重复</t>
        </is>
      </c>
      <c r="S1411" t="inlineStr">
        <is>
          <t>中小学教辅/教材</t>
        </is>
      </c>
      <c r="T1411" t="inlineStr">
        <is>
          <t>0.03</t>
        </is>
      </c>
      <c r="U1411" s="3">
        <v>46112.78107638889</v>
      </c>
      <c r="V1411" t="inlineStr">
        <is>
          <t>虚拟产品</t>
        </is>
      </c>
      <c r="W1411" s="3">
        <v>46046</v>
      </c>
      <c r="X1411" t="inlineStr">
        <is>
          <t>01</t>
        </is>
      </c>
      <c r="Y1411" t="inlineStr">
        <is>
          <t>2026-Q1</t>
        </is>
      </c>
    </row>
    <row r="1412" ht="38.25" customHeight="1">
      <c r="A1412" t="inlineStr">
        <is>
          <t>【2025版】人教版七上数学重难点题型总结182种题型778题</t>
        </is>
      </c>
      <c r="B1412" t="inlineStr">
        <is>
          <t>recv9c176syeO5.jpg</t>
        </is>
      </c>
      <c r="C1412" s="2" t="str">
        <f>=HYPERLINK("https://xhslink.com/m/5viBjQAGreX", "https://xhslink.com/m/5viBjQAGreX")</f>
        <v>https://xhslink.com/m/5viBjQAGreX</v>
      </c>
      <c r="D1412"/>
      <c r="E1412">
        <v>2514</v>
      </c>
      <c r="F1412">
        <v>15</v>
      </c>
      <c r="G1412"/>
      <c r="H1412"/>
      <c r="I1412">
        <v>300</v>
      </c>
      <c r="J1412"/>
      <c r="K1412" t="inlineStr">
        <is>
          <t>初中数学</t>
        </is>
      </c>
      <c r="L1412"/>
      <c r="M1412" t="inlineStr">
        <is>
          <t>初中数学学习规划的店</t>
        </is>
      </c>
      <c r="N1412">
        <v>43000</v>
      </c>
      <c r="O1412">
        <v>4.25</v>
      </c>
      <c r="P1412">
        <v>5308</v>
      </c>
      <c r="Q1412" t="inlineStr">
        <is>
          <t>683559e2d9a0a40001ee5214</t>
        </is>
      </c>
      <c r="R1412"/>
      <c r="S1412" t="inlineStr">
        <is>
          <t>中小学教辅/教材</t>
        </is>
      </c>
      <c r="T1412" t="inlineStr">
        <is>
          <t>0.06</t>
        </is>
      </c>
      <c r="U1412" s="3">
        <v>46112.78107638889</v>
      </c>
      <c r="V1412" t="inlineStr">
        <is>
          <t>虚拟产品</t>
        </is>
      </c>
      <c r="W1412" s="3">
        <v>46046</v>
      </c>
      <c r="X1412" t="inlineStr">
        <is>
          <t>01</t>
        </is>
      </c>
      <c r="Y1412" t="inlineStr">
        <is>
          <t>2026-Q1</t>
        </is>
      </c>
    </row>
    <row r="1413" ht="38.25" customHeight="1">
      <c r="A1413" t="inlineStr">
        <is>
          <t>理想树 · 2025-2026初中必刷题七八九年级上册初中初一二同步教材练习</t>
        </is>
      </c>
      <c r="B1413" t="inlineStr">
        <is>
          <t>recv9c176sJCc8.jpg</t>
        </is>
      </c>
      <c r="C1413" s="2" t="str">
        <f>=HYPERLINK("https://xhslink.com/m/7Xpda4q6byA", "https://xhslink.com/m/7Xpda4q6byA")</f>
        <v>https://xhslink.com/m/7Xpda4q6byA</v>
      </c>
      <c r="D1413"/>
      <c r="E1413">
        <v>1850</v>
      </c>
      <c r="F1413">
        <v>48.2</v>
      </c>
      <c r="G1413"/>
      <c r="H1413"/>
      <c r="I1413">
        <v>300</v>
      </c>
      <c r="J1413"/>
      <c r="K1413" t="inlineStr">
        <is>
          <t>初中数学</t>
        </is>
      </c>
      <c r="L1413"/>
      <c r="M1413" t="inlineStr">
        <is>
          <t>理想树必刷题旗舰店</t>
        </is>
      </c>
      <c r="N1413">
        <v>111000</v>
      </c>
      <c r="O1413">
        <v>4.73</v>
      </c>
      <c r="P1413">
        <v>6532</v>
      </c>
      <c r="Q1413" t="inlineStr">
        <is>
          <t>67921e8529b9f70001f05c5f</t>
        </is>
      </c>
      <c r="R1413" t="inlineStr">
        <is>
          <t>🚫重复</t>
        </is>
      </c>
      <c r="S1413" t="inlineStr">
        <is>
          <t>中小学教辅/教材</t>
        </is>
      </c>
      <c r="T1413" t="inlineStr">
        <is>
          <t>0.02</t>
        </is>
      </c>
      <c r="U1413" s="3">
        <v>46112.78107638889</v>
      </c>
      <c r="V1413" t="inlineStr">
        <is>
          <t>虚拟产品</t>
        </is>
      </c>
      <c r="W1413" s="3">
        <v>46046</v>
      </c>
      <c r="X1413" t="inlineStr">
        <is>
          <t>01</t>
        </is>
      </c>
      <c r="Y1413" t="inlineStr">
        <is>
          <t>2026-Q1</t>
        </is>
      </c>
    </row>
    <row r="1414" ht="38.25" customHeight="1">
      <c r="A1414" t="inlineStr">
        <is>
          <t>SSP上海学生英文报 初中高中英语外刊阅读系列(单本期刊）</t>
        </is>
      </c>
      <c r="B1414" t="inlineStr">
        <is>
          <t>recv9c176sPR6X.jpg</t>
        </is>
      </c>
      <c r="C1414" s="2" t="str">
        <f>=HYPERLINK("https://xhslink.com/m/7EJ0xvLHE7", "https://xhslink.com/m/7EJ0xvLHE7")</f>
        <v>https://xhslink.com/m/7EJ0xvLHE7</v>
      </c>
      <c r="D1414"/>
      <c r="E1414">
        <v>2882</v>
      </c>
      <c r="F1414">
        <v>199</v>
      </c>
      <c r="G1414"/>
      <c r="H1414"/>
      <c r="I1414">
        <v>400</v>
      </c>
      <c r="J1414"/>
      <c r="K1414" t="inlineStr">
        <is>
          <t>初中英语</t>
        </is>
      </c>
      <c r="L1414"/>
      <c r="M1414" t="inlineStr">
        <is>
          <t>慈怀书店的店</t>
        </is>
      </c>
      <c r="N1414">
        <v>5779</v>
      </c>
      <c r="O1414">
        <v>4.78</v>
      </c>
      <c r="P1414">
        <v>25000</v>
      </c>
      <c r="Q1414" t="inlineStr">
        <is>
          <t>68c80ea855f59b000106e76a</t>
        </is>
      </c>
      <c r="R1414" t="inlineStr">
        <is>
          <t>🚫重复</t>
        </is>
      </c>
      <c r="S1414" t="inlineStr">
        <is>
          <t>英语资料</t>
        </is>
      </c>
      <c r="T1414" t="inlineStr">
        <is>
          <t>0.50</t>
        </is>
      </c>
      <c r="U1414" s="3">
        <v>46112.78107638889</v>
      </c>
      <c r="V1414" t="inlineStr">
        <is>
          <t>虚拟产品</t>
        </is>
      </c>
      <c r="W1414" s="3">
        <v>46046</v>
      </c>
      <c r="X1414" t="inlineStr">
        <is>
          <t>01</t>
        </is>
      </c>
      <c r="Y1414" t="inlineStr">
        <is>
          <t>2026-Q1</t>
        </is>
      </c>
    </row>
    <row r="1415" ht="38.25" customHeight="1">
      <c r="A1415" t="inlineStr">
        <is>
          <t>每天做五题英语【含视频讲解】</t>
        </is>
      </c>
      <c r="B1415" t="inlineStr">
        <is>
          <t>recv9c176sMEsV.jpg</t>
        </is>
      </c>
      <c r="C1415" s="2" t="str">
        <f>=HYPERLINK("https://xhslink.com/m/1YLLOdw9y4p", "https://xhslink.com/m/1YLLOdw9y4p")</f>
        <v>https://xhslink.com/m/1YLLOdw9y4p</v>
      </c>
      <c r="D1415"/>
      <c r="E1415">
        <v>1239</v>
      </c>
      <c r="F1415">
        <v>159.9</v>
      </c>
      <c r="G1415"/>
      <c r="H1415"/>
      <c r="I1415">
        <v>300</v>
      </c>
      <c r="J1415"/>
      <c r="K1415" t="inlineStr">
        <is>
          <t>初中英语</t>
        </is>
      </c>
      <c r="L1415"/>
      <c r="M1415" t="inlineStr">
        <is>
          <t>英语树叶老师的店</t>
        </is>
      </c>
      <c r="N1415">
        <v>51000</v>
      </c>
      <c r="O1415">
        <v>4.68</v>
      </c>
      <c r="P1415">
        <v>1287</v>
      </c>
      <c r="Q1415" t="inlineStr">
        <is>
          <t>6900c64f3f37a90001257c38</t>
        </is>
      </c>
      <c r="R1415" t="inlineStr">
        <is>
          <t>🚫重复</t>
        </is>
      </c>
      <c r="S1415" t="inlineStr">
        <is>
          <t>英语资料</t>
        </is>
      </c>
      <c r="T1415" t="inlineStr">
        <is>
          <t>0.02</t>
        </is>
      </c>
      <c r="U1415" s="3">
        <v>46112.78107638889</v>
      </c>
      <c r="V1415" t="inlineStr">
        <is>
          <t>虚拟产品</t>
        </is>
      </c>
      <c r="W1415" s="3">
        <v>46046</v>
      </c>
      <c r="X1415" t="inlineStr">
        <is>
          <t>01</t>
        </is>
      </c>
      <c r="Y1415" t="inlineStr">
        <is>
          <t>2026-Q1</t>
        </is>
      </c>
    </row>
    <row r="1416" ht="38.25" customHeight="1">
      <c r="A1416" t="inlineStr">
        <is>
          <t>初中英语语法笔记本（含400个精讲视频）</t>
        </is>
      </c>
      <c r="B1416" t="inlineStr">
        <is>
          <t>recv9c176soXCa.jpg</t>
        </is>
      </c>
      <c r="C1416" s="2" t="str">
        <f>=HYPERLINK("https://xhslink.com/m/4KzUCOvozld", "https://xhslink.com/m/4KzUCOvozld")</f>
        <v>https://xhslink.com/m/4KzUCOvozld</v>
      </c>
      <c r="D1416"/>
      <c r="E1416">
        <v>959</v>
      </c>
      <c r="F1416">
        <v>69.9</v>
      </c>
      <c r="G1416"/>
      <c r="H1416"/>
      <c r="I1416">
        <v>200</v>
      </c>
      <c r="J1416"/>
      <c r="K1416" t="inlineStr">
        <is>
          <t>初中英语</t>
        </is>
      </c>
      <c r="L1416"/>
      <c r="M1416" t="inlineStr">
        <is>
          <t>英语Anna老师🧡的店</t>
        </is>
      </c>
      <c r="N1416">
        <v>6598</v>
      </c>
      <c r="O1416">
        <v>4.31</v>
      </c>
      <c r="P1416">
        <v>10000</v>
      </c>
      <c r="Q1416" t="inlineStr">
        <is>
          <t>67454466c14a2d00012cc231</t>
        </is>
      </c>
      <c r="R1416" t="inlineStr">
        <is>
          <t>🚫重复</t>
        </is>
      </c>
      <c r="S1416" t="inlineStr">
        <is>
          <t>中小学教辅/教材</t>
        </is>
      </c>
      <c r="T1416" t="inlineStr">
        <is>
          <t>0.15</t>
        </is>
      </c>
      <c r="U1416" s="3">
        <v>46112.78107638889</v>
      </c>
      <c r="V1416" t="inlineStr">
        <is>
          <t>虚拟产品</t>
        </is>
      </c>
      <c r="W1416" s="3">
        <v>46046</v>
      </c>
      <c r="X1416" t="inlineStr">
        <is>
          <t>01</t>
        </is>
      </c>
      <c r="Y1416" t="inlineStr">
        <is>
          <t>2026-Q1</t>
        </is>
      </c>
    </row>
    <row r="1417" ht="38.25" customHeight="1">
      <c r="A1417" t="inlineStr">
        <is>
          <t>面部分析颜值测试-在线发货-可重复测试</t>
        </is>
      </c>
      <c r="B1417" t="inlineStr">
        <is>
          <t>recv9c176snY26.jpg</t>
        </is>
      </c>
      <c r="C1417" s="2" t="str">
        <f>=HYPERLINK("https://xhslink.com/m/7kQlX9bBq1X", "https://xhslink.com/m/7kQlX9bBq1X")</f>
        <v>https://xhslink.com/m/7kQlX9bBq1X</v>
      </c>
      <c r="D1417"/>
      <c r="E1417">
        <v>23000</v>
      </c>
      <c r="F1417">
        <v>1.99</v>
      </c>
      <c r="G1417"/>
      <c r="H1417"/>
      <c r="I1417">
        <v>20000</v>
      </c>
      <c r="J1417"/>
      <c r="K1417" t="inlineStr">
        <is>
          <t>测试</t>
        </is>
      </c>
      <c r="L1417" t="inlineStr">
        <is>
          <t>🔥低粉爆款</t>
        </is>
      </c>
      <c r="M1417" t="inlineStr">
        <is>
          <t>心灵感应站的店</t>
        </is>
      </c>
      <c r="N1417">
        <v>787</v>
      </c>
      <c r="O1417">
        <v>3.88</v>
      </c>
      <c r="P1417">
        <v>33000</v>
      </c>
      <c r="Q1417" t="inlineStr">
        <is>
          <t>6928644b3501090001016a0d</t>
        </is>
      </c>
      <c r="R1417"/>
      <c r="S1417" t="inlineStr">
        <is>
          <t>无匹配类别</t>
        </is>
      </c>
      <c r="T1417" t="inlineStr">
        <is>
          <t>29.22</t>
        </is>
      </c>
      <c r="U1417" s="3">
        <v>46112.78107638889</v>
      </c>
      <c r="V1417" t="inlineStr">
        <is>
          <t>虚拟产品</t>
        </is>
      </c>
      <c r="W1417" s="3">
        <v>46046</v>
      </c>
      <c r="X1417" t="inlineStr">
        <is>
          <t>01</t>
        </is>
      </c>
      <c r="Y1417" t="inlineStr">
        <is>
          <t>2026-Q1</t>
        </is>
      </c>
    </row>
    <row r="1418" ht="38.25" customHeight="1">
      <c r="A1418" t="inlineStr">
        <is>
          <t>60多款课前游戏PPT课件（拍下自动发网盘）</t>
        </is>
      </c>
      <c r="B1418" t="inlineStr">
        <is>
          <t>recv9hFUrVJEzR.jpg</t>
        </is>
      </c>
      <c r="C1418" s="2" t="str">
        <f>=HYPERLINK("https://xhslink.com/m/GU3BCNadpk", "https://xhslink.com/m/GU3BCNadpk")</f>
        <v>https://xhslink.com/m/GU3BCNadpk</v>
      </c>
      <c r="D1418"/>
      <c r="E1418">
        <v>16000</v>
      </c>
      <c r="F1418">
        <v>36.6</v>
      </c>
      <c r="G1418"/>
      <c r="H1418"/>
      <c r="I1418">
        <v>6000</v>
      </c>
      <c r="J1418"/>
      <c r="K1418" t="inlineStr">
        <is>
          <t>PPT模板</t>
        </is>
      </c>
      <c r="L1418"/>
      <c r="M1418" t="inlineStr">
        <is>
          <t>小雅老师.的店</t>
        </is>
      </c>
      <c r="N1418">
        <v>49000</v>
      </c>
      <c r="O1418">
        <v>4.37</v>
      </c>
      <c r="P1418">
        <v>77000</v>
      </c>
      <c r="Q1418" t="inlineStr">
        <is>
          <t>682386d76d54370001bfefb2</t>
        </is>
      </c>
      <c r="R1418" t="inlineStr">
        <is>
          <t>🚫重复</t>
        </is>
      </c>
      <c r="S1418" t="inlineStr">
        <is>
          <t>PPT模板</t>
        </is>
      </c>
      <c r="T1418" t="inlineStr">
        <is>
          <t>0.33</t>
        </is>
      </c>
      <c r="U1418" s="3">
        <v>46112.78107638889</v>
      </c>
      <c r="V1418" t="inlineStr">
        <is>
          <t>虚拟产品</t>
        </is>
      </c>
      <c r="W1418" s="3">
        <v>46047</v>
      </c>
      <c r="X1418" t="inlineStr">
        <is>
          <t>01</t>
        </is>
      </c>
      <c r="Y1418" t="inlineStr">
        <is>
          <t>2026-Q1</t>
        </is>
      </c>
    </row>
    <row r="1419" ht="38.25" customHeight="1">
      <c r="A1419" t="inlineStr">
        <is>
          <t>笔记同款主题班会PPT课件+讲稿+教案中小学主题班队会</t>
        </is>
      </c>
      <c r="B1419" t="inlineStr">
        <is>
          <t>recv9hFZGr1Bpi.jpg</t>
        </is>
      </c>
      <c r="C1419" s="2" t="str">
        <f>=HYPERLINK("https://xhslink.com/m/7g5xdrGOS9q", "https://xhslink.com/m/7g5xdrGOS9q")</f>
        <v>https://xhslink.com/m/7g5xdrGOS9q</v>
      </c>
      <c r="D1419"/>
      <c r="E1419">
        <v>4588</v>
      </c>
      <c r="F1419">
        <v>8.9</v>
      </c>
      <c r="G1419"/>
      <c r="H1419"/>
      <c r="I1419">
        <v>4000</v>
      </c>
      <c r="J1419"/>
      <c r="K1419" t="inlineStr">
        <is>
          <t>PPT模板</t>
        </is>
      </c>
      <c r="L1419" t="inlineStr">
        <is>
          <t>🔥低粉爆款</t>
        </is>
      </c>
      <c r="M1419" t="inlineStr">
        <is>
          <t>米老师PPT的店</t>
        </is>
      </c>
      <c r="N1419">
        <v>1205</v>
      </c>
      <c r="O1419">
        <v>4.34</v>
      </c>
      <c r="P1419">
        <v>12000</v>
      </c>
      <c r="Q1419" t="inlineStr">
        <is>
          <t>693fc16ab0ab6d00016f26f4</t>
        </is>
      </c>
      <c r="R1419" t="inlineStr">
        <is>
          <t>🚫重复</t>
        </is>
      </c>
      <c r="S1419" t="inlineStr">
        <is>
          <t>中小学教辅/教材</t>
        </is>
      </c>
      <c r="T1419" t="inlineStr">
        <is>
          <t>3.81</t>
        </is>
      </c>
      <c r="U1419" s="3">
        <v>46112.78107638889</v>
      </c>
      <c r="V1419" t="inlineStr">
        <is>
          <t>虚拟产品</t>
        </is>
      </c>
      <c r="W1419" s="3">
        <v>46047</v>
      </c>
      <c r="X1419" t="inlineStr">
        <is>
          <t>01</t>
        </is>
      </c>
      <c r="Y1419" t="inlineStr">
        <is>
          <t>2026-Q1</t>
        </is>
      </c>
    </row>
    <row r="1420" ht="38.25" customHeight="1">
      <c r="A1420" t="inlineStr">
        <is>
          <t>PPT模板 | 多图排版（均可编辑）图文排版ppt 拍一发三</t>
        </is>
      </c>
      <c r="B1420" t="inlineStr">
        <is>
          <t>recv9hFZGrZ6HG.jpg</t>
        </is>
      </c>
      <c r="C1420" s="2" t="str">
        <f>=HYPERLINK("https://xhslink.com/m/6kPs9Jv1ut2", "https://xhslink.com/m/6kPs9Jv1ut2")</f>
        <v>https://xhslink.com/m/6kPs9Jv1ut2</v>
      </c>
      <c r="D1420"/>
      <c r="E1420">
        <v>4103</v>
      </c>
      <c r="F1420">
        <v>39.9</v>
      </c>
      <c r="G1420"/>
      <c r="H1420"/>
      <c r="I1420">
        <v>300</v>
      </c>
      <c r="J1420"/>
      <c r="K1420" t="inlineStr">
        <is>
          <t>PPT模板</t>
        </is>
      </c>
      <c r="L1420"/>
      <c r="M1420" t="inlineStr">
        <is>
          <t>☁青云PPT的店</t>
        </is>
      </c>
      <c r="N1420">
        <v>4603</v>
      </c>
      <c r="O1420">
        <v>3.83</v>
      </c>
      <c r="P1420">
        <v>11000</v>
      </c>
      <c r="Q1420" t="inlineStr">
        <is>
          <t>67c6971dcb5e42000185eecd</t>
        </is>
      </c>
      <c r="R1420" t="inlineStr">
        <is>
          <t>🚫重复</t>
        </is>
      </c>
      <c r="S1420" t="inlineStr">
        <is>
          <t>PPT模板</t>
        </is>
      </c>
      <c r="T1420" t="inlineStr">
        <is>
          <t>0.89</t>
        </is>
      </c>
      <c r="U1420" s="3">
        <v>46112.78107638889</v>
      </c>
      <c r="V1420" t="inlineStr">
        <is>
          <t>虚拟产品</t>
        </is>
      </c>
      <c r="W1420" s="3">
        <v>46047</v>
      </c>
      <c r="X1420" t="inlineStr">
        <is>
          <t>01</t>
        </is>
      </c>
      <c r="Y1420" t="inlineStr">
        <is>
          <t>2026-Q1</t>
        </is>
      </c>
    </row>
    <row r="1421" ht="38.25" customHeight="1">
      <c r="A1421" t="inlineStr">
        <is>
          <t>财务工作PPT模板（分析/工作总结）含excel | 财务分析PPT</t>
        </is>
      </c>
      <c r="B1421" t="inlineStr">
        <is>
          <t>recv9hFZGririk.jpg</t>
        </is>
      </c>
      <c r="C1421" s="2" t="str">
        <f>=HYPERLINK("https://xhslink.com/m/9QFeZBfiwK", "https://xhslink.com/m/9QFeZBfiwK")</f>
        <v>https://xhslink.com/m/9QFeZBfiwK</v>
      </c>
      <c r="D1421"/>
      <c r="E1421">
        <v>3391</v>
      </c>
      <c r="F1421">
        <v>59.9</v>
      </c>
      <c r="G1421"/>
      <c r="H1421"/>
      <c r="I1421">
        <v>200</v>
      </c>
      <c r="J1421"/>
      <c r="K1421" t="inlineStr">
        <is>
          <t>PPT模板</t>
        </is>
      </c>
      <c r="L1421"/>
      <c r="M1421" t="inlineStr">
        <is>
          <t>冰冰财务学习中的店</t>
        </is>
      </c>
      <c r="N1421">
        <v>41000</v>
      </c>
      <c r="O1421">
        <v>4.33</v>
      </c>
      <c r="P1421">
        <v>16000</v>
      </c>
      <c r="Q1421" t="inlineStr">
        <is>
          <t>6607b2d6d391df00018a5d74</t>
        </is>
      </c>
      <c r="R1421"/>
      <c r="S1421" t="inlineStr">
        <is>
          <t>PPT模板</t>
        </is>
      </c>
      <c r="T1421" t="inlineStr">
        <is>
          <t>0.08</t>
        </is>
      </c>
      <c r="U1421" s="3">
        <v>46112.78107638889</v>
      </c>
      <c r="V1421" t="inlineStr">
        <is>
          <t>虚拟产品</t>
        </is>
      </c>
      <c r="W1421" s="3">
        <v>46047</v>
      </c>
      <c r="X1421" t="inlineStr">
        <is>
          <t>01</t>
        </is>
      </c>
      <c r="Y1421" t="inlineStr">
        <is>
          <t>2026-Q1</t>
        </is>
      </c>
    </row>
    <row r="1422" ht="38.25" customHeight="1">
      <c r="A1422" t="inlineStr">
        <is>
          <t>国家中小学智慧教育平台课件教案代下载 智慧中小学课件PPT视频</t>
        </is>
      </c>
      <c r="B1422" t="inlineStr">
        <is>
          <t>recv9hFZGriWzb.jpg</t>
        </is>
      </c>
      <c r="C1422" s="2" t="str">
        <f>=HYPERLINK("https://xhslink.com/m/575JRAagdgW", "https://xhslink.com/m/575JRAagdgW")</f>
        <v>https://xhslink.com/m/575JRAagdgW</v>
      </c>
      <c r="D1422"/>
      <c r="E1422">
        <v>3104</v>
      </c>
      <c r="F1422">
        <v>49.89</v>
      </c>
      <c r="G1422"/>
      <c r="H1422"/>
      <c r="I1422">
        <v>600</v>
      </c>
      <c r="J1422"/>
      <c r="K1422" t="inlineStr">
        <is>
          <t>PPT模板</t>
        </is>
      </c>
      <c r="L1422" t="inlineStr">
        <is>
          <t>🔥低粉爆款</t>
        </is>
      </c>
      <c r="M1422" t="inlineStr">
        <is>
          <t>光阴学徒的店</t>
        </is>
      </c>
      <c r="N1422">
        <v>302</v>
      </c>
      <c r="O1422">
        <v>4.59</v>
      </c>
      <c r="P1422">
        <v>3327</v>
      </c>
      <c r="Q1422" t="inlineStr">
        <is>
          <t>688c9c0aa7c1e30001c1e523</t>
        </is>
      </c>
      <c r="R1422" t="inlineStr">
        <is>
          <t>🚫重复</t>
        </is>
      </c>
      <c r="S1422" t="inlineStr">
        <is>
          <t>中小学教辅/教材</t>
        </is>
      </c>
      <c r="T1422" t="inlineStr">
        <is>
          <t>10.28</t>
        </is>
      </c>
      <c r="U1422" s="3">
        <v>46112.78107638889</v>
      </c>
      <c r="V1422" t="inlineStr">
        <is>
          <t>虚拟产品</t>
        </is>
      </c>
      <c r="W1422" s="3">
        <v>46047</v>
      </c>
      <c r="X1422" t="inlineStr">
        <is>
          <t>01</t>
        </is>
      </c>
      <c r="Y1422" t="inlineStr">
        <is>
          <t>2026-Q1</t>
        </is>
      </c>
    </row>
    <row r="1423" ht="38.25" customHeight="1">
      <c r="A1423" t="inlineStr">
        <is>
          <t>多套多风格PPT模板设计</t>
        </is>
      </c>
      <c r="B1423" t="inlineStr">
        <is>
          <t>recv9hFZGrUrIH.jpg</t>
        </is>
      </c>
      <c r="C1423" s="2" t="str">
        <f>=HYPERLINK("https://xhslink.com/m/3FytZCfNOCc", "https://xhslink.com/m/3FytZCfNOCc")</f>
        <v>https://xhslink.com/m/3FytZCfNOCc</v>
      </c>
      <c r="D1423"/>
      <c r="E1423">
        <v>2617</v>
      </c>
      <c r="F1423">
        <v>189.99</v>
      </c>
      <c r="G1423"/>
      <c r="H1423"/>
      <c r="I1423">
        <v>200</v>
      </c>
      <c r="J1423"/>
      <c r="K1423" t="inlineStr">
        <is>
          <t>PPT模板</t>
        </is>
      </c>
      <c r="L1423"/>
      <c r="M1423" t="inlineStr">
        <is>
          <t>1248演示设计的店</t>
        </is>
      </c>
      <c r="N1423">
        <v>4417</v>
      </c>
      <c r="O1423">
        <v>4.31</v>
      </c>
      <c r="P1423">
        <v>12000</v>
      </c>
      <c r="Q1423" t="inlineStr">
        <is>
          <t>67187084175dab0001631b99</t>
        </is>
      </c>
      <c r="R1423" t="inlineStr">
        <is>
          <t>🚫重复</t>
        </is>
      </c>
      <c r="S1423" t="inlineStr">
        <is>
          <t>PPT模板</t>
        </is>
      </c>
      <c r="T1423" t="inlineStr">
        <is>
          <t>0.59</t>
        </is>
      </c>
      <c r="U1423" s="3">
        <v>46112.78107638889</v>
      </c>
      <c r="V1423" t="inlineStr">
        <is>
          <t>虚拟产品</t>
        </is>
      </c>
      <c r="W1423" s="3">
        <v>46047</v>
      </c>
      <c r="X1423" t="inlineStr">
        <is>
          <t>01</t>
        </is>
      </c>
      <c r="Y1423" t="inlineStr">
        <is>
          <t>2026-Q1</t>
        </is>
      </c>
    </row>
    <row r="1424" ht="38.25" customHeight="1">
      <c r="A1424" t="inlineStr">
        <is>
          <t>【秒发货】PPT模板大全，选择对应编号即可</t>
        </is>
      </c>
      <c r="B1424" t="inlineStr">
        <is>
          <t>recv9hFZGr7UsS.jpg</t>
        </is>
      </c>
      <c r="C1424" s="2" t="str">
        <f>=HYPERLINK("https://xhslink.com/m/1lvKx0DYnlc", "https://xhslink.com/m/1lvKx0DYnlc")</f>
        <v>https://xhslink.com/m/1lvKx0DYnlc</v>
      </c>
      <c r="D1424"/>
      <c r="E1424">
        <v>2784</v>
      </c>
      <c r="F1424">
        <v>29.9</v>
      </c>
      <c r="G1424"/>
      <c r="H1424"/>
      <c r="I1424">
        <v>2000</v>
      </c>
      <c r="J1424"/>
      <c r="K1424" t="inlineStr">
        <is>
          <t>PPT模板</t>
        </is>
      </c>
      <c r="L1424"/>
      <c r="M1424" t="inlineStr">
        <is>
          <t>橘子i的店</t>
        </is>
      </c>
      <c r="N1424">
        <v>1965</v>
      </c>
      <c r="O1424">
        <v>4.31</v>
      </c>
      <c r="P1424">
        <v>2825</v>
      </c>
      <c r="Q1424" t="inlineStr">
        <is>
          <t>68ecc9f2c192ac0001cef4e0</t>
        </is>
      </c>
      <c r="R1424" t="inlineStr">
        <is>
          <t>🚫重复</t>
        </is>
      </c>
      <c r="S1424" t="inlineStr">
        <is>
          <t>PPT模板</t>
        </is>
      </c>
      <c r="T1424" t="inlineStr">
        <is>
          <t>1.42</t>
        </is>
      </c>
      <c r="U1424" s="3">
        <v>46112.78107638889</v>
      </c>
      <c r="V1424" t="inlineStr">
        <is>
          <t>虚拟产品</t>
        </is>
      </c>
      <c r="W1424" s="3">
        <v>46047</v>
      </c>
      <c r="X1424" t="inlineStr">
        <is>
          <t>01</t>
        </is>
      </c>
      <c r="Y1424" t="inlineStr">
        <is>
          <t>2026-Q1</t>
        </is>
      </c>
    </row>
    <row r="1425" ht="38.25" customHeight="1">
      <c r="A1425" t="inlineStr">
        <is>
          <t>全网独一 | 超高端策略型工作汇报PPT模板和样板设计 | 持续更新</t>
        </is>
      </c>
      <c r="B1425" t="inlineStr">
        <is>
          <t>recv9hFZGrnh1B.jpg</t>
        </is>
      </c>
      <c r="C1425" s="2" t="str">
        <f>=HYPERLINK("https://xhslink.com/m/GDFu0u201J", "https://xhslink.com/m/GDFu0u201J")</f>
        <v>https://xhslink.com/m/GDFu0u201J</v>
      </c>
      <c r="D1425"/>
      <c r="E1425">
        <v>2000</v>
      </c>
      <c r="F1425">
        <v>58</v>
      </c>
      <c r="G1425"/>
      <c r="H1425"/>
      <c r="I1425">
        <v>300</v>
      </c>
      <c r="J1425"/>
      <c r="K1425" t="inlineStr">
        <is>
          <t>PPT模板</t>
        </is>
      </c>
      <c r="L1425"/>
      <c r="M1425" t="inlineStr">
        <is>
          <t>说点P事的店</t>
        </is>
      </c>
      <c r="N1425">
        <v>10000</v>
      </c>
      <c r="O1425">
        <v>3.92</v>
      </c>
      <c r="P1425">
        <v>3738</v>
      </c>
      <c r="Q1425" t="inlineStr">
        <is>
          <t>677765e1f8c1a800014e4419</t>
        </is>
      </c>
      <c r="R1425" t="inlineStr">
        <is>
          <t>🚫重复</t>
        </is>
      </c>
      <c r="S1425" t="inlineStr">
        <is>
          <t>PPT模板</t>
        </is>
      </c>
      <c r="T1425" t="inlineStr">
        <is>
          <t>0.20</t>
        </is>
      </c>
      <c r="U1425" s="3">
        <v>46112.78107638889</v>
      </c>
      <c r="V1425" t="inlineStr">
        <is>
          <t>虚拟产品</t>
        </is>
      </c>
      <c r="W1425" s="3">
        <v>46047</v>
      </c>
      <c r="X1425" t="inlineStr">
        <is>
          <t>01</t>
        </is>
      </c>
      <c r="Y1425" t="inlineStr">
        <is>
          <t>2026-Q1</t>
        </is>
      </c>
    </row>
    <row r="1426" ht="38.25" customHeight="1">
      <c r="A1426" t="inlineStr">
        <is>
          <t>护理质量改善PPT模板-下单前请联系客服</t>
        </is>
      </c>
      <c r="B1426" t="inlineStr">
        <is>
          <t>recv9hFZGrFNhb.jpg</t>
        </is>
      </c>
      <c r="C1426" s="2" t="str">
        <f>=HYPERLINK("https://xhslink.com/m/38BVxsF7Ya1", "https://xhslink.com/m/38BVxsF7Ya1")</f>
        <v>https://xhslink.com/m/38BVxsF7Ya1</v>
      </c>
      <c r="D1426"/>
      <c r="E1426">
        <v>1738</v>
      </c>
      <c r="F1426">
        <v>50</v>
      </c>
      <c r="G1426"/>
      <c r="H1426"/>
      <c r="I1426">
        <v>300</v>
      </c>
      <c r="J1426"/>
      <c r="K1426" t="inlineStr">
        <is>
          <t>PPT模板</t>
        </is>
      </c>
      <c r="L1426"/>
      <c r="M1426" t="inlineStr">
        <is>
          <t>PPT 医护计划的店</t>
        </is>
      </c>
      <c r="N1426">
        <v>4326</v>
      </c>
      <c r="O1426">
        <v>4.63</v>
      </c>
      <c r="P1426">
        <v>1740</v>
      </c>
      <c r="Q1426" t="inlineStr">
        <is>
          <t>669f972e5cf22c0001d0028c</t>
        </is>
      </c>
      <c r="R1426"/>
      <c r="S1426" t="inlineStr">
        <is>
          <t>PPT模板</t>
        </is>
      </c>
      <c r="T1426" t="inlineStr">
        <is>
          <t>0.40</t>
        </is>
      </c>
      <c r="U1426" s="3">
        <v>46112.78107638889</v>
      </c>
      <c r="V1426" t="inlineStr">
        <is>
          <t>虚拟产品</t>
        </is>
      </c>
      <c r="W1426" s="3">
        <v>46047</v>
      </c>
      <c r="X1426" t="inlineStr">
        <is>
          <t>01</t>
        </is>
      </c>
      <c r="Y1426" t="inlineStr">
        <is>
          <t>2026-Q1</t>
        </is>
      </c>
    </row>
    <row r="1427" ht="38.25" customHeight="1">
      <c r="A1427" t="inlineStr">
        <is>
          <t>多风格多用途定制级PPT模板设计（工作汇报 年终报告 精美PPT）</t>
        </is>
      </c>
      <c r="B1427" t="inlineStr">
        <is>
          <t>recv9hFZGrgQ7p.jpg</t>
        </is>
      </c>
      <c r="C1427" s="2" t="str">
        <f>=HYPERLINK("https://xhslink.com/m/7Afry6vELmt", "https://xhslink.com/m/7Afry6vELmt")</f>
        <v>https://xhslink.com/m/7Afry6vELmt</v>
      </c>
      <c r="D1427"/>
      <c r="E1427">
        <v>1658</v>
      </c>
      <c r="F1427">
        <v>19.99</v>
      </c>
      <c r="G1427"/>
      <c r="H1427"/>
      <c r="I1427">
        <v>400</v>
      </c>
      <c r="J1427"/>
      <c r="K1427" t="inlineStr">
        <is>
          <t>PPT模板</t>
        </is>
      </c>
      <c r="L1427"/>
      <c r="M1427" t="inlineStr">
        <is>
          <t>毛球PPT模板的店</t>
        </is>
      </c>
      <c r="N1427">
        <v>966</v>
      </c>
      <c r="O1427">
        <v>4.32</v>
      </c>
      <c r="P1427">
        <v>9126</v>
      </c>
      <c r="Q1427" t="inlineStr">
        <is>
          <t>678551c4fb6ac00001a66f68</t>
        </is>
      </c>
      <c r="R1427" t="inlineStr">
        <is>
          <t>🚫重复</t>
        </is>
      </c>
      <c r="S1427" t="inlineStr">
        <is>
          <t>PPT模板</t>
        </is>
      </c>
      <c r="T1427" t="inlineStr">
        <is>
          <t>1.72</t>
        </is>
      </c>
      <c r="U1427" s="3">
        <v>46112.78107638889</v>
      </c>
      <c r="V1427" t="inlineStr">
        <is>
          <t>虚拟产品</t>
        </is>
      </c>
      <c r="W1427" s="3">
        <v>46047</v>
      </c>
      <c r="X1427" t="inlineStr">
        <is>
          <t>01</t>
        </is>
      </c>
      <c r="Y1427" t="inlineStr">
        <is>
          <t>2026-Q1</t>
        </is>
      </c>
    </row>
    <row r="1428" ht="38.25" customHeight="1">
      <c r="A1428" t="inlineStr">
        <is>
          <t>【自动发货】PPT模板背景，可修改秒发货！！</t>
        </is>
      </c>
      <c r="B1428" t="inlineStr">
        <is>
          <t>recv9hFZGrwjD0.jpg</t>
        </is>
      </c>
      <c r="C1428" s="2" t="str">
        <f>=HYPERLINK("https://xhslink.com/m/4LJpqddynJq", "https://xhslink.com/m/4LJpqddynJq")</f>
        <v>https://xhslink.com/m/4LJpqddynJq</v>
      </c>
      <c r="D1428"/>
      <c r="E1428">
        <v>1363</v>
      </c>
      <c r="F1428">
        <v>19.9</v>
      </c>
      <c r="G1428"/>
      <c r="H1428"/>
      <c r="I1428">
        <v>1000</v>
      </c>
      <c r="J1428"/>
      <c r="K1428" t="inlineStr">
        <is>
          <t>PPT模板</t>
        </is>
      </c>
      <c r="L1428"/>
      <c r="M1428" t="inlineStr">
        <is>
          <t>一小只晨晨咨询的店</t>
        </is>
      </c>
      <c r="N1428">
        <v>3401</v>
      </c>
      <c r="O1428">
        <v>4.31</v>
      </c>
      <c r="P1428">
        <v>35000</v>
      </c>
      <c r="Q1428" t="inlineStr">
        <is>
          <t>696d9feeb05f880001a6c386</t>
        </is>
      </c>
      <c r="R1428" t="inlineStr">
        <is>
          <t>🚫重复</t>
        </is>
      </c>
      <c r="S1428" t="inlineStr">
        <is>
          <t>PPT模板</t>
        </is>
      </c>
      <c r="T1428" t="inlineStr">
        <is>
          <t>0.40</t>
        </is>
      </c>
      <c r="U1428" s="3">
        <v>46112.78107638889</v>
      </c>
      <c r="V1428" t="inlineStr">
        <is>
          <t>虚拟产品</t>
        </is>
      </c>
      <c r="W1428" s="3">
        <v>46047</v>
      </c>
      <c r="X1428" t="inlineStr">
        <is>
          <t>01</t>
        </is>
      </c>
      <c r="Y1428" t="inlineStr">
        <is>
          <t>2026-Q1</t>
        </is>
      </c>
    </row>
    <row r="1429" ht="38.25" customHeight="1">
      <c r="A1429" t="inlineStr">
        <is>
          <t>32页女生版职业规划大赛成长赛道通用型PPT模板 职规PPT 静态版</t>
        </is>
      </c>
      <c r="B1429" t="inlineStr">
        <is>
          <t>recv9hFZGrrNLu.jpg</t>
        </is>
      </c>
      <c r="C1429" s="2" t="str">
        <f>=HYPERLINK("https://xhslink.com/m/8dGg3LW7Hmv", "https://xhslink.com/m/8dGg3LW7Hmv")</f>
        <v>https://xhslink.com/m/8dGg3LW7Hmv</v>
      </c>
      <c r="D1429"/>
      <c r="E1429">
        <v>1279</v>
      </c>
      <c r="F1429">
        <v>78</v>
      </c>
      <c r="G1429"/>
      <c r="H1429"/>
      <c r="I1429">
        <v>1000</v>
      </c>
      <c r="J1429"/>
      <c r="K1429" t="inlineStr">
        <is>
          <t>PPT模板</t>
        </is>
      </c>
      <c r="L1429"/>
      <c r="M1429" t="inlineStr">
        <is>
          <t>小晨PPT的店</t>
        </is>
      </c>
      <c r="N1429">
        <v>11000</v>
      </c>
      <c r="O1429">
        <v>4.35</v>
      </c>
      <c r="P1429">
        <v>11000</v>
      </c>
      <c r="Q1429" t="inlineStr">
        <is>
          <t>68aff5acf38f970001cc8645</t>
        </is>
      </c>
      <c r="R1429" t="inlineStr">
        <is>
          <t>🚫重复</t>
        </is>
      </c>
      <c r="S1429" t="inlineStr">
        <is>
          <t>PPT模板</t>
        </is>
      </c>
      <c r="T1429" t="inlineStr">
        <is>
          <t>0.12</t>
        </is>
      </c>
      <c r="U1429" s="3">
        <v>46112.78107638889</v>
      </c>
      <c r="V1429" t="inlineStr">
        <is>
          <t>虚拟产品</t>
        </is>
      </c>
      <c r="W1429" s="3">
        <v>46047</v>
      </c>
      <c r="X1429" t="inlineStr">
        <is>
          <t>01</t>
        </is>
      </c>
      <c r="Y1429" t="inlineStr">
        <is>
          <t>2026-Q1</t>
        </is>
      </c>
    </row>
    <row r="1430" ht="38.25" customHeight="1">
      <c r="A1430" t="inlineStr">
        <is>
          <t>【限时8.8】中小学主题班会ppt</t>
        </is>
      </c>
      <c r="B1430" t="inlineStr">
        <is>
          <t>recv9hFZGrYal1.jpg</t>
        </is>
      </c>
      <c r="C1430" s="2" t="str">
        <f>=HYPERLINK("https://xhslink.com/m/5mX3w1c7Tvp", "https://xhslink.com/m/5mX3w1c7Tvp")</f>
        <v>https://xhslink.com/m/5mX3w1c7Tvp</v>
      </c>
      <c r="D1430"/>
      <c r="E1430">
        <v>1120</v>
      </c>
      <c r="F1430">
        <v>49.9</v>
      </c>
      <c r="G1430"/>
      <c r="H1430"/>
      <c r="I1430">
        <v>900</v>
      </c>
      <c r="J1430"/>
      <c r="K1430" t="inlineStr">
        <is>
          <t>PPT模板</t>
        </is>
      </c>
      <c r="L1430" t="inlineStr">
        <is>
          <t>🔥低粉爆款</t>
        </is>
      </c>
      <c r="M1430" t="inlineStr">
        <is>
          <t>嘉嘉超努力的店</t>
        </is>
      </c>
      <c r="N1430">
        <v>192</v>
      </c>
      <c r="O1430">
        <v>4.23</v>
      </c>
      <c r="P1430">
        <v>5418</v>
      </c>
      <c r="Q1430" t="inlineStr">
        <is>
          <t>68ca7cb0c278030001ce5f71</t>
        </is>
      </c>
      <c r="R1430" t="inlineStr">
        <is>
          <t>🚫重复</t>
        </is>
      </c>
      <c r="S1430" t="inlineStr">
        <is>
          <t>PPT模板</t>
        </is>
      </c>
      <c r="T1430" t="inlineStr">
        <is>
          <t>5.83</t>
        </is>
      </c>
      <c r="U1430" s="3">
        <v>46112.78107638889</v>
      </c>
      <c r="V1430" t="inlineStr">
        <is>
          <t>虚拟产品</t>
        </is>
      </c>
      <c r="W1430" s="3">
        <v>46047</v>
      </c>
      <c r="X1430" t="inlineStr">
        <is>
          <t>01</t>
        </is>
      </c>
      <c r="Y1430" t="inlineStr">
        <is>
          <t>2026-Q1</t>
        </is>
      </c>
    </row>
    <row r="1431" ht="38.25" customHeight="1">
      <c r="A1431" t="inlineStr">
        <is>
          <t>【目前107页】红色工作汇报PPT模板（动态+静态）持续更新中</t>
        </is>
      </c>
      <c r="B1431" t="inlineStr">
        <is>
          <t>recv9hFZGrOJZo.jpg</t>
        </is>
      </c>
      <c r="C1431" s="2" t="str">
        <f>=HYPERLINK("https://xhslink.com/m/6NoGGasqOf0", "https://xhslink.com/m/6NoGGasqOf0")</f>
        <v>https://xhslink.com/m/6NoGGasqOf0</v>
      </c>
      <c r="D1431"/>
      <c r="E1431">
        <v>1029</v>
      </c>
      <c r="F1431">
        <v>49.99</v>
      </c>
      <c r="G1431"/>
      <c r="H1431"/>
      <c r="I1431">
        <v>1000</v>
      </c>
      <c r="J1431"/>
      <c r="K1431" t="inlineStr">
        <is>
          <t>PPT模板</t>
        </is>
      </c>
      <c r="L1431"/>
      <c r="M1431" t="inlineStr">
        <is>
          <t>知鱼PPT工作室的店</t>
        </is>
      </c>
      <c r="N1431">
        <v>3611</v>
      </c>
      <c r="O1431">
        <v>4.38</v>
      </c>
      <c r="P1431">
        <v>8704</v>
      </c>
      <c r="Q1431" t="inlineStr">
        <is>
          <t>695a93694e15d6000145f0b1</t>
        </is>
      </c>
      <c r="R1431" t="inlineStr">
        <is>
          <t>🚫重复</t>
        </is>
      </c>
      <c r="S1431" t="inlineStr">
        <is>
          <t>PPT模板</t>
        </is>
      </c>
      <c r="T1431" t="inlineStr">
        <is>
          <t>0.28</t>
        </is>
      </c>
      <c r="U1431" s="3">
        <v>46112.78107638889</v>
      </c>
      <c r="V1431" t="inlineStr">
        <is>
          <t>虚拟产品</t>
        </is>
      </c>
      <c r="W1431" s="3">
        <v>46047</v>
      </c>
      <c r="X1431" t="inlineStr">
        <is>
          <t>01</t>
        </is>
      </c>
      <c r="Y1431" t="inlineStr">
        <is>
          <t>2026-Q1</t>
        </is>
      </c>
    </row>
    <row r="1432" ht="38.25" customHeight="1">
      <c r="A1432" t="inlineStr">
        <is>
          <t>ABCD 全套配图 共计80+张PPT底版 多配色 可编辑技术路线图</t>
        </is>
      </c>
      <c r="B1432" t="inlineStr">
        <is>
          <t>recv9hFZGr5rjp.jpg</t>
        </is>
      </c>
      <c r="C1432" s="2" t="str">
        <f>=HYPERLINK("https://xhslink.com/m/AA74NFccCB1", "https://xhslink.com/m/AA74NFccCB1")</f>
        <v>https://xhslink.com/m/AA74NFccCB1</v>
      </c>
      <c r="D1432"/>
      <c r="E1432">
        <v>898</v>
      </c>
      <c r="F1432">
        <v>59.99</v>
      </c>
      <c r="G1432"/>
      <c r="H1432"/>
      <c r="I1432">
        <v>200</v>
      </c>
      <c r="J1432"/>
      <c r="K1432" t="inlineStr">
        <is>
          <t>PPT模板</t>
        </is>
      </c>
      <c r="L1432"/>
      <c r="M1432" t="inlineStr">
        <is>
          <t>优白图文的店</t>
        </is>
      </c>
      <c r="N1432">
        <v>1448</v>
      </c>
      <c r="O1432">
        <v>3.96</v>
      </c>
      <c r="P1432">
        <v>3448</v>
      </c>
      <c r="Q1432" t="inlineStr">
        <is>
          <t>67d6ca21e15c9100013543a6</t>
        </is>
      </c>
      <c r="R1432" t="inlineStr">
        <is>
          <t>🚫重复</t>
        </is>
      </c>
      <c r="S1432" t="inlineStr">
        <is>
          <t>PPT模板</t>
        </is>
      </c>
      <c r="T1432" t="inlineStr">
        <is>
          <t>0.62</t>
        </is>
      </c>
      <c r="U1432" s="3">
        <v>46112.78107638889</v>
      </c>
      <c r="V1432" t="inlineStr">
        <is>
          <t>虚拟产品</t>
        </is>
      </c>
      <c r="W1432" s="3">
        <v>46047</v>
      </c>
      <c r="X1432" t="inlineStr">
        <is>
          <t>01</t>
        </is>
      </c>
      <c r="Y1432" t="inlineStr">
        <is>
          <t>2026-Q1</t>
        </is>
      </c>
    </row>
    <row r="1433" ht="38.25" customHeight="1">
      <c r="A1433" t="inlineStr">
        <is>
          <t>19页简约高级感大学生优秀班集体答辩PPT模板-有页面切换效果</t>
        </is>
      </c>
      <c r="B1433" t="inlineStr">
        <is>
          <t>recv9hFZGrRRpY.jpg</t>
        </is>
      </c>
      <c r="C1433" s="2" t="str">
        <f>=HYPERLINK("https://xhslink.com/m/3CAnMQ0KFq3", "https://xhslink.com/m/3CAnMQ0KFq3")</f>
        <v>https://xhslink.com/m/3CAnMQ0KFq3</v>
      </c>
      <c r="D1433"/>
      <c r="E1433">
        <v>832</v>
      </c>
      <c r="F1433">
        <v>49.8</v>
      </c>
      <c r="G1433"/>
      <c r="H1433"/>
      <c r="I1433">
        <v>500</v>
      </c>
      <c r="J1433"/>
      <c r="K1433" t="inlineStr">
        <is>
          <t>PPT模板</t>
        </is>
      </c>
      <c r="L1433"/>
      <c r="M1433" t="inlineStr">
        <is>
          <t>深与蓝PPT工作室的店</t>
        </is>
      </c>
      <c r="N1433">
        <v>376</v>
      </c>
      <c r="O1433">
        <v>3.96</v>
      </c>
      <c r="P1433">
        <v>2667</v>
      </c>
      <c r="Q1433" t="inlineStr">
        <is>
          <t>68ceb3f99479760001778d73</t>
        </is>
      </c>
      <c r="R1433"/>
      <c r="S1433" t="inlineStr">
        <is>
          <t>PPT模板</t>
        </is>
      </c>
      <c r="T1433" t="inlineStr">
        <is>
          <t>2.21</t>
        </is>
      </c>
      <c r="U1433" s="3">
        <v>46112.78107638889</v>
      </c>
      <c r="V1433" t="inlineStr">
        <is>
          <t>虚拟产品</t>
        </is>
      </c>
      <c r="W1433" s="3">
        <v>46047</v>
      </c>
      <c r="X1433" t="inlineStr">
        <is>
          <t>01</t>
        </is>
      </c>
      <c r="Y1433" t="inlineStr">
        <is>
          <t>2026-Q1</t>
        </is>
      </c>
    </row>
    <row r="1434" ht="38.25" customHeight="1">
      <c r="A1434" t="inlineStr">
        <is>
          <t>32页男生版高端职业规划大赛通用型PPT模版  职规PPT模版 静态版</t>
        </is>
      </c>
      <c r="B1434" t="inlineStr">
        <is>
          <t>recv9hFZGrlxGI.jpg</t>
        </is>
      </c>
      <c r="C1434" s="2" t="str">
        <f>=HYPERLINK("https://xhslink.com/m/Ahu5g9X1wzT", "https://xhslink.com/m/Ahu5g9X1wzT")</f>
        <v>https://xhslink.com/m/Ahu5g9X1wzT</v>
      </c>
      <c r="D1434"/>
      <c r="E1434">
        <v>693</v>
      </c>
      <c r="F1434">
        <v>78</v>
      </c>
      <c r="G1434"/>
      <c r="H1434"/>
      <c r="I1434">
        <v>500</v>
      </c>
      <c r="J1434"/>
      <c r="K1434" t="inlineStr">
        <is>
          <t>PPT模板</t>
        </is>
      </c>
      <c r="L1434"/>
      <c r="M1434" t="inlineStr">
        <is>
          <t>小晨PPT的店</t>
        </is>
      </c>
      <c r="N1434">
        <v>11000</v>
      </c>
      <c r="O1434">
        <v>4.35</v>
      </c>
      <c r="P1434">
        <v>11000</v>
      </c>
      <c r="Q1434" t="inlineStr">
        <is>
          <t>68b16f7582bd7100013686d3</t>
        </is>
      </c>
      <c r="R1434" t="inlineStr">
        <is>
          <t>🚫重复</t>
        </is>
      </c>
      <c r="S1434" t="inlineStr">
        <is>
          <t>PPT模板</t>
        </is>
      </c>
      <c r="T1434" t="inlineStr">
        <is>
          <t>0.06</t>
        </is>
      </c>
      <c r="U1434" s="3">
        <v>46112.78107638889</v>
      </c>
      <c r="V1434" t="inlineStr">
        <is>
          <t>虚拟产品</t>
        </is>
      </c>
      <c r="W1434" s="3">
        <v>46047</v>
      </c>
      <c r="X1434" t="inlineStr">
        <is>
          <t>01</t>
        </is>
      </c>
      <c r="Y1434" t="inlineStr">
        <is>
          <t>2026-Q1</t>
        </is>
      </c>
    </row>
    <row r="1435" ht="38.25" customHeight="1">
      <c r="A1435" t="inlineStr">
        <is>
          <t>高级创意图文排版PPT模板/商务宣传/职场汇报/静态+动态/持续更新</t>
        </is>
      </c>
      <c r="B1435" t="inlineStr">
        <is>
          <t>recv9hFZGr05Ov.jpg</t>
        </is>
      </c>
      <c r="C1435" s="2" t="str">
        <f>=HYPERLINK("https://xhslink.com/m/bgAl6rCPMi", "https://xhslink.com/m/bgAl6rCPMi")</f>
        <v>https://xhslink.com/m/bgAl6rCPMi</v>
      </c>
      <c r="D1435"/>
      <c r="E1435">
        <v>599</v>
      </c>
      <c r="F1435">
        <v>29.9</v>
      </c>
      <c r="G1435"/>
      <c r="H1435"/>
      <c r="I1435">
        <v>300</v>
      </c>
      <c r="J1435"/>
      <c r="K1435" t="inlineStr">
        <is>
          <t>PPT模板</t>
        </is>
      </c>
      <c r="L1435"/>
      <c r="M1435" t="inlineStr">
        <is>
          <t>云晞在做PPT的店</t>
        </is>
      </c>
      <c r="N1435">
        <v>576</v>
      </c>
      <c r="O1435">
        <v>4.04</v>
      </c>
      <c r="P1435">
        <v>696</v>
      </c>
      <c r="Q1435" t="inlineStr">
        <is>
          <t>684e64fa57fa160001d140a7</t>
        </is>
      </c>
      <c r="R1435" t="inlineStr">
        <is>
          <t>🚫重复</t>
        </is>
      </c>
      <c r="S1435" t="inlineStr">
        <is>
          <t>PPT模板</t>
        </is>
      </c>
      <c r="T1435" t="inlineStr">
        <is>
          <t>1.04</t>
        </is>
      </c>
      <c r="U1435" s="3">
        <v>46112.78107638889</v>
      </c>
      <c r="V1435" t="inlineStr">
        <is>
          <t>虚拟产品</t>
        </is>
      </c>
      <c r="W1435" s="3">
        <v>46047</v>
      </c>
      <c r="X1435" t="inlineStr">
        <is>
          <t>01</t>
        </is>
      </c>
      <c r="Y1435" t="inlineStr">
        <is>
          <t>2026-Q1</t>
        </is>
      </c>
    </row>
    <row r="1436" ht="38.25" customHeight="1">
      <c r="A1436" t="inlineStr">
        <is>
          <t>【34页x10色可选】职业规划大赛就业赛道通用PPT模版  无动画</t>
        </is>
      </c>
      <c r="B1436" t="inlineStr">
        <is>
          <t>recv9hFZGrsa6M.jpg</t>
        </is>
      </c>
      <c r="C1436" s="2" t="str">
        <f>=HYPERLINK("https://xhslink.com/m/68ULNDu3ue8", "https://xhslink.com/m/68ULNDu3ue8")</f>
        <v>https://xhslink.com/m/68ULNDu3ue8</v>
      </c>
      <c r="D1436"/>
      <c r="E1436">
        <v>565</v>
      </c>
      <c r="F1436">
        <v>78</v>
      </c>
      <c r="G1436"/>
      <c r="H1436"/>
      <c r="I1436">
        <v>500</v>
      </c>
      <c r="J1436"/>
      <c r="K1436" t="inlineStr">
        <is>
          <t>PPT模板</t>
        </is>
      </c>
      <c r="L1436"/>
      <c r="M1436" t="inlineStr">
        <is>
          <t>小晨PPT的店</t>
        </is>
      </c>
      <c r="N1436">
        <v>11000</v>
      </c>
      <c r="O1436">
        <v>4.35</v>
      </c>
      <c r="P1436">
        <v>11000</v>
      </c>
      <c r="Q1436" t="inlineStr">
        <is>
          <t>69057604dcedc700011561dd</t>
        </is>
      </c>
      <c r="R1436" t="inlineStr">
        <is>
          <t>🚫重复</t>
        </is>
      </c>
      <c r="S1436" t="inlineStr">
        <is>
          <t>PPT模板</t>
        </is>
      </c>
      <c r="T1436" t="inlineStr">
        <is>
          <t>0.05</t>
        </is>
      </c>
      <c r="U1436" s="3">
        <v>46112.78107638889</v>
      </c>
      <c r="V1436" t="inlineStr">
        <is>
          <t>虚拟产品</t>
        </is>
      </c>
      <c r="W1436" s="3">
        <v>46047</v>
      </c>
      <c r="X1436" t="inlineStr">
        <is>
          <t>01</t>
        </is>
      </c>
      <c r="Y1436" t="inlineStr">
        <is>
          <t>2026-Q1</t>
        </is>
      </c>
    </row>
    <row r="1437" ht="38.25" customHeight="1">
      <c r="A1437" t="inlineStr">
        <is>
          <t>【目前107页】蓝色风格工作汇报PPT模板（动态+静态）持续更新中</t>
        </is>
      </c>
      <c r="B1437" t="inlineStr">
        <is>
          <t>recv9hFZGr1LOB.jpg</t>
        </is>
      </c>
      <c r="C1437" s="2" t="str">
        <f>=HYPERLINK("https://xhslink.com/m/AbwtuQAO8r7", "https://xhslink.com/m/AbwtuQAO8r7")</f>
        <v>https://xhslink.com/m/AbwtuQAO8r7</v>
      </c>
      <c r="D1437"/>
      <c r="E1437">
        <v>446</v>
      </c>
      <c r="F1437">
        <v>49.99</v>
      </c>
      <c r="G1437"/>
      <c r="H1437"/>
      <c r="I1437">
        <v>400</v>
      </c>
      <c r="J1437"/>
      <c r="K1437" t="inlineStr">
        <is>
          <t>PPT模板</t>
        </is>
      </c>
      <c r="L1437"/>
      <c r="M1437" t="inlineStr">
        <is>
          <t>知鱼PPT工作室的店</t>
        </is>
      </c>
      <c r="N1437">
        <v>3611</v>
      </c>
      <c r="O1437">
        <v>4.38</v>
      </c>
      <c r="P1437">
        <v>8704</v>
      </c>
      <c r="Q1437" t="inlineStr">
        <is>
          <t>692404ed52eecb0001818de5</t>
        </is>
      </c>
      <c r="R1437" t="inlineStr">
        <is>
          <t>🚫重复</t>
        </is>
      </c>
      <c r="S1437" t="inlineStr">
        <is>
          <t>PPT模板</t>
        </is>
      </c>
      <c r="T1437" t="inlineStr">
        <is>
          <t>0.12</t>
        </is>
      </c>
      <c r="U1437" s="3">
        <v>46112.78107638889</v>
      </c>
      <c r="V1437" t="inlineStr">
        <is>
          <t>虚拟产品</t>
        </is>
      </c>
      <c r="W1437" s="3">
        <v>46047</v>
      </c>
      <c r="X1437" t="inlineStr">
        <is>
          <t>01</t>
        </is>
      </c>
      <c r="Y1437" t="inlineStr">
        <is>
          <t>2026-Q1</t>
        </is>
      </c>
    </row>
    <row r="1438" ht="38.25" customHeight="1">
      <c r="A1438" t="inlineStr">
        <is>
          <t>185页精选高级工作汇报PPT模板</t>
        </is>
      </c>
      <c r="B1438" t="inlineStr">
        <is>
          <t>recv9hFZGr216m.jpg</t>
        </is>
      </c>
      <c r="C1438" s="2" t="str">
        <f>=HYPERLINK("https://xhslink.com/m/2b9D5qCFn6F", "https://xhslink.com/m/2b9D5qCFn6F")</f>
        <v>https://xhslink.com/m/2b9D5qCFn6F</v>
      </c>
      <c r="D1438"/>
      <c r="E1438">
        <v>378</v>
      </c>
      <c r="F1438">
        <v>38</v>
      </c>
      <c r="G1438"/>
      <c r="H1438"/>
      <c r="I1438">
        <v>200</v>
      </c>
      <c r="J1438"/>
      <c r="K1438" t="inlineStr">
        <is>
          <t>PPT模板</t>
        </is>
      </c>
      <c r="L1438"/>
      <c r="M1438" t="inlineStr">
        <is>
          <t>说点P事的店</t>
        </is>
      </c>
      <c r="N1438">
        <v>10000</v>
      </c>
      <c r="O1438">
        <v>3.92</v>
      </c>
      <c r="P1438">
        <v>3738</v>
      </c>
      <c r="Q1438" t="inlineStr">
        <is>
          <t>67be984a29b9f70001bef998</t>
        </is>
      </c>
      <c r="R1438" t="inlineStr">
        <is>
          <t>🚫重复</t>
        </is>
      </c>
      <c r="S1438" t="inlineStr">
        <is>
          <t>PPT模板</t>
        </is>
      </c>
      <c r="T1438" t="inlineStr">
        <is>
          <t>0.04</t>
        </is>
      </c>
      <c r="U1438" s="3">
        <v>46112.78107638889</v>
      </c>
      <c r="V1438" t="inlineStr">
        <is>
          <t>虚拟产品</t>
        </is>
      </c>
      <c r="W1438" s="3">
        <v>46047</v>
      </c>
      <c r="X1438" t="inlineStr">
        <is>
          <t>01</t>
        </is>
      </c>
      <c r="Y1438" t="inlineStr">
        <is>
          <t>2026-Q1</t>
        </is>
      </c>
    </row>
    <row r="1439" ht="38.25" customHeight="1">
      <c r="A1439" t="inlineStr">
        <is>
          <t>ABCD 全套配图 多配色共计200多张PPT 可编辑技术路线图 思维导图</t>
        </is>
      </c>
      <c r="B1439" t="inlineStr">
        <is>
          <t>recv9hFZGr4yyt.jpg</t>
        </is>
      </c>
      <c r="C1439" s="2" t="str">
        <f>=HYPERLINK("https://xhslink.com/m/7OroxQOSK23", "https://xhslink.com/m/7OroxQOSK23")</f>
        <v>https://xhslink.com/m/7OroxQOSK23</v>
      </c>
      <c r="D1439"/>
      <c r="E1439">
        <v>364</v>
      </c>
      <c r="F1439">
        <v>59.9</v>
      </c>
      <c r="G1439"/>
      <c r="H1439"/>
      <c r="I1439">
        <v>200</v>
      </c>
      <c r="J1439"/>
      <c r="K1439" t="inlineStr">
        <is>
          <t>PPT模板</t>
        </is>
      </c>
      <c r="L1439"/>
      <c r="M1439" t="inlineStr">
        <is>
          <t>研创设计-图文学习办公的店</t>
        </is>
      </c>
      <c r="N1439">
        <v>813</v>
      </c>
      <c r="O1439">
        <v>4.05</v>
      </c>
      <c r="P1439">
        <v>1943</v>
      </c>
      <c r="Q1439" t="inlineStr">
        <is>
          <t>67e2062c79c93d000183124e</t>
        </is>
      </c>
      <c r="R1439"/>
      <c r="S1439" t="inlineStr">
        <is>
          <t>PPT模板</t>
        </is>
      </c>
      <c r="T1439" t="inlineStr">
        <is>
          <t>0.45</t>
        </is>
      </c>
      <c r="U1439" s="3">
        <v>46112.78107638889</v>
      </c>
      <c r="V1439" t="inlineStr">
        <is>
          <t>虚拟产品</t>
        </is>
      </c>
      <c r="W1439" s="3">
        <v>46047</v>
      </c>
      <c r="X1439" t="inlineStr">
        <is>
          <t>01</t>
        </is>
      </c>
      <c r="Y1439" t="inlineStr">
        <is>
          <t>2026-Q1</t>
        </is>
      </c>
    </row>
    <row r="1440" ht="38.25" customHeight="1">
      <c r="A1440" t="inlineStr">
        <is>
          <t>34页蓝色职业规划大赛就业赛道通用PPT模版  10色可选 无动画</t>
        </is>
      </c>
      <c r="B1440" t="inlineStr">
        <is>
          <t>recv9hFZGrcghZ.jpg</t>
        </is>
      </c>
      <c r="C1440" s="2" t="str">
        <f>=HYPERLINK("https://xhslink.com/m/9jQKvYut6eZ", "https://xhslink.com/m/9jQKvYut6eZ")</f>
        <v>https://xhslink.com/m/9jQKvYut6eZ</v>
      </c>
      <c r="D1440"/>
      <c r="E1440">
        <v>348</v>
      </c>
      <c r="F1440">
        <v>78</v>
      </c>
      <c r="G1440"/>
      <c r="H1440"/>
      <c r="I1440">
        <v>300</v>
      </c>
      <c r="J1440"/>
      <c r="K1440" t="inlineStr">
        <is>
          <t>PPT模板</t>
        </is>
      </c>
      <c r="L1440"/>
      <c r="M1440" t="inlineStr">
        <is>
          <t>小晨PPT的店</t>
        </is>
      </c>
      <c r="N1440">
        <v>11000</v>
      </c>
      <c r="O1440">
        <v>4.35</v>
      </c>
      <c r="P1440">
        <v>11000</v>
      </c>
      <c r="Q1440" t="inlineStr">
        <is>
          <t>6906c4a8cdf9d60001003123</t>
        </is>
      </c>
      <c r="R1440" t="inlineStr">
        <is>
          <t>🚫重复</t>
        </is>
      </c>
      <c r="S1440" t="inlineStr">
        <is>
          <t>PPT模板</t>
        </is>
      </c>
      <c r="T1440" t="inlineStr">
        <is>
          <t>0.03</t>
        </is>
      </c>
      <c r="U1440" s="3">
        <v>46112.78107638889</v>
      </c>
      <c r="V1440" t="inlineStr">
        <is>
          <t>虚拟产品</t>
        </is>
      </c>
      <c r="W1440" s="3">
        <v>46047</v>
      </c>
      <c r="X1440" t="inlineStr">
        <is>
          <t>01</t>
        </is>
      </c>
      <c r="Y1440" t="inlineStr">
        <is>
          <t>2026-Q1</t>
        </is>
      </c>
    </row>
    <row r="1441" ht="38.25" customHeight="1">
      <c r="A1441" t="inlineStr">
        <is>
          <t>（限时6.9）疯狂动物城版~人际交往主题通用班会ppt模板+逐字稿</t>
        </is>
      </c>
      <c r="B1441" t="inlineStr">
        <is>
          <t>recv9hFZGrSvOf.jpg</t>
        </is>
      </c>
      <c r="C1441" s="2" t="str">
        <f>=HYPERLINK("https://xhslink.com/m/6gUN15er6WU", "https://xhslink.com/m/6gUN15er6WU")</f>
        <v>https://xhslink.com/m/6gUN15er6WU</v>
      </c>
      <c r="D1441"/>
      <c r="E1441">
        <v>227</v>
      </c>
      <c r="F1441">
        <v>49.9</v>
      </c>
      <c r="G1441"/>
      <c r="H1441"/>
      <c r="I1441">
        <v>200</v>
      </c>
      <c r="J1441"/>
      <c r="K1441" t="inlineStr">
        <is>
          <t>PPT模板</t>
        </is>
      </c>
      <c r="L1441"/>
      <c r="M1441" t="inlineStr">
        <is>
          <t>小月老师吖的店</t>
        </is>
      </c>
      <c r="N1441">
        <v>130</v>
      </c>
      <c r="O1441">
        <v>3.87</v>
      </c>
      <c r="P1441">
        <v>1354</v>
      </c>
      <c r="Q1441" t="inlineStr">
        <is>
          <t>693cd4718b11d10001830c20</t>
        </is>
      </c>
      <c r="R1441" t="inlineStr">
        <is>
          <t>🚫重复</t>
        </is>
      </c>
      <c r="S1441" t="inlineStr">
        <is>
          <t>PPT模板</t>
        </is>
      </c>
      <c r="T1441" t="inlineStr">
        <is>
          <t>1.75</t>
        </is>
      </c>
      <c r="U1441" s="3">
        <v>46112.78107638889</v>
      </c>
      <c r="V1441" t="inlineStr">
        <is>
          <t>虚拟产品</t>
        </is>
      </c>
      <c r="W1441" s="3">
        <v>46047</v>
      </c>
      <c r="X1441" t="inlineStr">
        <is>
          <t>01</t>
        </is>
      </c>
      <c r="Y1441" t="inlineStr">
        <is>
          <t>2026-Q1</t>
        </is>
      </c>
    </row>
    <row r="1442" ht="38.25" customHeight="1">
      <c r="A1442" t="inlineStr">
        <is>
          <t>自动发货 精选60页合集 13种颜色 D版教学设计大赛PPT 岗课赛证</t>
        </is>
      </c>
      <c r="B1442" t="inlineStr">
        <is>
          <t>recv9hFZGrWQZo.jpg</t>
        </is>
      </c>
      <c r="C1442" s="2" t="str">
        <f>=HYPERLINK("https://xhslink.com/m/3jpxaoC1CiQ", "https://xhslink.com/m/3jpxaoC1CiQ")</f>
        <v>https://xhslink.com/m/3jpxaoC1CiQ</v>
      </c>
      <c r="D1442"/>
      <c r="E1442">
        <v>251</v>
      </c>
      <c r="F1442">
        <v>299.99</v>
      </c>
      <c r="G1442"/>
      <c r="H1442"/>
      <c r="I1442">
        <v>200</v>
      </c>
      <c r="J1442"/>
      <c r="K1442" t="inlineStr">
        <is>
          <t>PPT模板</t>
        </is>
      </c>
      <c r="L1442"/>
      <c r="M1442" t="inlineStr">
        <is>
          <t>白熊PPT（教职版）的店</t>
        </is>
      </c>
      <c r="N1442">
        <v>6623</v>
      </c>
      <c r="O1442">
        <v>3.91</v>
      </c>
      <c r="P1442">
        <v>1006</v>
      </c>
      <c r="Q1442" t="inlineStr">
        <is>
          <t>690733a7b96b160001909cd0</t>
        </is>
      </c>
      <c r="R1442"/>
      <c r="S1442" t="inlineStr">
        <is>
          <t>PPT模板</t>
        </is>
      </c>
      <c r="T1442" t="inlineStr">
        <is>
          <t>0.04</t>
        </is>
      </c>
      <c r="U1442" s="3">
        <v>46112.78107638889</v>
      </c>
      <c r="V1442" t="inlineStr">
        <is>
          <t>虚拟产品</t>
        </is>
      </c>
      <c r="W1442" s="3">
        <v>46047</v>
      </c>
      <c r="X1442" t="inlineStr">
        <is>
          <t>01</t>
        </is>
      </c>
      <c r="Y1442" t="inlineStr">
        <is>
          <t>2026-Q1</t>
        </is>
      </c>
    </row>
    <row r="1443" ht="38.25" customHeight="1">
      <c r="A1443" t="inlineStr">
        <is>
          <t>天星教育 · 【高考大市联考卷】26版金考卷特快专递第1-5期特刊高三估分攻略</t>
        </is>
      </c>
      <c r="B1443" t="inlineStr">
        <is>
          <t>recv9hFZGr3NtH.jpg</t>
        </is>
      </c>
      <c r="C1443" s="2" t="str">
        <f>=HYPERLINK("https://xhslink.com/m/1FpzE3RXq7o", "https://xhslink.com/m/1FpzE3RXq7o")</f>
        <v>https://xhslink.com/m/1FpzE3RXq7o</v>
      </c>
      <c r="D1443"/>
      <c r="E1443">
        <v>13000</v>
      </c>
      <c r="F1443">
        <v>13.8</v>
      </c>
      <c r="G1443"/>
      <c r="H1443"/>
      <c r="I1443">
        <v>1000</v>
      </c>
      <c r="J1443"/>
      <c r="K1443" t="inlineStr">
        <is>
          <t>高考</t>
        </is>
      </c>
      <c r="L1443"/>
      <c r="M1443" t="inlineStr">
        <is>
          <t>天星教育旗舰店</t>
        </is>
      </c>
      <c r="N1443">
        <v>228000</v>
      </c>
      <c r="O1443">
        <v>4.78</v>
      </c>
      <c r="P1443">
        <v>138000</v>
      </c>
      <c r="Q1443" t="inlineStr">
        <is>
          <t>691eb897ce3eb5000179ec60</t>
        </is>
      </c>
      <c r="R1443" t="inlineStr">
        <is>
          <t>🚫重复</t>
        </is>
      </c>
      <c r="S1443" t="inlineStr">
        <is>
          <t>高中/高考资料</t>
        </is>
      </c>
      <c r="T1443" t="inlineStr">
        <is>
          <t>0.06</t>
        </is>
      </c>
      <c r="U1443" s="3">
        <v>46112.78107638889</v>
      </c>
      <c r="V1443" t="inlineStr">
        <is>
          <t>虚拟产品</t>
        </is>
      </c>
      <c r="W1443" s="3">
        <v>46047</v>
      </c>
      <c r="X1443" t="inlineStr">
        <is>
          <t>01</t>
        </is>
      </c>
      <c r="Y1443" t="inlineStr">
        <is>
          <t>2026-Q1</t>
        </is>
      </c>
    </row>
    <row r="1444" ht="38.25" customHeight="1">
      <c r="A1444" t="inlineStr">
        <is>
          <t>2026一数·必刷100讲 高考数学核心方法(2.0版)一数教辅一数图书</t>
        </is>
      </c>
      <c r="B1444" t="inlineStr">
        <is>
          <t>recv9hFZGrZRf9.jpg</t>
        </is>
      </c>
      <c r="C1444" s="2" t="str">
        <f>=HYPERLINK("https://xhslink.com/m/13JBlAykjyI", "https://xhslink.com/m/13JBlAykjyI")</f>
        <v>https://xhslink.com/m/13JBlAykjyI</v>
      </c>
      <c r="D1444"/>
      <c r="E1444">
        <v>12000</v>
      </c>
      <c r="F1444">
        <v>55.8</v>
      </c>
      <c r="G1444"/>
      <c r="H1444"/>
      <c r="I1444">
        <v>2000</v>
      </c>
      <c r="J1444"/>
      <c r="K1444" t="inlineStr">
        <is>
          <t>高考</t>
        </is>
      </c>
      <c r="L1444"/>
      <c r="M1444" t="inlineStr">
        <is>
          <t>一数教辅的店</t>
        </is>
      </c>
      <c r="N1444">
        <v>49000</v>
      </c>
      <c r="O1444">
        <v>4.71</v>
      </c>
      <c r="P1444">
        <v>41000</v>
      </c>
      <c r="Q1444" t="inlineStr">
        <is>
          <t>650a5fb56eff3700018173eb</t>
        </is>
      </c>
      <c r="R1444" t="inlineStr">
        <is>
          <t>🚫重复</t>
        </is>
      </c>
      <c r="S1444" t="inlineStr">
        <is>
          <t>高中/高考资料</t>
        </is>
      </c>
      <c r="T1444" t="inlineStr">
        <is>
          <t>0.24</t>
        </is>
      </c>
      <c r="U1444" s="3">
        <v>46112.78107638889</v>
      </c>
      <c r="V1444" t="inlineStr">
        <is>
          <t>虚拟产品</t>
        </is>
      </c>
      <c r="W1444" s="3">
        <v>46047</v>
      </c>
      <c r="X1444" t="inlineStr">
        <is>
          <t>01</t>
        </is>
      </c>
      <c r="Y1444" t="inlineStr">
        <is>
          <t>2026-Q1</t>
        </is>
      </c>
    </row>
    <row r="1445" ht="38.25" customHeight="1">
      <c r="A1445" t="inlineStr">
        <is>
          <t>2026中考高考热点预测高分范文ys</t>
        </is>
      </c>
      <c r="B1445" t="inlineStr">
        <is>
          <t>recv9hFZGrTC2h.jpg</t>
        </is>
      </c>
      <c r="C1445" s="2" t="str">
        <f>=HYPERLINK("https://xhslink.com/m/1DUmMsAGn7C", "https://xhslink.com/m/1DUmMsAGn7C")</f>
        <v>https://xhslink.com/m/1DUmMsAGn7C</v>
      </c>
      <c r="D1445"/>
      <c r="E1445">
        <v>2331</v>
      </c>
      <c r="F1445">
        <v>113.4</v>
      </c>
      <c r="G1445"/>
      <c r="H1445"/>
      <c r="I1445">
        <v>200</v>
      </c>
      <c r="J1445"/>
      <c r="K1445" t="inlineStr">
        <is>
          <t>高考</t>
        </is>
      </c>
      <c r="L1445"/>
      <c r="M1445" t="inlineStr">
        <is>
          <t>陪读诺诺妈的店</t>
        </is>
      </c>
      <c r="N1445">
        <v>1878</v>
      </c>
      <c r="O1445">
        <v>4.3</v>
      </c>
      <c r="P1445">
        <v>10000</v>
      </c>
      <c r="Q1445" t="inlineStr">
        <is>
          <t>67cfa2724a59360001b5f6d7</t>
        </is>
      </c>
      <c r="R1445" t="inlineStr">
        <is>
          <t>🚫重复</t>
        </is>
      </c>
      <c r="S1445" t="inlineStr">
        <is>
          <t>高中/高考资料</t>
        </is>
      </c>
      <c r="T1445" t="inlineStr">
        <is>
          <t>1.24</t>
        </is>
      </c>
      <c r="U1445" s="3">
        <v>46112.78107638889</v>
      </c>
      <c r="V1445" t="inlineStr">
        <is>
          <t>虚拟产品</t>
        </is>
      </c>
      <c r="W1445" s="3">
        <v>46047</v>
      </c>
      <c r="X1445" t="inlineStr">
        <is>
          <t>01</t>
        </is>
      </c>
      <c r="Y1445" t="inlineStr">
        <is>
          <t>2026-Q1</t>
        </is>
      </c>
    </row>
    <row r="1446" ht="38.25" customHeight="1">
      <c r="A1446" t="inlineStr">
        <is>
          <t>2026新高考一轮二轮复习资料专项练习九科齐全电子版</t>
        </is>
      </c>
      <c r="B1446" t="inlineStr">
        <is>
          <t>recv9hFZGrDlqW.jpg</t>
        </is>
      </c>
      <c r="C1446" s="2" t="str">
        <f>=HYPERLINK("https://xhslink.com/m/6aXbydZuWD1", "https://xhslink.com/m/6aXbydZuWD1")</f>
        <v>https://xhslink.com/m/6aXbydZuWD1</v>
      </c>
      <c r="D1446"/>
      <c r="E1446">
        <v>458</v>
      </c>
      <c r="F1446">
        <v>36.9</v>
      </c>
      <c r="G1446"/>
      <c r="H1446"/>
      <c r="I1446">
        <v>200</v>
      </c>
      <c r="J1446"/>
      <c r="K1446" t="inlineStr">
        <is>
          <t>高考</t>
        </is>
      </c>
      <c r="L1446"/>
      <c r="M1446" t="inlineStr">
        <is>
          <t>娜娜老师📖的店</t>
        </is>
      </c>
      <c r="N1446">
        <v>1993</v>
      </c>
      <c r="O1446">
        <v>4.41</v>
      </c>
      <c r="P1446">
        <v>17000</v>
      </c>
      <c r="Q1446" t="inlineStr">
        <is>
          <t>6885d8816d605400017a20e3</t>
        </is>
      </c>
      <c r="R1446" t="inlineStr">
        <is>
          <t>🚫重复</t>
        </is>
      </c>
      <c r="S1446" t="inlineStr">
        <is>
          <t>高中/高考资料</t>
        </is>
      </c>
      <c r="T1446" t="inlineStr">
        <is>
          <t>0.23</t>
        </is>
      </c>
      <c r="U1446" s="3">
        <v>46112.78107638889</v>
      </c>
      <c r="V1446" t="inlineStr">
        <is>
          <t>虚拟产品</t>
        </is>
      </c>
      <c r="W1446" s="3">
        <v>46047</v>
      </c>
      <c r="X1446" t="inlineStr">
        <is>
          <t>01</t>
        </is>
      </c>
      <c r="Y1446" t="inlineStr">
        <is>
          <t>2026-Q1</t>
        </is>
      </c>
    </row>
    <row r="1447" ht="38.25" customHeight="1">
      <c r="A1447" t="inlineStr">
        <is>
          <t>全网最全浙江高考历史时间轴（电子版）</t>
        </is>
      </c>
      <c r="B1447" t="inlineStr">
        <is>
          <t>recv9hFZGrkNT8.jpg</t>
        </is>
      </c>
      <c r="C1447" s="2" t="str">
        <f>=HYPERLINK("https://xhslink.com/m/6cj4WGYmABO", "https://xhslink.com/m/6cj4WGYmABO")</f>
        <v>https://xhslink.com/m/6cj4WGYmABO</v>
      </c>
      <c r="D1447"/>
      <c r="E1447">
        <v>361</v>
      </c>
      <c r="F1447">
        <v>15</v>
      </c>
      <c r="G1447"/>
      <c r="H1447"/>
      <c r="I1447">
        <v>300</v>
      </c>
      <c r="J1447"/>
      <c r="K1447" t="inlineStr">
        <is>
          <t>高考</t>
        </is>
      </c>
      <c r="L1447" t="inlineStr">
        <is>
          <t>🔥低粉爆款</t>
        </is>
      </c>
      <c r="M1447" t="inlineStr">
        <is>
          <t>Polaris4ig的店</t>
        </is>
      </c>
      <c r="N1447">
        <v>74</v>
      </c>
      <c r="O1447">
        <v>4.08</v>
      </c>
      <c r="P1447">
        <v>373</v>
      </c>
      <c r="Q1447" t="inlineStr">
        <is>
          <t>69265f6beb0d8000019954ea</t>
        </is>
      </c>
      <c r="R1447"/>
      <c r="S1447" t="inlineStr">
        <is>
          <t>高中/高考资料</t>
        </is>
      </c>
      <c r="T1447" t="inlineStr">
        <is>
          <t>4.88</t>
        </is>
      </c>
      <c r="U1447" s="3">
        <v>46112.78107638889</v>
      </c>
      <c r="V1447" t="inlineStr">
        <is>
          <t>虚拟产品</t>
        </is>
      </c>
      <c r="W1447" s="3">
        <v>46047</v>
      </c>
      <c r="X1447" t="inlineStr">
        <is>
          <t>01</t>
        </is>
      </c>
      <c r="Y1447" t="inlineStr">
        <is>
          <t>2026-Q1</t>
        </is>
      </c>
    </row>
    <row r="1448" ht="38.25" customHeight="1">
      <c r="A1448" t="inlineStr">
        <is>
          <t>26考研新版英语作文模板+真题范文（电子资料，不退不换）</t>
        </is>
      </c>
      <c r="B1448" t="inlineStr">
        <is>
          <t>recv9hFZGrzd7c.jpg</t>
        </is>
      </c>
      <c r="C1448" s="2" t="str">
        <f>=HYPERLINK("https://xhslink.com/m/3ogeqQ56TDZ", "https://xhslink.com/m/3ogeqQ56TDZ")</f>
        <v>https://xhslink.com/m/3ogeqQ56TDZ</v>
      </c>
      <c r="D1448"/>
      <c r="E1448">
        <v>25000</v>
      </c>
      <c r="F1448">
        <v>29.9</v>
      </c>
      <c r="G1448"/>
      <c r="H1448"/>
      <c r="I1448">
        <v>10000</v>
      </c>
      <c r="J1448"/>
      <c r="K1448" t="inlineStr">
        <is>
          <t>作文</t>
        </is>
      </c>
      <c r="L1448"/>
      <c r="M1448" t="inlineStr">
        <is>
          <t>乖乖上岸(高分作文模板)的店</t>
        </is>
      </c>
      <c r="N1448">
        <v>14000</v>
      </c>
      <c r="O1448">
        <v>4.44</v>
      </c>
      <c r="P1448">
        <v>29000</v>
      </c>
      <c r="Q1448" t="inlineStr">
        <is>
          <t>667e721a19346e00013ff44a</t>
        </is>
      </c>
      <c r="R1448" t="inlineStr">
        <is>
          <t>🚫重复</t>
        </is>
      </c>
      <c r="S1448" t="inlineStr">
        <is>
          <t>考研资料</t>
        </is>
      </c>
      <c r="T1448" t="inlineStr">
        <is>
          <t>1.79</t>
        </is>
      </c>
      <c r="U1448" s="3">
        <v>46112.78107638889</v>
      </c>
      <c r="V1448" t="inlineStr">
        <is>
          <t>虚拟产品</t>
        </is>
      </c>
      <c r="W1448" s="3">
        <v>46047</v>
      </c>
      <c r="X1448" t="inlineStr">
        <is>
          <t>01</t>
        </is>
      </c>
      <c r="Y1448" t="inlineStr">
        <is>
          <t>2026-Q1</t>
        </is>
      </c>
    </row>
    <row r="1449" ht="38.25" customHeight="1">
      <c r="A1449" t="inlineStr">
        <is>
          <t>作文纸条 · 一看就能用的作文素材经典素材2025高中备考议论文范文写作技巧书</t>
        </is>
      </c>
      <c r="B1449" t="inlineStr">
        <is>
          <t>__upload_recv9hFZGrRnxp.jpg</t>
        </is>
      </c>
      <c r="C1449" s="2" t="str">
        <f>=HYPERLINK("https://xhslink.com/m/3wW2B7shsry", "https://xhslink.com/m/3wW2B7shsry")</f>
        <v>https://xhslink.com/m/3wW2B7shsry</v>
      </c>
      <c r="D1449"/>
      <c r="E1449">
        <v>22000</v>
      </c>
      <c r="F1449">
        <v>39.8</v>
      </c>
      <c r="G1449"/>
      <c r="H1449"/>
      <c r="I1449">
        <v>10000</v>
      </c>
      <c r="J1449">
        <v>100</v>
      </c>
      <c r="K1449" t="inlineStr">
        <is>
          <t>作文</t>
        </is>
      </c>
      <c r="L1449"/>
      <c r="M1449" t="inlineStr">
        <is>
          <t>作文纸条旗舰店</t>
        </is>
      </c>
      <c r="N1449">
        <v>157000</v>
      </c>
      <c r="O1449">
        <v>4.67</v>
      </c>
      <c r="P1449">
        <v>145000</v>
      </c>
      <c r="Q1449" t="inlineStr">
        <is>
          <t>6613a397c9b50f0001890010</t>
        </is>
      </c>
      <c r="R1449" t="inlineStr">
        <is>
          <t>🚫重复</t>
        </is>
      </c>
      <c r="S1449" t="inlineStr">
        <is>
          <t>高中/高考资料</t>
        </is>
      </c>
      <c r="T1449" t="inlineStr">
        <is>
          <t>0.14</t>
        </is>
      </c>
      <c r="U1449" s="3">
        <v>46112.78107638889</v>
      </c>
      <c r="V1449" t="inlineStr">
        <is>
          <t>虚拟产品</t>
        </is>
      </c>
      <c r="W1449" s="3">
        <v>46047</v>
      </c>
      <c r="X1449" t="inlineStr">
        <is>
          <t>01</t>
        </is>
      </c>
      <c r="Y1449" t="inlineStr">
        <is>
          <t>2026-Q1</t>
        </is>
      </c>
    </row>
    <row r="1450" ht="38.25" customHeight="1">
      <c r="A1450" t="inlineStr">
        <is>
          <t>英一94博主考研英语作文模板（包含大小作文、英一英二通用）</t>
        </is>
      </c>
      <c r="B1450" t="inlineStr">
        <is>
          <t>recv9hFZGr8e99.jpg</t>
        </is>
      </c>
      <c r="C1450" s="2" t="str">
        <f>=HYPERLINK("https://xhslink.com/m/1WSb2yqjVhC", "https://xhslink.com/m/1WSb2yqjVhC")</f>
        <v>https://xhslink.com/m/1WSb2yqjVhC</v>
      </c>
      <c r="D1450"/>
      <c r="E1450">
        <v>12000</v>
      </c>
      <c r="F1450">
        <v>30</v>
      </c>
      <c r="G1450"/>
      <c r="H1450"/>
      <c r="I1450">
        <v>9000</v>
      </c>
      <c r="J1450"/>
      <c r="K1450" t="inlineStr">
        <is>
          <t>作文</t>
        </is>
      </c>
      <c r="L1450"/>
      <c r="M1450" t="inlineStr">
        <is>
          <t>问问Why的店</t>
        </is>
      </c>
      <c r="N1450">
        <v>47000</v>
      </c>
      <c r="O1450">
        <v>4.18</v>
      </c>
      <c r="P1450">
        <v>18000</v>
      </c>
      <c r="Q1450" t="inlineStr">
        <is>
          <t>68e501bdce94ee00011e1740</t>
        </is>
      </c>
      <c r="R1450"/>
      <c r="S1450" t="inlineStr">
        <is>
          <t>考研资料</t>
        </is>
      </c>
      <c r="T1450" t="inlineStr">
        <is>
          <t>0.26</t>
        </is>
      </c>
      <c r="U1450" s="3">
        <v>46112.78107638889</v>
      </c>
      <c r="V1450" t="inlineStr">
        <is>
          <t>虚拟产品</t>
        </is>
      </c>
      <c r="W1450" s="3">
        <v>46047</v>
      </c>
      <c r="X1450" t="inlineStr">
        <is>
          <t>01</t>
        </is>
      </c>
      <c r="Y1450" t="inlineStr">
        <is>
          <t>2026-Q1</t>
        </is>
      </c>
    </row>
    <row r="1451" ht="38.25" customHeight="1">
      <c r="A1451" t="inlineStr">
        <is>
          <t>作文纸条 · 高中议论文一本全纸条教你写作文语文作文考试写作文素材</t>
        </is>
      </c>
      <c r="B1451" t="inlineStr">
        <is>
          <t>recv9hFZGrvNxl.jpg</t>
        </is>
      </c>
      <c r="C1451" s="2" t="str">
        <f>=HYPERLINK("https://xhslink.com/m/7hzgPw1Zjao", "https://xhslink.com/m/7hzgPw1Zjao")</f>
        <v>https://xhslink.com/m/7hzgPw1Zjao</v>
      </c>
      <c r="D1451"/>
      <c r="E1451">
        <v>9124</v>
      </c>
      <c r="F1451">
        <v>77.8</v>
      </c>
      <c r="G1451"/>
      <c r="H1451"/>
      <c r="I1451">
        <v>200</v>
      </c>
      <c r="J1451"/>
      <c r="K1451" t="inlineStr">
        <is>
          <t>作文</t>
        </is>
      </c>
      <c r="L1451"/>
      <c r="M1451" t="inlineStr">
        <is>
          <t>作文纸条旗舰店</t>
        </is>
      </c>
      <c r="N1451">
        <v>157000</v>
      </c>
      <c r="O1451">
        <v>4.67</v>
      </c>
      <c r="P1451">
        <v>145000</v>
      </c>
      <c r="Q1451" t="inlineStr">
        <is>
          <t>65eead2670fc9b0001b923da</t>
        </is>
      </c>
      <c r="R1451" t="inlineStr">
        <is>
          <t>🚫重复</t>
        </is>
      </c>
      <c r="S1451" t="inlineStr">
        <is>
          <t>高中/高考资料</t>
        </is>
      </c>
      <c r="T1451" t="inlineStr">
        <is>
          <t>0.06</t>
        </is>
      </c>
      <c r="U1451" s="3">
        <v>46112.78107638889</v>
      </c>
      <c r="V1451" t="inlineStr">
        <is>
          <t>虚拟产品</t>
        </is>
      </c>
      <c r="W1451" s="3">
        <v>46047</v>
      </c>
      <c r="X1451" t="inlineStr">
        <is>
          <t>01</t>
        </is>
      </c>
      <c r="Y1451" t="inlineStr">
        <is>
          <t>2026-Q1</t>
        </is>
      </c>
    </row>
    <row r="1452" ht="38.25" customHeight="1">
      <c r="A1452" t="inlineStr">
        <is>
          <t>【五上语文习作】原创~写作指导+支架写作单+范文【PDF电子资料】</t>
        </is>
      </c>
      <c r="B1452" t="inlineStr">
        <is>
          <t>recv9hFZGrqFgk.jpg</t>
        </is>
      </c>
      <c r="C1452" s="2" t="str">
        <f>=HYPERLINK("https://xhslink.com/m/6eUIDcZoWw3", "https://xhslink.com/m/6eUIDcZoWw3")</f>
        <v>https://xhslink.com/m/6eUIDcZoWw3</v>
      </c>
      <c r="D1452"/>
      <c r="E1452">
        <v>8269</v>
      </c>
      <c r="F1452">
        <v>99.99</v>
      </c>
      <c r="G1452"/>
      <c r="H1452"/>
      <c r="I1452">
        <v>400</v>
      </c>
      <c r="J1452"/>
      <c r="K1452" t="inlineStr">
        <is>
          <t>作文</t>
        </is>
      </c>
      <c r="L1452"/>
      <c r="M1452" t="inlineStr">
        <is>
          <t>青竹的班主任手记的店</t>
        </is>
      </c>
      <c r="N1452">
        <v>41000</v>
      </c>
      <c r="O1452">
        <v>4.52</v>
      </c>
      <c r="P1452">
        <v>43000</v>
      </c>
      <c r="Q1452" t="inlineStr">
        <is>
          <t>68a1c6004dbac20001d50132</t>
        </is>
      </c>
      <c r="R1452" t="inlineStr">
        <is>
          <t>🚫重复</t>
        </is>
      </c>
      <c r="S1452" t="inlineStr">
        <is>
          <t>中小学教辅/教材</t>
        </is>
      </c>
      <c r="T1452" t="inlineStr">
        <is>
          <t>0.20</t>
        </is>
      </c>
      <c r="U1452" s="3">
        <v>46112.78107638889</v>
      </c>
      <c r="V1452" t="inlineStr">
        <is>
          <t>虚拟产品</t>
        </is>
      </c>
      <c r="W1452" s="3">
        <v>46047</v>
      </c>
      <c r="X1452" t="inlineStr">
        <is>
          <t>01</t>
        </is>
      </c>
      <c r="Y1452" t="inlineStr">
        <is>
          <t>2026-Q1</t>
        </is>
      </c>
    </row>
    <row r="1453" ht="38.25" customHeight="1">
      <c r="A1453" t="inlineStr">
        <is>
          <t>25旱区英一70纯自用大作文模板六套，附赠小作文模版</t>
        </is>
      </c>
      <c r="B1453" t="inlineStr">
        <is>
          <t>recv9hFZGrePuc.jpg</t>
        </is>
      </c>
      <c r="C1453" s="2" t="str">
        <f>=HYPERLINK("https://xhslink.com/m/5c8NDRK4nEs", "https://xhslink.com/m/5c8NDRK4nEs")</f>
        <v>https://xhslink.com/m/5c8NDRK4nEs</v>
      </c>
      <c r="D1453"/>
      <c r="E1453">
        <v>5794</v>
      </c>
      <c r="F1453">
        <v>19.99</v>
      </c>
      <c r="G1453"/>
      <c r="H1453"/>
      <c r="I1453">
        <v>5000</v>
      </c>
      <c r="J1453"/>
      <c r="K1453" t="inlineStr">
        <is>
          <t>作文</t>
        </is>
      </c>
      <c r="L1453"/>
      <c r="M1453" t="inlineStr">
        <is>
          <t>Tenplaus的店</t>
        </is>
      </c>
      <c r="N1453">
        <v>2652</v>
      </c>
      <c r="O1453">
        <v>4.28</v>
      </c>
      <c r="P1453">
        <v>7686</v>
      </c>
      <c r="Q1453" t="inlineStr">
        <is>
          <t>691dbd5096bec90001ba481d</t>
        </is>
      </c>
      <c r="R1453"/>
      <c r="S1453" t="inlineStr">
        <is>
          <t>考研资料</t>
        </is>
      </c>
      <c r="T1453" t="inlineStr">
        <is>
          <t>2.18</t>
        </is>
      </c>
      <c r="U1453" s="3">
        <v>46112.78107638889</v>
      </c>
      <c r="V1453" t="inlineStr">
        <is>
          <t>虚拟产品</t>
        </is>
      </c>
      <c r="W1453" s="3">
        <v>46047</v>
      </c>
      <c r="X1453" t="inlineStr">
        <is>
          <t>01</t>
        </is>
      </c>
      <c r="Y1453" t="inlineStr">
        <is>
          <t>2026-Q1</t>
        </is>
      </c>
    </row>
    <row r="1454" ht="38.25" customHeight="1">
      <c r="A1454" t="inlineStr">
        <is>
          <t>剑20录播！海燕1月雅思写作训练营！</t>
        </is>
      </c>
      <c r="B1454" t="inlineStr">
        <is>
          <t>recv9hFZGrglCX.jpg</t>
        </is>
      </c>
      <c r="C1454" s="2" t="str">
        <f>=HYPERLINK("https://xhslink.com/m/5saSstmo6LJ", "https://xhslink.com/m/5saSstmo6LJ")</f>
        <v>https://xhslink.com/m/5saSstmo6LJ</v>
      </c>
      <c r="D1454"/>
      <c r="E1454">
        <v>3973</v>
      </c>
      <c r="F1454">
        <v>299</v>
      </c>
      <c r="G1454"/>
      <c r="H1454"/>
      <c r="I1454">
        <v>200</v>
      </c>
      <c r="J1454"/>
      <c r="K1454" t="inlineStr">
        <is>
          <t>作文</t>
        </is>
      </c>
      <c r="L1454"/>
      <c r="M1454" t="inlineStr">
        <is>
          <t>Viella歪的店</t>
        </is>
      </c>
      <c r="N1454">
        <v>188000</v>
      </c>
      <c r="O1454">
        <v>4.43</v>
      </c>
      <c r="P1454">
        <v>24000</v>
      </c>
      <c r="Q1454" t="inlineStr">
        <is>
          <t>6669a19ccd6d1400016719ae</t>
        </is>
      </c>
      <c r="R1454" t="inlineStr">
        <is>
          <t>🚫重复</t>
        </is>
      </c>
      <c r="S1454" t="inlineStr">
        <is>
          <t>英语资料</t>
        </is>
      </c>
      <c r="T1454" t="inlineStr">
        <is>
          <t>0.02</t>
        </is>
      </c>
      <c r="U1454" s="3">
        <v>46112.78107638889</v>
      </c>
      <c r="V1454" t="inlineStr">
        <is>
          <t>虚拟产品</t>
        </is>
      </c>
      <c r="W1454" s="3">
        <v>46047</v>
      </c>
      <c r="X1454" t="inlineStr">
        <is>
          <t>01</t>
        </is>
      </c>
      <c r="Y1454" t="inlineStr">
        <is>
          <t>2026-Q1</t>
        </is>
      </c>
    </row>
    <row r="1455" ht="38.25" customHeight="1">
      <c r="A1455" t="inlineStr">
        <is>
          <t>雅思写作冲7分速成模板+高分语料库  （预售，后涨价为299）</t>
        </is>
      </c>
      <c r="B1455" t="inlineStr">
        <is>
          <t>recv9hFZGrnXyw.jpg</t>
        </is>
      </c>
      <c r="C1455" s="2" t="str">
        <f>=HYPERLINK("https://xhslink.com/m/1zgfeBg0Po7", "https://xhslink.com/m/1zgfeBg0Po7")</f>
        <v>https://xhslink.com/m/1zgfeBg0Po7</v>
      </c>
      <c r="D1455"/>
      <c r="E1455">
        <v>3940</v>
      </c>
      <c r="F1455">
        <v>79</v>
      </c>
      <c r="G1455"/>
      <c r="H1455"/>
      <c r="I1455">
        <v>700</v>
      </c>
      <c r="J1455"/>
      <c r="K1455" t="inlineStr">
        <is>
          <t>作文</t>
        </is>
      </c>
      <c r="L1455"/>
      <c r="M1455" t="inlineStr">
        <is>
          <t>Claire澳洲学姐（雅思口语9分）的店</t>
        </is>
      </c>
      <c r="N1455">
        <v>37000</v>
      </c>
      <c r="O1455">
        <v>4.59</v>
      </c>
      <c r="P1455">
        <v>20000</v>
      </c>
      <c r="Q1455" t="inlineStr">
        <is>
          <t>67809715a03f41000177e621</t>
        </is>
      </c>
      <c r="R1455" t="inlineStr">
        <is>
          <t>🚫重复</t>
        </is>
      </c>
      <c r="S1455" t="inlineStr">
        <is>
          <t>英语资料</t>
        </is>
      </c>
      <c r="T1455" t="inlineStr">
        <is>
          <t>0.11</t>
        </is>
      </c>
      <c r="U1455" s="3">
        <v>46112.78107638889</v>
      </c>
      <c r="V1455" t="inlineStr">
        <is>
          <t>虚拟产品</t>
        </is>
      </c>
      <c r="W1455" s="3">
        <v>46047</v>
      </c>
      <c r="X1455" t="inlineStr">
        <is>
          <t>01</t>
        </is>
      </c>
      <c r="Y1455" t="inlineStr">
        <is>
          <t>2026-Q1</t>
        </is>
      </c>
    </row>
    <row r="1456" ht="38.25" customHeight="1">
      <c r="A1456" t="inlineStr">
        <is>
          <t>高中作文议论文  纸质版笔记本</t>
        </is>
      </c>
      <c r="B1456" t="inlineStr">
        <is>
          <t>recv9hFZGraeo2.jpg</t>
        </is>
      </c>
      <c r="C1456" s="2" t="str">
        <f>=HYPERLINK("https://xhslink.com/m/8S8ZYImhJ1x", "https://xhslink.com/m/8S8ZYImhJ1x")</f>
        <v>https://xhslink.com/m/8S8ZYImhJ1x</v>
      </c>
      <c r="D1456"/>
      <c r="E1456">
        <v>3953</v>
      </c>
      <c r="F1456">
        <v>69</v>
      </c>
      <c r="G1456"/>
      <c r="H1456"/>
      <c r="I1456">
        <v>600</v>
      </c>
      <c r="J1456"/>
      <c r="K1456" t="inlineStr">
        <is>
          <t>作文</t>
        </is>
      </c>
      <c r="L1456"/>
      <c r="M1456" t="inlineStr">
        <is>
          <t>上上签高中语文的店</t>
        </is>
      </c>
      <c r="N1456">
        <v>20000</v>
      </c>
      <c r="O1456">
        <v>4.53</v>
      </c>
      <c r="P1456">
        <v>29000</v>
      </c>
      <c r="Q1456" t="inlineStr">
        <is>
          <t>6843f6b393d078000184c9a0</t>
        </is>
      </c>
      <c r="R1456" t="inlineStr">
        <is>
          <t>🚫重复</t>
        </is>
      </c>
      <c r="S1456" t="inlineStr">
        <is>
          <t>高中/高考资料</t>
        </is>
      </c>
      <c r="T1456" t="inlineStr">
        <is>
          <t>0.20</t>
        </is>
      </c>
      <c r="U1456" s="3">
        <v>46112.78107638889</v>
      </c>
      <c r="V1456" t="inlineStr">
        <is>
          <t>虚拟产品</t>
        </is>
      </c>
      <c r="W1456" s="3">
        <v>46047</v>
      </c>
      <c r="X1456" t="inlineStr">
        <is>
          <t>01</t>
        </is>
      </c>
      <c r="Y1456" t="inlineStr">
        <is>
          <t>2026-Q1</t>
        </is>
      </c>
    </row>
    <row r="1457" ht="38.25" customHeight="1">
      <c r="A1457" t="inlineStr">
        <is>
          <t>【六上语文习作】原创~写作指导+支架写作单+范文【PDF电子资料】</t>
        </is>
      </c>
      <c r="B1457" t="inlineStr">
        <is>
          <t>recv9hFZGrajWU.jpg</t>
        </is>
      </c>
      <c r="C1457" s="2" t="str">
        <f>=HYPERLINK("https://xhslink.com/m/3XsEs8ejv5k", "https://xhslink.com/m/3XsEs8ejv5k")</f>
        <v>https://xhslink.com/m/3XsEs8ejv5k</v>
      </c>
      <c r="D1457"/>
      <c r="E1457">
        <v>3698</v>
      </c>
      <c r="F1457">
        <v>99.9</v>
      </c>
      <c r="G1457"/>
      <c r="H1457"/>
      <c r="I1457">
        <v>1000</v>
      </c>
      <c r="J1457"/>
      <c r="K1457" t="inlineStr">
        <is>
          <t>作文</t>
        </is>
      </c>
      <c r="L1457"/>
      <c r="M1457" t="inlineStr">
        <is>
          <t>青竹的班主任手记的店</t>
        </is>
      </c>
      <c r="N1457">
        <v>41000</v>
      </c>
      <c r="O1457">
        <v>4.52</v>
      </c>
      <c r="P1457">
        <v>43000</v>
      </c>
      <c r="Q1457" t="inlineStr">
        <is>
          <t>68ba5aa924d64a0001ae108e</t>
        </is>
      </c>
      <c r="R1457" t="inlineStr">
        <is>
          <t>🚫重复</t>
        </is>
      </c>
      <c r="S1457" t="inlineStr">
        <is>
          <t>中小学教辅/教材</t>
        </is>
      </c>
      <c r="T1457" t="inlineStr">
        <is>
          <t>0.09</t>
        </is>
      </c>
      <c r="U1457" s="3">
        <v>46112.78107638889</v>
      </c>
      <c r="V1457" t="inlineStr">
        <is>
          <t>虚拟产品</t>
        </is>
      </c>
      <c r="W1457" s="3">
        <v>46047</v>
      </c>
      <c r="X1457" t="inlineStr">
        <is>
          <t>01</t>
        </is>
      </c>
      <c r="Y1457" t="inlineStr">
        <is>
          <t>2026-Q1</t>
        </is>
      </c>
    </row>
    <row r="1458" ht="38.25" customHeight="1">
      <c r="A1458" t="inlineStr">
        <is>
          <t>2026中高考任选适用2025/2026热点考点素材押题作文</t>
        </is>
      </c>
      <c r="B1458" t="inlineStr">
        <is>
          <t>recv9hFZGr95jE.jpg</t>
        </is>
      </c>
      <c r="C1458" s="2" t="str">
        <f>=HYPERLINK("https://xhslink.com/m/5jZf57DodI3", "https://xhslink.com/m/5jZf57DodI3")</f>
        <v>https://xhslink.com/m/5jZf57DodI3</v>
      </c>
      <c r="D1458"/>
      <c r="E1458">
        <v>3670</v>
      </c>
      <c r="F1458">
        <v>69</v>
      </c>
      <c r="G1458"/>
      <c r="H1458"/>
      <c r="I1458">
        <v>500</v>
      </c>
      <c r="J1458"/>
      <c r="K1458" t="inlineStr">
        <is>
          <t>作文</t>
        </is>
      </c>
      <c r="L1458"/>
      <c r="M1458" t="inlineStr">
        <is>
          <t>张学姐的店</t>
        </is>
      </c>
      <c r="N1458">
        <v>5577</v>
      </c>
      <c r="O1458">
        <v>4.52</v>
      </c>
      <c r="P1458">
        <v>13000</v>
      </c>
      <c r="Q1458" t="inlineStr">
        <is>
          <t>692e24df46e53000016bd178</t>
        </is>
      </c>
      <c r="R1458" t="inlineStr">
        <is>
          <t>🚫重复</t>
        </is>
      </c>
      <c r="S1458" t="inlineStr">
        <is>
          <t>高中/高考资料</t>
        </is>
      </c>
      <c r="T1458" t="inlineStr">
        <is>
          <t>0.66</t>
        </is>
      </c>
      <c r="U1458" s="3">
        <v>46112.78107638889</v>
      </c>
      <c r="V1458" t="inlineStr">
        <is>
          <t>虚拟产品</t>
        </is>
      </c>
      <c r="W1458" s="3">
        <v>46047</v>
      </c>
      <c r="X1458" t="inlineStr">
        <is>
          <t>01</t>
        </is>
      </c>
      <c r="Y1458" t="inlineStr">
        <is>
          <t>2026-Q1</t>
        </is>
      </c>
    </row>
    <row r="1459" ht="38.25" customHeight="1">
      <c r="A1459" t="inlineStr">
        <is>
          <t>【马刻立xFiona】考研英语作文模板只背一篇 适配近十年真题类型</t>
        </is>
      </c>
      <c r="B1459" t="inlineStr">
        <is>
          <t>recv9hFZGrAlNS.jpg</t>
        </is>
      </c>
      <c r="C1459" s="2" t="str">
        <f>=HYPERLINK("https://xhslink.com/m/AnsGoSwYB3g", "https://xhslink.com/m/AnsGoSwYB3g")</f>
        <v>https://xhslink.com/m/AnsGoSwYB3g</v>
      </c>
      <c r="D1459"/>
      <c r="E1459">
        <v>2608</v>
      </c>
      <c r="F1459">
        <v>49.99</v>
      </c>
      <c r="G1459"/>
      <c r="H1459"/>
      <c r="I1459">
        <v>2000</v>
      </c>
      <c r="J1459"/>
      <c r="K1459" t="inlineStr">
        <is>
          <t>作文</t>
        </is>
      </c>
      <c r="L1459"/>
      <c r="M1459" t="inlineStr">
        <is>
          <t>马刻立的等等的店</t>
        </is>
      </c>
      <c r="N1459">
        <v>1853</v>
      </c>
      <c r="O1459">
        <v>3.96</v>
      </c>
      <c r="P1459">
        <v>2626</v>
      </c>
      <c r="Q1459" t="inlineStr">
        <is>
          <t>690f03610319c900018c7b22</t>
        </is>
      </c>
      <c r="R1459" t="inlineStr">
        <is>
          <t>🚫重复</t>
        </is>
      </c>
      <c r="S1459" t="inlineStr">
        <is>
          <t>考研资料</t>
        </is>
      </c>
      <c r="T1459" t="inlineStr">
        <is>
          <t>1.41</t>
        </is>
      </c>
      <c r="U1459" s="3">
        <v>46112.78107638889</v>
      </c>
      <c r="V1459" t="inlineStr">
        <is>
          <t>虚拟产品</t>
        </is>
      </c>
      <c r="W1459" s="3">
        <v>46047</v>
      </c>
      <c r="X1459" t="inlineStr">
        <is>
          <t>01</t>
        </is>
      </c>
      <c r="Y1459" t="inlineStr">
        <is>
          <t>2026-Q1</t>
        </is>
      </c>
    </row>
    <row r="1460" ht="38.25" customHeight="1">
      <c r="A1460" t="inlineStr">
        <is>
          <t>上海高考作文素材|2025新版上海四校思辨性作文母题素材 32万字</t>
        </is>
      </c>
      <c r="B1460" t="inlineStr">
        <is>
          <t>recv9hFZGr5zlD.jpg</t>
        </is>
      </c>
      <c r="C1460" s="2" t="str">
        <f>=HYPERLINK("https://xhslink.com/m/AleirZ159vR", "https://xhslink.com/m/AleirZ159vR")</f>
        <v>https://xhslink.com/m/AleirZ159vR</v>
      </c>
      <c r="D1460"/>
      <c r="E1460">
        <v>2552</v>
      </c>
      <c r="F1460">
        <v>19.9</v>
      </c>
      <c r="G1460"/>
      <c r="H1460"/>
      <c r="I1460">
        <v>700</v>
      </c>
      <c r="J1460"/>
      <c r="K1460" t="inlineStr">
        <is>
          <t>作文</t>
        </is>
      </c>
      <c r="L1460"/>
      <c r="M1460" t="inlineStr">
        <is>
          <t>亦明学姐🍎高中藏宝阁的店</t>
        </is>
      </c>
      <c r="N1460">
        <v>3622</v>
      </c>
      <c r="O1460">
        <v>4.34</v>
      </c>
      <c r="P1460">
        <v>9690</v>
      </c>
      <c r="Q1460" t="inlineStr">
        <is>
          <t>681e13b611665d00017beaee</t>
        </is>
      </c>
      <c r="R1460" t="inlineStr">
        <is>
          <t>🚫重复</t>
        </is>
      </c>
      <c r="S1460" t="inlineStr">
        <is>
          <t>高中/高考资料</t>
        </is>
      </c>
      <c r="T1460" t="inlineStr">
        <is>
          <t>0.70</t>
        </is>
      </c>
      <c r="U1460" s="3">
        <v>46112.78107638889</v>
      </c>
      <c r="V1460" t="inlineStr">
        <is>
          <t>虚拟产品</t>
        </is>
      </c>
      <c r="W1460" s="3">
        <v>46047</v>
      </c>
      <c r="X1460" t="inlineStr">
        <is>
          <t>01</t>
        </is>
      </c>
      <c r="Y1460" t="inlineStr">
        <is>
          <t>2026-Q1</t>
        </is>
      </c>
    </row>
    <row r="1461" ht="38.25" customHeight="1">
      <c r="A1461" t="inlineStr">
        <is>
          <t>意林 · 作文素材杂志2026/25年订阅 全年24本 中学生写作技巧提升</t>
        </is>
      </c>
      <c r="B1461" t="inlineStr">
        <is>
          <t>recv9hFZGrbDz0.jpg</t>
        </is>
      </c>
      <c r="C1461" s="2" t="str">
        <f>=HYPERLINK("https://xhslink.com/m/969UMV6isZp", "https://xhslink.com/m/969UMV6isZp")</f>
        <v>https://xhslink.com/m/969UMV6isZp</v>
      </c>
      <c r="D1461"/>
      <c r="E1461">
        <v>1990</v>
      </c>
      <c r="F1461">
        <v>216</v>
      </c>
      <c r="G1461"/>
      <c r="H1461"/>
      <c r="I1461">
        <v>300</v>
      </c>
      <c r="J1461"/>
      <c r="K1461" t="inlineStr">
        <is>
          <t>作文</t>
        </is>
      </c>
      <c r="L1461"/>
      <c r="M1461" t="inlineStr">
        <is>
          <t>意林旗舰店</t>
        </is>
      </c>
      <c r="N1461">
        <v>226000</v>
      </c>
      <c r="O1461">
        <v>4.69</v>
      </c>
      <c r="P1461">
        <v>105000</v>
      </c>
      <c r="Q1461" t="inlineStr">
        <is>
          <t>683ff6d6d0af0a0001770bd8</t>
        </is>
      </c>
      <c r="R1461" t="inlineStr">
        <is>
          <t>🚫重复</t>
        </is>
      </c>
      <c r="S1461" t="inlineStr">
        <is>
          <t>中小学教辅/教材</t>
        </is>
      </c>
      <c r="T1461" t="inlineStr">
        <is>
          <t>0.01</t>
        </is>
      </c>
      <c r="U1461" s="3">
        <v>46112.78107638889</v>
      </c>
      <c r="V1461" t="inlineStr">
        <is>
          <t>虚拟产品</t>
        </is>
      </c>
      <c r="W1461" s="3">
        <v>46047</v>
      </c>
      <c r="X1461" t="inlineStr">
        <is>
          <t>01</t>
        </is>
      </c>
      <c r="Y1461" t="inlineStr">
        <is>
          <t>2026-Q1</t>
        </is>
      </c>
    </row>
    <row r="1462" ht="38.25" customHeight="1">
      <c r="A1462" t="inlineStr">
        <is>
          <t>初中语文作文提升资料</t>
        </is>
      </c>
      <c r="B1462" t="inlineStr">
        <is>
          <t>recv9hFZGrd3QU.jpg</t>
        </is>
      </c>
      <c r="C1462" s="2" t="str">
        <f>=HYPERLINK("https://xhslink.com/m/6LPYH2OK2gy", "https://xhslink.com/m/6LPYH2OK2gy")</f>
        <v>https://xhslink.com/m/6LPYH2OK2gy</v>
      </c>
      <c r="D1462"/>
      <c r="E1462">
        <v>745</v>
      </c>
      <c r="F1462">
        <v>69.9</v>
      </c>
      <c r="G1462"/>
      <c r="H1462"/>
      <c r="I1462">
        <v>300</v>
      </c>
      <c r="J1462"/>
      <c r="K1462" t="inlineStr">
        <is>
          <t>作文</t>
        </is>
      </c>
      <c r="L1462"/>
      <c r="M1462" t="inlineStr">
        <is>
          <t>Amy老师的资料库的店</t>
        </is>
      </c>
      <c r="N1462">
        <v>1564</v>
      </c>
      <c r="O1462">
        <v>4.3</v>
      </c>
      <c r="P1462">
        <v>13000</v>
      </c>
      <c r="Q1462" t="inlineStr">
        <is>
          <t>6838003ff1a0740001cd777f</t>
        </is>
      </c>
      <c r="R1462" t="inlineStr">
        <is>
          <t>🚫重复</t>
        </is>
      </c>
      <c r="S1462" t="inlineStr">
        <is>
          <t>中小学教辅/教材</t>
        </is>
      </c>
      <c r="T1462" t="inlineStr">
        <is>
          <t>0.48</t>
        </is>
      </c>
      <c r="U1462" s="3">
        <v>46112.78107638889</v>
      </c>
      <c r="V1462" t="inlineStr">
        <is>
          <t>虚拟产品</t>
        </is>
      </c>
      <c r="W1462" s="3">
        <v>46047</v>
      </c>
      <c r="X1462" t="inlineStr">
        <is>
          <t>01</t>
        </is>
      </c>
      <c r="Y1462" t="inlineStr">
        <is>
          <t>2026-Q1</t>
        </is>
      </c>
    </row>
    <row r="1463" ht="38.25" customHeight="1">
      <c r="A1463" t="inlineStr">
        <is>
          <t>袁东2026申论领跑营大作文专项班</t>
        </is>
      </c>
      <c r="B1463" t="inlineStr">
        <is>
          <t>recv9hFZGrECDd.jpg</t>
        </is>
      </c>
      <c r="C1463" s="2" t="str">
        <f>=HYPERLINK("https://xhslink.com/m/2hdX6gIfAUE", "https://xhslink.com/m/2hdX6gIfAUE")</f>
        <v>https://xhslink.com/m/2hdX6gIfAUE</v>
      </c>
      <c r="D1463"/>
      <c r="E1463">
        <v>715</v>
      </c>
      <c r="F1463">
        <v>99</v>
      </c>
      <c r="G1463"/>
      <c r="H1463"/>
      <c r="I1463">
        <v>200</v>
      </c>
      <c r="J1463"/>
      <c r="K1463" t="inlineStr">
        <is>
          <t>作文</t>
        </is>
      </c>
      <c r="L1463"/>
      <c r="M1463" t="inlineStr">
        <is>
          <t>A初心公考的店</t>
        </is>
      </c>
      <c r="N1463">
        <v>5208</v>
      </c>
      <c r="O1463">
        <v>4.48</v>
      </c>
      <c r="P1463">
        <v>10000</v>
      </c>
      <c r="Q1463" t="inlineStr">
        <is>
          <t>6842c968ea2a81000116d25d</t>
        </is>
      </c>
      <c r="R1463" t="inlineStr">
        <is>
          <t>🚫重复</t>
        </is>
      </c>
      <c r="S1463" t="inlineStr">
        <is>
          <t>考公资料</t>
        </is>
      </c>
      <c r="T1463" t="inlineStr">
        <is>
          <t>0.14</t>
        </is>
      </c>
      <c r="U1463" s="3">
        <v>46112.78107638889</v>
      </c>
      <c r="V1463" t="inlineStr">
        <is>
          <t>虚拟产品</t>
        </is>
      </c>
      <c r="W1463" s="3">
        <v>46047</v>
      </c>
      <c r="X1463" t="inlineStr">
        <is>
          <t>01</t>
        </is>
      </c>
      <c r="Y1463" t="inlineStr">
        <is>
          <t>2026-Q1</t>
        </is>
      </c>
    </row>
    <row r="1464" ht="38.25" customHeight="1">
      <c r="A1464" t="inlineStr">
        <is>
          <t>雅思大作文逻辑链+模版（写作8.5选手原创有版权保护证书）</t>
        </is>
      </c>
      <c r="B1464" t="inlineStr">
        <is>
          <t>recv9hFZGr4zgo.jpg</t>
        </is>
      </c>
      <c r="C1464" s="2" t="str">
        <f>=HYPERLINK("https://xhslink.com/m/4jH19EaFsZ5", "https://xhslink.com/m/4jH19EaFsZ5")</f>
        <v>https://xhslink.com/m/4jH19EaFsZ5</v>
      </c>
      <c r="D1464"/>
      <c r="E1464">
        <v>432</v>
      </c>
      <c r="F1464">
        <v>99</v>
      </c>
      <c r="G1464"/>
      <c r="H1464"/>
      <c r="I1464">
        <v>200</v>
      </c>
      <c r="J1464"/>
      <c r="K1464" t="inlineStr">
        <is>
          <t>作文</t>
        </is>
      </c>
      <c r="L1464"/>
      <c r="M1464" t="inlineStr">
        <is>
          <t>Oprah的店</t>
        </is>
      </c>
      <c r="N1464">
        <v>2498</v>
      </c>
      <c r="O1464">
        <v>4.05</v>
      </c>
      <c r="P1464">
        <v>514</v>
      </c>
      <c r="Q1464" t="inlineStr">
        <is>
          <t>687cf0a3417c3f0001bef30a</t>
        </is>
      </c>
      <c r="R1464"/>
      <c r="S1464" t="inlineStr">
        <is>
          <t>英语资料</t>
        </is>
      </c>
      <c r="T1464" t="inlineStr">
        <is>
          <t>0.17</t>
        </is>
      </c>
      <c r="U1464" s="3">
        <v>46112.78107638889</v>
      </c>
      <c r="V1464" t="inlineStr">
        <is>
          <t>虚拟产品</t>
        </is>
      </c>
      <c r="W1464" s="3">
        <v>46047</v>
      </c>
      <c r="X1464" t="inlineStr">
        <is>
          <t>01</t>
        </is>
      </c>
      <c r="Y1464" t="inlineStr">
        <is>
          <t>2026-Q1</t>
        </is>
      </c>
    </row>
    <row r="1465" ht="38.25" customHeight="1">
      <c r="A1465" t="inlineStr">
        <is>
          <t>作文纸条 · 一看就能用的作文素材初中版2025新版中考初一二三记叙文写作技巧</t>
        </is>
      </c>
      <c r="B1465" t="inlineStr">
        <is>
          <t>recv9hFZGrOQuH.jpg</t>
        </is>
      </c>
      <c r="C1465" s="2" t="str">
        <f>=HYPERLINK("https://xhslink.com/m/1lqvG80kpuL", "https://xhslink.com/m/1lqvG80kpuL")</f>
        <v>https://xhslink.com/m/1lqvG80kpuL</v>
      </c>
      <c r="D1465"/>
      <c r="E1465">
        <v>10000</v>
      </c>
      <c r="F1465">
        <v>188.8</v>
      </c>
      <c r="G1465"/>
      <c r="H1465"/>
      <c r="I1465">
        <v>900</v>
      </c>
      <c r="J1465"/>
      <c r="K1465" t="inlineStr">
        <is>
          <t>素材</t>
        </is>
      </c>
      <c r="L1465"/>
      <c r="M1465" t="inlineStr">
        <is>
          <t>作文纸条旗舰店</t>
        </is>
      </c>
      <c r="N1465">
        <v>157000</v>
      </c>
      <c r="O1465">
        <v>4.67</v>
      </c>
      <c r="P1465">
        <v>145000</v>
      </c>
      <c r="Q1465" t="inlineStr">
        <is>
          <t>663b4b42eb7ed90001247008</t>
        </is>
      </c>
      <c r="R1465" t="inlineStr">
        <is>
          <t>🚫重复</t>
        </is>
      </c>
      <c r="S1465" t="inlineStr">
        <is>
          <t>中小学教辅/教材</t>
        </is>
      </c>
      <c r="T1465" t="inlineStr">
        <is>
          <t>0.06</t>
        </is>
      </c>
      <c r="U1465" s="3">
        <v>46112.78107638889</v>
      </c>
      <c r="V1465" t="inlineStr">
        <is>
          <t>虚拟产品</t>
        </is>
      </c>
      <c r="W1465" s="3">
        <v>46047</v>
      </c>
      <c r="X1465" t="inlineStr">
        <is>
          <t>01</t>
        </is>
      </c>
      <c r="Y1465" t="inlineStr">
        <is>
          <t>2026-Q1</t>
        </is>
      </c>
    </row>
    <row r="1466" ht="38.25" customHeight="1">
      <c r="A1466" t="inlineStr">
        <is>
          <t>nio_bium全套58款含预售新品联名手帐盖印素材印章手账素材盖印</t>
        </is>
      </c>
      <c r="B1466" t="inlineStr">
        <is>
          <t>recv9hFZGrVcnh.jpg</t>
        </is>
      </c>
      <c r="C1466" s="2" t="str">
        <f>=HYPERLINK("https://xhslink.com/m/8qcqSj3dfmv", "https://xhslink.com/m/8qcqSj3dfmv")</f>
        <v>https://xhslink.com/m/8qcqSj3dfmv</v>
      </c>
      <c r="D1466"/>
      <c r="E1466">
        <v>588</v>
      </c>
      <c r="F1466">
        <v>99</v>
      </c>
      <c r="G1466"/>
      <c r="H1466"/>
      <c r="I1466">
        <v>500</v>
      </c>
      <c r="J1466"/>
      <c r="K1466" t="inlineStr">
        <is>
          <t>素材</t>
        </is>
      </c>
      <c r="L1466"/>
      <c r="M1466" t="inlineStr">
        <is>
          <t>知知手账铺的店</t>
        </is>
      </c>
      <c r="N1466">
        <v>691</v>
      </c>
      <c r="O1466">
        <v>4.6</v>
      </c>
      <c r="P1466">
        <v>952</v>
      </c>
      <c r="Q1466" t="inlineStr">
        <is>
          <t>6934efbec84a1600015198a1</t>
        </is>
      </c>
      <c r="R1466"/>
      <c r="S1466" t="inlineStr">
        <is>
          <t>无匹配类别</t>
        </is>
      </c>
      <c r="T1466" t="inlineStr">
        <is>
          <t>0.85</t>
        </is>
      </c>
      <c r="U1466" s="3">
        <v>46112.78107638889</v>
      </c>
      <c r="V1466" t="inlineStr">
        <is>
          <t>虚拟产品</t>
        </is>
      </c>
      <c r="W1466" s="3">
        <v>46047</v>
      </c>
      <c r="X1466" t="inlineStr">
        <is>
          <t>01</t>
        </is>
      </c>
      <c r="Y1466" t="inlineStr">
        <is>
          <t>2026-Q1</t>
        </is>
      </c>
    </row>
    <row r="1467" ht="38.25" customHeight="1">
      <c r="A1467" t="inlineStr">
        <is>
          <t>DOU DOU SHU WU · 2026新版小豆同学秒记政史地物化生语数英高中答题模板知识点复习</t>
        </is>
      </c>
      <c r="B1467" t="inlineStr">
        <is>
          <t>__upload_recv9hFZGrvQ8a.jpg</t>
        </is>
      </c>
      <c r="C1467" s="2" t="str">
        <f>=HYPERLINK("https://xhslink.com/m/3mP2ukoUhoY", "https://xhslink.com/m/3mP2ukoUhoY")</f>
        <v>https://xhslink.com/m/3mP2ukoUhoY</v>
      </c>
      <c r="D1467"/>
      <c r="E1467">
        <v>5779</v>
      </c>
      <c r="F1467">
        <v>59.8</v>
      </c>
      <c r="G1467"/>
      <c r="H1467"/>
      <c r="I1467">
        <v>5000</v>
      </c>
      <c r="J1467">
        <v>100</v>
      </c>
      <c r="K1467" t="inlineStr">
        <is>
          <t>模板</t>
        </is>
      </c>
      <c r="L1467"/>
      <c r="M1467" t="inlineStr">
        <is>
          <t>豆豆书屋图书旗舰店</t>
        </is>
      </c>
      <c r="N1467">
        <v>5667</v>
      </c>
      <c r="O1467">
        <v>4.76</v>
      </c>
      <c r="P1467">
        <v>15000</v>
      </c>
      <c r="Q1467" t="inlineStr">
        <is>
          <t>67c562ebb461110015b1b8e8</t>
        </is>
      </c>
      <c r="R1467" t="inlineStr">
        <is>
          <t>🚫重复</t>
        </is>
      </c>
      <c r="S1467" t="inlineStr">
        <is>
          <t>高中/高考资料</t>
        </is>
      </c>
      <c r="T1467" t="inlineStr">
        <is>
          <t>1.02</t>
        </is>
      </c>
      <c r="U1467" s="3">
        <v>46112.78107638889</v>
      </c>
      <c r="V1467" t="inlineStr">
        <is>
          <t>虚拟产品</t>
        </is>
      </c>
      <c r="W1467" s="3">
        <v>46047</v>
      </c>
      <c r="X1467" t="inlineStr">
        <is>
          <t>01</t>
        </is>
      </c>
      <c r="Y1467" t="inlineStr">
        <is>
          <t>2026-Q1</t>
        </is>
      </c>
    </row>
    <row r="1468" ht="38.25" customHeight="1">
      <c r="A1468" t="inlineStr">
        <is>
          <t>雅思写作冲7分速成模板+高分语料库  （预售，后涨价为299）</t>
        </is>
      </c>
      <c r="B1468" t="inlineStr">
        <is>
          <t>recv9hFZGrFRWX.jpg</t>
        </is>
      </c>
      <c r="C1468" s="2" t="str">
        <f>=HYPERLINK("https://xhslink.com/m/7PIsT6ArJIj", "https://xhslink.com/m/7PIsT6ArJIj")</f>
        <v>https://xhslink.com/m/7PIsT6ArJIj</v>
      </c>
      <c r="D1468"/>
      <c r="E1468">
        <v>3940</v>
      </c>
      <c r="F1468">
        <v>59</v>
      </c>
      <c r="G1468"/>
      <c r="H1468"/>
      <c r="I1468">
        <v>700</v>
      </c>
      <c r="J1468"/>
      <c r="K1468" t="inlineStr">
        <is>
          <t>模板</t>
        </is>
      </c>
      <c r="L1468"/>
      <c r="M1468" t="inlineStr">
        <is>
          <t>Claire澳洲学姐（雅思口语9分）的店</t>
        </is>
      </c>
      <c r="N1468">
        <v>37000</v>
      </c>
      <c r="O1468">
        <v>4.59</v>
      </c>
      <c r="P1468">
        <v>20000</v>
      </c>
      <c r="Q1468" t="inlineStr">
        <is>
          <t>67809715a03f41000177e61e</t>
        </is>
      </c>
      <c r="R1468" t="inlineStr">
        <is>
          <t>🚫重复</t>
        </is>
      </c>
      <c r="S1468" t="inlineStr">
        <is>
          <t>英语资料</t>
        </is>
      </c>
      <c r="T1468" t="inlineStr">
        <is>
          <t>0.11</t>
        </is>
      </c>
      <c r="U1468" s="3">
        <v>46112.78107638889</v>
      </c>
      <c r="V1468" t="inlineStr">
        <is>
          <t>虚拟产品</t>
        </is>
      </c>
      <c r="W1468" s="3">
        <v>46047</v>
      </c>
      <c r="X1468" t="inlineStr">
        <is>
          <t>01</t>
        </is>
      </c>
      <c r="Y1468" t="inlineStr">
        <is>
          <t>2026-Q1</t>
        </is>
      </c>
    </row>
    <row r="1469" ht="38.25" customHeight="1">
      <c r="A1469" t="inlineStr">
        <is>
          <t>【马刻立xFiona】考研英语作文模板只背一篇 适配近十年真题类型</t>
        </is>
      </c>
      <c r="B1469" t="inlineStr">
        <is>
          <t>recv9hFZGrEP0r.jpg</t>
        </is>
      </c>
      <c r="C1469" s="2" t="str">
        <f>=HYPERLINK("https://xhslink.com/m/3KSNd6AdBzo", "https://xhslink.com/m/3KSNd6AdBzo")</f>
        <v>https://xhslink.com/m/3KSNd6AdBzo</v>
      </c>
      <c r="D1469"/>
      <c r="E1469">
        <v>2608</v>
      </c>
      <c r="F1469">
        <v>59.99</v>
      </c>
      <c r="G1469"/>
      <c r="H1469"/>
      <c r="I1469">
        <v>2000</v>
      </c>
      <c r="J1469"/>
      <c r="K1469" t="inlineStr">
        <is>
          <t>模板</t>
        </is>
      </c>
      <c r="L1469"/>
      <c r="M1469" t="inlineStr">
        <is>
          <t>马刻立的等等的店</t>
        </is>
      </c>
      <c r="N1469">
        <v>1853</v>
      </c>
      <c r="O1469">
        <v>3.96</v>
      </c>
      <c r="P1469">
        <v>2626</v>
      </c>
      <c r="Q1469" t="inlineStr">
        <is>
          <t>69180a6bb51a380001020cc1</t>
        </is>
      </c>
      <c r="R1469" t="inlineStr">
        <is>
          <t>🚫重复</t>
        </is>
      </c>
      <c r="S1469" t="inlineStr">
        <is>
          <t>考研资料</t>
        </is>
      </c>
      <c r="T1469" t="inlineStr">
        <is>
          <t>1.41</t>
        </is>
      </c>
      <c r="U1469" s="3">
        <v>46112.78107638889</v>
      </c>
      <c r="V1469" t="inlineStr">
        <is>
          <t>虚拟产品</t>
        </is>
      </c>
      <c r="W1469" s="3">
        <v>46047</v>
      </c>
      <c r="X1469" t="inlineStr">
        <is>
          <t>01</t>
        </is>
      </c>
      <c r="Y1469" t="inlineStr">
        <is>
          <t>2026-Q1</t>
        </is>
      </c>
    </row>
    <row r="1470" ht="38.25" customHeight="1">
      <c r="A1470" t="inlineStr">
        <is>
          <t>开芽 · 2026马年儿童拓印画元旦diy手工新年福字图案材料包镂空工具模板</t>
        </is>
      </c>
      <c r="B1470" t="inlineStr">
        <is>
          <t>recv9hFZGr1H1C.jpg</t>
        </is>
      </c>
      <c r="C1470" s="2" t="str">
        <f>=HYPERLINK("https://xhslink.com/m/7LEtCL43C0W", "https://xhslink.com/m/7LEtCL43C0W")</f>
        <v>https://xhslink.com/m/7LEtCL43C0W</v>
      </c>
      <c r="D1470"/>
      <c r="E1470">
        <v>2198</v>
      </c>
      <c r="F1470">
        <v>118</v>
      </c>
      <c r="G1470"/>
      <c r="H1470"/>
      <c r="I1470">
        <v>1000</v>
      </c>
      <c r="J1470"/>
      <c r="K1470" t="inlineStr">
        <is>
          <t>模板</t>
        </is>
      </c>
      <c r="L1470"/>
      <c r="M1470" t="inlineStr">
        <is>
          <t>开芽手工旗舰店</t>
        </is>
      </c>
      <c r="N1470">
        <v>1360</v>
      </c>
      <c r="O1470">
        <v>4.6</v>
      </c>
      <c r="P1470">
        <v>7446</v>
      </c>
      <c r="Q1470" t="inlineStr">
        <is>
          <t>692ac83d2cf0ca000112f52a</t>
        </is>
      </c>
      <c r="R1470" t="inlineStr">
        <is>
          <t>🚫重复</t>
        </is>
      </c>
      <c r="S1470" t="inlineStr">
        <is>
          <t>中小学教辅/教材</t>
        </is>
      </c>
      <c r="T1470" t="inlineStr">
        <is>
          <t>1.62</t>
        </is>
      </c>
      <c r="U1470" s="3">
        <v>46112.78107638889</v>
      </c>
      <c r="V1470" t="inlineStr">
        <is>
          <t>虚拟产品</t>
        </is>
      </c>
      <c r="W1470" s="3">
        <v>46047</v>
      </c>
      <c r="X1470" t="inlineStr">
        <is>
          <t>01</t>
        </is>
      </c>
      <c r="Y1470" t="inlineStr">
        <is>
          <t>2026-Q1</t>
        </is>
      </c>
    </row>
    <row r="1471" ht="38.25" customHeight="1">
      <c r="A1471" t="inlineStr">
        <is>
          <t>教科版科学知识点晨读晚默一课一练一二三四五六年级小纸条模板</t>
        </is>
      </c>
      <c r="B1471" t="inlineStr">
        <is>
          <t>recv9hFZGrFbrx.jpg</t>
        </is>
      </c>
      <c r="C1471" s="2" t="str">
        <f>=HYPERLINK("https://xhslink.com/m/7Qr5MerpQYR", "https://xhslink.com/m/7Qr5MerpQYR")</f>
        <v>https://xhslink.com/m/7Qr5MerpQYR</v>
      </c>
      <c r="D1471"/>
      <c r="E1471">
        <v>1134</v>
      </c>
      <c r="F1471">
        <v>69</v>
      </c>
      <c r="G1471"/>
      <c r="H1471"/>
      <c r="I1471">
        <v>200</v>
      </c>
      <c r="J1471"/>
      <c r="K1471" t="inlineStr">
        <is>
          <t>模板</t>
        </is>
      </c>
      <c r="L1471"/>
      <c r="M1471" t="inlineStr">
        <is>
          <t>萌创优学社的店</t>
        </is>
      </c>
      <c r="N1471">
        <v>2917</v>
      </c>
      <c r="O1471">
        <v>4.17</v>
      </c>
      <c r="P1471">
        <v>7031</v>
      </c>
      <c r="Q1471" t="inlineStr">
        <is>
          <t>686a3324a455ca00011275a7</t>
        </is>
      </c>
      <c r="R1471"/>
      <c r="S1471" t="inlineStr">
        <is>
          <t>中小学教辅/教材</t>
        </is>
      </c>
      <c r="T1471" t="inlineStr">
        <is>
          <t>0.39</t>
        </is>
      </c>
      <c r="U1471" s="3">
        <v>46112.78107638889</v>
      </c>
      <c r="V1471" t="inlineStr">
        <is>
          <t>虚拟产品</t>
        </is>
      </c>
      <c r="W1471" s="3">
        <v>46047</v>
      </c>
      <c r="X1471" t="inlineStr">
        <is>
          <t>01</t>
        </is>
      </c>
      <c r="Y1471" t="inlineStr">
        <is>
          <t>2026-Q1</t>
        </is>
      </c>
    </row>
    <row r="1472" ht="38.25" customHeight="1">
      <c r="A1472" t="inlineStr">
        <is>
          <t>枯枯仙作品集模板汇总（一个规格对应一份模板）</t>
        </is>
      </c>
      <c r="B1472" t="inlineStr">
        <is>
          <t>recv9hFZGrOKkw.jpg</t>
        </is>
      </c>
      <c r="C1472" s="2" t="str">
        <f>=HYPERLINK("https://xhslink.com/m/5LZAtVsPmj4", "https://xhslink.com/m/5LZAtVsPmj4")</f>
        <v>https://xhslink.com/m/5LZAtVsPmj4</v>
      </c>
      <c r="D1472"/>
      <c r="E1472">
        <v>1014</v>
      </c>
      <c r="F1472">
        <v>59.99</v>
      </c>
      <c r="G1472"/>
      <c r="H1472"/>
      <c r="I1472">
        <v>200</v>
      </c>
      <c r="J1472"/>
      <c r="K1472" t="inlineStr">
        <is>
          <t>模板</t>
        </is>
      </c>
      <c r="L1472"/>
      <c r="M1472" t="inlineStr">
        <is>
          <t>枯枯仙的店</t>
        </is>
      </c>
      <c r="N1472">
        <v>17000</v>
      </c>
      <c r="O1472">
        <v>4.02</v>
      </c>
      <c r="P1472">
        <v>5925</v>
      </c>
      <c r="Q1472" t="inlineStr">
        <is>
          <t>6667d16ccd6d14000159303e</t>
        </is>
      </c>
      <c r="R1472" t="inlineStr">
        <is>
          <t>🚫重复</t>
        </is>
      </c>
      <c r="S1472" t="inlineStr">
        <is>
          <t>无匹配类别</t>
        </is>
      </c>
      <c r="T1472" t="inlineStr">
        <is>
          <t>0.06</t>
        </is>
      </c>
      <c r="U1472" s="3">
        <v>46112.78107638889</v>
      </c>
      <c r="V1472" t="inlineStr">
        <is>
          <t>虚拟产品</t>
        </is>
      </c>
      <c r="W1472" s="3">
        <v>46047</v>
      </c>
      <c r="X1472" t="inlineStr">
        <is>
          <t>01</t>
        </is>
      </c>
      <c r="Y1472" t="inlineStr">
        <is>
          <t>2026-Q1</t>
        </is>
      </c>
    </row>
    <row r="1473" ht="38.25" customHeight="1">
      <c r="A1473" t="inlineStr">
        <is>
          <t>BerryPPT · 麦肯锡业务战略咨询管理PPT模板(277页)</t>
        </is>
      </c>
      <c r="B1473" t="inlineStr">
        <is>
          <t>recv9hFZGrbZZU.jpg</t>
        </is>
      </c>
      <c r="C1473" s="2" t="str">
        <f>=HYPERLINK("https://xhslink.com/m/4vBCZNLz5A", "https://xhslink.com/m/4vBCZNLz5A")</f>
        <v>https://xhslink.com/m/4vBCZNLz5A</v>
      </c>
      <c r="D1473"/>
      <c r="E1473">
        <v>983</v>
      </c>
      <c r="F1473">
        <v>89.99</v>
      </c>
      <c r="G1473"/>
      <c r="H1473"/>
      <c r="I1473">
        <v>200</v>
      </c>
      <c r="J1473"/>
      <c r="K1473" t="inlineStr">
        <is>
          <t>模板</t>
        </is>
      </c>
      <c r="L1473"/>
      <c r="M1473" t="inlineStr">
        <is>
          <t>BerryPPT旗舰店</t>
        </is>
      </c>
      <c r="N1473">
        <v>12000</v>
      </c>
      <c r="O1473">
        <v>4.02</v>
      </c>
      <c r="P1473">
        <v>4865</v>
      </c>
      <c r="Q1473" t="inlineStr">
        <is>
          <t>661d1b7aafb90500014d41f0</t>
        </is>
      </c>
      <c r="R1473" t="inlineStr">
        <is>
          <t>🚫重复</t>
        </is>
      </c>
      <c r="S1473" t="inlineStr">
        <is>
          <t>PPT模板</t>
        </is>
      </c>
      <c r="T1473" t="inlineStr">
        <is>
          <t>0.08</t>
        </is>
      </c>
      <c r="U1473" s="3">
        <v>46112.78107638889</v>
      </c>
      <c r="V1473" t="inlineStr">
        <is>
          <t>虚拟产品</t>
        </is>
      </c>
      <c r="W1473" s="3">
        <v>46047</v>
      </c>
      <c r="X1473" t="inlineStr">
        <is>
          <t>01</t>
        </is>
      </c>
      <c r="Y1473" t="inlineStr">
        <is>
          <t>2026-Q1</t>
        </is>
      </c>
    </row>
    <row r="1474" ht="38.25" customHeight="1">
      <c r="A1474" t="inlineStr">
        <is>
          <t>【春春语文】高中语文万能模板冲刺包</t>
        </is>
      </c>
      <c r="B1474" t="inlineStr">
        <is>
          <t>recv9hFZGrNdwZ.jpg</t>
        </is>
      </c>
      <c r="C1474" s="2" t="str">
        <f>=HYPERLINK("https://xhslink.com/m/4tLaX98Q50i", "https://xhslink.com/m/4tLaX98Q50i")</f>
        <v>https://xhslink.com/m/4tLaX98Q50i</v>
      </c>
      <c r="D1474"/>
      <c r="E1474">
        <v>603</v>
      </c>
      <c r="F1474">
        <v>99</v>
      </c>
      <c r="G1474"/>
      <c r="H1474"/>
      <c r="I1474">
        <v>500</v>
      </c>
      <c r="J1474"/>
      <c r="K1474" t="inlineStr">
        <is>
          <t>模板</t>
        </is>
      </c>
      <c r="L1474"/>
      <c r="M1474" t="inlineStr">
        <is>
          <t>高途中考决胜天团的店</t>
        </is>
      </c>
      <c r="N1474">
        <v>1272</v>
      </c>
      <c r="O1474">
        <v>4.62</v>
      </c>
      <c r="P1474">
        <v>18000</v>
      </c>
      <c r="Q1474" t="inlineStr">
        <is>
          <t>691dac0fccb9e00001c5e31c</t>
        </is>
      </c>
      <c r="R1474" t="inlineStr">
        <is>
          <t>🚫重复</t>
        </is>
      </c>
      <c r="S1474" t="inlineStr">
        <is>
          <t>高中/高考资料</t>
        </is>
      </c>
      <c r="T1474" t="inlineStr">
        <is>
          <t>0.47</t>
        </is>
      </c>
      <c r="U1474" s="3">
        <v>46112.78107638889</v>
      </c>
      <c r="V1474" t="inlineStr">
        <is>
          <t>虚拟产品</t>
        </is>
      </c>
      <c r="W1474" s="3">
        <v>46047</v>
      </c>
      <c r="X1474" t="inlineStr">
        <is>
          <t>01</t>
        </is>
      </c>
      <c r="Y1474" t="inlineStr">
        <is>
          <t>2026-Q1</t>
        </is>
      </c>
    </row>
    <row r="1475" ht="38.25" customHeight="1">
      <c r="A1475" t="inlineStr">
        <is>
          <t>Notion模版｜2026年度计划体系·无使用时间限制·目标拆解电脑最佳</t>
        </is>
      </c>
      <c r="B1475" t="inlineStr">
        <is>
          <t>recv9hFZGrAEnH.jpg</t>
        </is>
      </c>
      <c r="C1475" s="2" t="str">
        <f>=HYPERLINK("https://xhslink.com/m/AyfGOz4LC62", "https://xhslink.com/m/AyfGOz4LC62")</f>
        <v>https://xhslink.com/m/AyfGOz4LC62</v>
      </c>
      <c r="D1475"/>
      <c r="E1475">
        <v>570</v>
      </c>
      <c r="F1475">
        <v>129.9</v>
      </c>
      <c r="G1475"/>
      <c r="H1475"/>
      <c r="I1475">
        <v>500</v>
      </c>
      <c r="J1475"/>
      <c r="K1475" t="inlineStr">
        <is>
          <t>模板</t>
        </is>
      </c>
      <c r="L1475"/>
      <c r="M1475" t="inlineStr">
        <is>
          <t>肥汪卷的店</t>
        </is>
      </c>
      <c r="N1475">
        <v>34000</v>
      </c>
      <c r="O1475">
        <v>4.05</v>
      </c>
      <c r="P1475">
        <v>15000</v>
      </c>
      <c r="Q1475" t="inlineStr">
        <is>
          <t>6936c145bf02330001b79887</t>
        </is>
      </c>
      <c r="R1475" t="inlineStr">
        <is>
          <t>🚫重复</t>
        </is>
      </c>
      <c r="S1475" t="inlineStr">
        <is>
          <t>无匹配类别</t>
        </is>
      </c>
      <c r="T1475" t="inlineStr">
        <is>
          <t>0.02</t>
        </is>
      </c>
      <c r="U1475" s="3">
        <v>46112.78107638889</v>
      </c>
      <c r="V1475" t="inlineStr">
        <is>
          <t>虚拟产品</t>
        </is>
      </c>
      <c r="W1475" s="3">
        <v>46047</v>
      </c>
      <c r="X1475" t="inlineStr">
        <is>
          <t>01</t>
        </is>
      </c>
      <c r="Y1475" t="inlineStr">
        <is>
          <t>2026-Q1</t>
        </is>
      </c>
    </row>
    <row r="1476" ht="38.25" customHeight="1">
      <c r="A1476" t="inlineStr">
        <is>
          <t>【阿冷牌】丙午年新春模板psd文件（非约稿）</t>
        </is>
      </c>
      <c r="B1476" t="inlineStr">
        <is>
          <t>recv9hFZGrA5YJ.jpg</t>
        </is>
      </c>
      <c r="C1476" s="2" t="str">
        <f>=HYPERLINK("https://xhslink.com/m/Al8HlsEPlrk", "https://xhslink.com/m/Al8HlsEPlrk")</f>
        <v>https://xhslink.com/m/Al8HlsEPlrk</v>
      </c>
      <c r="D1476"/>
      <c r="E1476">
        <v>368</v>
      </c>
      <c r="F1476">
        <v>8.88</v>
      </c>
      <c r="G1476"/>
      <c r="H1476"/>
      <c r="I1476">
        <v>300</v>
      </c>
      <c r="J1476"/>
      <c r="K1476" t="inlineStr">
        <is>
          <t>模板</t>
        </is>
      </c>
      <c r="L1476"/>
      <c r="M1476" t="inlineStr">
        <is>
          <t>冷去风白（别找客服）的店</t>
        </is>
      </c>
      <c r="N1476">
        <v>5875</v>
      </c>
      <c r="O1476">
        <v>4.29</v>
      </c>
      <c r="P1476">
        <v>2965</v>
      </c>
      <c r="Q1476" t="inlineStr">
        <is>
          <t>69476501b1e666000123f7c2</t>
        </is>
      </c>
      <c r="R1476"/>
      <c r="S1476" t="inlineStr">
        <is>
          <t>设计素材</t>
        </is>
      </c>
      <c r="T1476" t="inlineStr">
        <is>
          <t>0.06</t>
        </is>
      </c>
      <c r="U1476" s="3">
        <v>46112.78107638889</v>
      </c>
      <c r="V1476" t="inlineStr">
        <is>
          <t>虚拟产品</t>
        </is>
      </c>
      <c r="W1476" s="3">
        <v>46047</v>
      </c>
      <c r="X1476" t="inlineStr">
        <is>
          <t>01</t>
        </is>
      </c>
      <c r="Y1476" t="inlineStr">
        <is>
          <t>2026-Q1</t>
        </is>
      </c>
    </row>
    <row r="1477" ht="38.25" customHeight="1">
      <c r="A1477" t="inlineStr">
        <is>
          <t>结构化面试万能话术 素材 模版时政热点题目电子版最新App押题库</t>
        </is>
      </c>
      <c r="B1477" t="inlineStr">
        <is>
          <t>recv9hFZGrXk1g.jpg</t>
        </is>
      </c>
      <c r="C1477" s="2" t="str">
        <f>=HYPERLINK("https://xhslink.com/m/4xBDjX52ZyO", "https://xhslink.com/m/4xBDjX52ZyO")</f>
        <v>https://xhslink.com/m/4xBDjX52ZyO</v>
      </c>
      <c r="D1477"/>
      <c r="E1477">
        <v>231</v>
      </c>
      <c r="F1477">
        <v>129</v>
      </c>
      <c r="G1477"/>
      <c r="H1477"/>
      <c r="I1477">
        <v>200</v>
      </c>
      <c r="J1477"/>
      <c r="K1477" t="inlineStr">
        <is>
          <t>模板</t>
        </is>
      </c>
      <c r="L1477"/>
      <c r="M1477" t="inlineStr">
        <is>
          <t>大萝卜卜卜的店</t>
        </is>
      </c>
      <c r="N1477">
        <v>815</v>
      </c>
      <c r="O1477">
        <v>4.42</v>
      </c>
      <c r="P1477">
        <v>7128</v>
      </c>
      <c r="Q1477" t="inlineStr">
        <is>
          <t>6937a5ff83efdb0001f8da19</t>
        </is>
      </c>
      <c r="R1477" t="inlineStr">
        <is>
          <t>🚫重复</t>
        </is>
      </c>
      <c r="S1477" t="inlineStr">
        <is>
          <t>求职面试/职场</t>
        </is>
      </c>
      <c r="T1477" t="inlineStr">
        <is>
          <t>0.28</t>
        </is>
      </c>
      <c r="U1477" s="3">
        <v>46112.78107638889</v>
      </c>
      <c r="V1477" t="inlineStr">
        <is>
          <t>虚拟产品</t>
        </is>
      </c>
      <c r="W1477" s="3">
        <v>46047</v>
      </c>
      <c r="X1477" t="inlineStr">
        <is>
          <t>01</t>
        </is>
      </c>
      <c r="Y1477" t="inlineStr">
        <is>
          <t>2026-Q1</t>
        </is>
      </c>
    </row>
    <row r="1478" ht="38.25" customHeight="1">
      <c r="A1478" t="inlineStr">
        <is>
          <t>星WE1月月预测所有题目套一个模版的范文（更新到1.15日）</t>
        </is>
      </c>
      <c r="B1478" t="inlineStr">
        <is>
          <t>recv9hFZGrRQKX.jpg</t>
        </is>
      </c>
      <c r="C1478" s="2" t="str">
        <f>=HYPERLINK("https://xhslink.com/m/2m6rfgVxpz0", "https://xhslink.com/m/2m6rfgVxpz0")</f>
        <v>https://xhslink.com/m/2m6rfgVxpz0</v>
      </c>
      <c r="D1478"/>
      <c r="E1478">
        <v>264</v>
      </c>
      <c r="F1478">
        <v>79</v>
      </c>
      <c r="G1478"/>
      <c r="H1478"/>
      <c r="I1478">
        <v>200</v>
      </c>
      <c r="J1478"/>
      <c r="K1478" t="inlineStr">
        <is>
          <t>模板</t>
        </is>
      </c>
      <c r="L1478"/>
      <c r="M1478" t="inlineStr">
        <is>
          <t>悟空救我PTE的店</t>
        </is>
      </c>
      <c r="N1478">
        <v>2212</v>
      </c>
      <c r="O1478">
        <v>3.95</v>
      </c>
      <c r="P1478">
        <v>1582</v>
      </c>
      <c r="Q1478" t="inlineStr">
        <is>
          <t>68e60734ed3b2f000117ecdd</t>
        </is>
      </c>
      <c r="R1478"/>
      <c r="S1478" t="inlineStr">
        <is>
          <t>无匹配类别</t>
        </is>
      </c>
      <c r="T1478" t="inlineStr">
        <is>
          <t>0.12</t>
        </is>
      </c>
      <c r="U1478" s="3">
        <v>46112.78107638889</v>
      </c>
      <c r="V1478" t="inlineStr">
        <is>
          <t>虚拟产品</t>
        </is>
      </c>
      <c r="W1478" s="3">
        <v>46047</v>
      </c>
      <c r="X1478" t="inlineStr">
        <is>
          <t>01</t>
        </is>
      </c>
      <c r="Y1478" t="inlineStr">
        <is>
          <t>2026-Q1</t>
        </is>
      </c>
    </row>
    <row r="1479" ht="38.25" customHeight="1">
      <c r="A1479" t="inlineStr">
        <is>
          <t>履行通知书异议书模板（word文档）丨可1对1定制</t>
        </is>
      </c>
      <c r="B1479" t="inlineStr">
        <is>
          <t>recv9hFZGr4TFb.jpg</t>
        </is>
      </c>
      <c r="C1479" s="2" t="str">
        <f>=HYPERLINK("https://xhslink.com/m/8aHI1jLmRqX", "https://xhslink.com/m/8aHI1jLmRqX")</f>
        <v>https://xhslink.com/m/8aHI1jLmRqX</v>
      </c>
      <c r="D1479"/>
      <c r="E1479">
        <v>243</v>
      </c>
      <c r="F1479">
        <v>129.8</v>
      </c>
      <c r="G1479"/>
      <c r="H1479"/>
      <c r="I1479">
        <v>200</v>
      </c>
      <c r="J1479"/>
      <c r="K1479" t="inlineStr">
        <is>
          <t>模板</t>
        </is>
      </c>
      <c r="L1479"/>
      <c r="M1479" t="inlineStr">
        <is>
          <t>「春和景明」的店</t>
        </is>
      </c>
      <c r="N1479">
        <v>626</v>
      </c>
      <c r="O1479">
        <v>3.92</v>
      </c>
      <c r="P1479">
        <v>1686</v>
      </c>
      <c r="Q1479" t="inlineStr">
        <is>
          <t>6926be5a4977f30001111ae4</t>
        </is>
      </c>
      <c r="R1479"/>
      <c r="S1479" t="inlineStr">
        <is>
          <t>无匹配类别</t>
        </is>
      </c>
      <c r="T1479" t="inlineStr">
        <is>
          <t>0.39</t>
        </is>
      </c>
      <c r="U1479" s="3">
        <v>46112.78107638889</v>
      </c>
      <c r="V1479" t="inlineStr">
        <is>
          <t>虚拟产品</t>
        </is>
      </c>
      <c r="W1479" s="3">
        <v>46047</v>
      </c>
      <c r="X1479" t="inlineStr">
        <is>
          <t>01</t>
        </is>
      </c>
      <c r="Y1479" t="inlineStr">
        <is>
          <t>2026-Q1</t>
        </is>
      </c>
    </row>
    <row r="1480" ht="38.25" customHeight="1">
      <c r="A1480" t="inlineStr">
        <is>
          <t>Ai安装包 2025版 永久使用</t>
        </is>
      </c>
      <c r="B1480" t="inlineStr">
        <is>
          <t>recv9necDYH8Hi.jpg</t>
        </is>
      </c>
      <c r="C1480" s="2" t="str">
        <f>=HYPERLINK("https://xhslink.com/m/1Bh7iswpwfC", "https://xhslink.com/m/1Bh7iswpwfC")</f>
        <v>https://xhslink.com/m/1Bh7iswpwfC</v>
      </c>
      <c r="D1480"/>
      <c r="E1480">
        <v>4529</v>
      </c>
      <c r="F1480">
        <v>12</v>
      </c>
      <c r="G1480"/>
      <c r="H1480"/>
      <c r="I1480">
        <v>3000</v>
      </c>
      <c r="J1480"/>
      <c r="K1480" t="inlineStr">
        <is>
          <t>AI</t>
        </is>
      </c>
      <c r="L1480" t="inlineStr">
        <is>
          <t>🔥低粉爆款</t>
        </is>
      </c>
      <c r="M1480" t="inlineStr">
        <is>
          <t>DeepSleep的店</t>
        </is>
      </c>
      <c r="N1480">
        <v>609</v>
      </c>
      <c r="O1480">
        <v>4.34</v>
      </c>
      <c r="P1480">
        <v>12000</v>
      </c>
      <c r="Q1480" t="inlineStr">
        <is>
          <t>687e3af3eab7930001715eba</t>
        </is>
      </c>
      <c r="R1480" t="inlineStr">
        <is>
          <t>🚫重复</t>
        </is>
      </c>
      <c r="S1480" t="inlineStr">
        <is>
          <t>AI</t>
        </is>
      </c>
      <c r="T1480" t="inlineStr">
        <is>
          <t>7.44</t>
        </is>
      </c>
      <c r="U1480" s="3">
        <v>46112.78107638889</v>
      </c>
      <c r="V1480" t="inlineStr">
        <is>
          <t>虚拟产品</t>
        </is>
      </c>
      <c r="W1480" s="3">
        <v>46048</v>
      </c>
      <c r="X1480" t="inlineStr">
        <is>
          <t>01</t>
        </is>
      </c>
      <c r="Y1480" t="inlineStr">
        <is>
          <t>2026-Q1</t>
        </is>
      </c>
    </row>
    <row r="1481" ht="38.25" customHeight="1">
      <c r="A1481" t="inlineStr">
        <is>
          <t>Ai安装包 2025版 安装教程</t>
        </is>
      </c>
      <c r="B1481" t="inlineStr">
        <is>
          <t>recv9necDYZs4Q.jpg</t>
        </is>
      </c>
      <c r="C1481" s="2" t="str">
        <f>=HYPERLINK("https://xhslink.com/m/1VMTWYs7FAJ", "https://xhslink.com/m/1VMTWYs7FAJ")</f>
        <v>https://xhslink.com/m/1VMTWYs7FAJ</v>
      </c>
      <c r="D1481"/>
      <c r="E1481">
        <v>3281</v>
      </c>
      <c r="F1481">
        <v>8.8</v>
      </c>
      <c r="G1481"/>
      <c r="H1481"/>
      <c r="I1481">
        <v>900</v>
      </c>
      <c r="J1481"/>
      <c r="K1481" t="inlineStr">
        <is>
          <t>AI</t>
        </is>
      </c>
      <c r="L1481"/>
      <c r="M1481" t="inlineStr">
        <is>
          <t>软件百宝箱的店</t>
        </is>
      </c>
      <c r="N1481">
        <v>2562</v>
      </c>
      <c r="O1481">
        <v>4.34</v>
      </c>
      <c r="P1481">
        <v>40000</v>
      </c>
      <c r="Q1481" t="inlineStr">
        <is>
          <t>67cc2319e15c9100010feda7</t>
        </is>
      </c>
      <c r="R1481"/>
      <c r="S1481" t="inlineStr">
        <is>
          <t>AI</t>
        </is>
      </c>
      <c r="T1481" t="inlineStr">
        <is>
          <t>1.28</t>
        </is>
      </c>
      <c r="U1481" s="3">
        <v>46112.78107638889</v>
      </c>
      <c r="V1481" t="inlineStr">
        <is>
          <t>虚拟产品</t>
        </is>
      </c>
      <c r="W1481" s="3">
        <v>46048</v>
      </c>
      <c r="X1481" t="inlineStr">
        <is>
          <t>01</t>
        </is>
      </c>
      <c r="Y1481" t="inlineStr">
        <is>
          <t>2026-Q1</t>
        </is>
      </c>
    </row>
    <row r="1482" ht="38.25" customHeight="1">
      <c r="A1482" t="inlineStr">
        <is>
          <t>【正式仓 第1期】AI BJD 可对话 Awaken Doll &amp; Imomo 三分 第1代</t>
        </is>
      </c>
      <c r="B1482" t="inlineStr">
        <is>
          <t>recv9necDY0yq0.jpg</t>
        </is>
      </c>
      <c r="C1482" s="2" t="str">
        <f>=HYPERLINK("https://xhslink.com/m/7pF047leVUi", "https://xhslink.com/m/7pF047leVUi")</f>
        <v>https://xhslink.com/m/7pF047leVUi</v>
      </c>
      <c r="D1482"/>
      <c r="E1482">
        <v>261</v>
      </c>
      <c r="F1482">
        <v>180</v>
      </c>
      <c r="G1482"/>
      <c r="H1482"/>
      <c r="I1482">
        <v>200</v>
      </c>
      <c r="J1482"/>
      <c r="K1482" t="inlineStr">
        <is>
          <t>AI</t>
        </is>
      </c>
      <c r="L1482"/>
      <c r="M1482" t="inlineStr">
        <is>
          <t>Awaken Doll的店</t>
        </is>
      </c>
      <c r="N1482">
        <v>7532</v>
      </c>
      <c r="O1482">
        <v>4.44</v>
      </c>
      <c r="P1482">
        <v>313</v>
      </c>
      <c r="Q1482" t="inlineStr">
        <is>
          <t>693970e48b11d1000148a91d</t>
        </is>
      </c>
      <c r="R1482"/>
      <c r="S1482" t="inlineStr">
        <is>
          <t>AI</t>
        </is>
      </c>
      <c r="T1482" t="inlineStr">
        <is>
          <t>0.03</t>
        </is>
      </c>
      <c r="U1482" s="3">
        <v>46112.78107638889</v>
      </c>
      <c r="V1482" t="inlineStr">
        <is>
          <t>虚拟产品</t>
        </is>
      </c>
      <c r="W1482" s="3">
        <v>46048</v>
      </c>
      <c r="X1482" t="inlineStr">
        <is>
          <t>01</t>
        </is>
      </c>
      <c r="Y1482" t="inlineStr">
        <is>
          <t>2026-Q1</t>
        </is>
      </c>
    </row>
    <row r="1483" ht="38.25" customHeight="1">
      <c r="A1483" t="inlineStr">
        <is>
          <t>公务员考试历年真题套卷</t>
        </is>
      </c>
      <c r="B1483" t="inlineStr">
        <is>
          <t>recv9necDY7GDN.jpg</t>
        </is>
      </c>
      <c r="C1483" s="2" t="str">
        <f>=HYPERLINK("https://xhslink.com/m/72h5gVSTcQ6", "https://xhslink.com/m/72h5gVSTcQ6")</f>
        <v>https://xhslink.com/m/72h5gVSTcQ6</v>
      </c>
      <c r="D1483"/>
      <c r="E1483">
        <v>5056</v>
      </c>
      <c r="F1483">
        <v>20</v>
      </c>
      <c r="G1483"/>
      <c r="H1483"/>
      <c r="I1483">
        <v>2000</v>
      </c>
      <c r="J1483"/>
      <c r="K1483" t="inlineStr">
        <is>
          <t>省考</t>
        </is>
      </c>
      <c r="L1483" t="inlineStr">
        <is>
          <t>🔥低粉爆款</t>
        </is>
      </c>
      <c r="M1483" t="inlineStr">
        <is>
          <t>木木的书堂的店</t>
        </is>
      </c>
      <c r="N1483">
        <v>116</v>
      </c>
      <c r="O1483">
        <v>4.52</v>
      </c>
      <c r="P1483">
        <v>7820</v>
      </c>
      <c r="Q1483" t="inlineStr">
        <is>
          <t>68b13b380991b40001cd22a4</t>
        </is>
      </c>
      <c r="R1483" t="inlineStr">
        <is>
          <t>🚫重复</t>
        </is>
      </c>
      <c r="S1483" t="inlineStr">
        <is>
          <t>考公资料</t>
        </is>
      </c>
      <c r="T1483" t="inlineStr">
        <is>
          <t>43.59</t>
        </is>
      </c>
      <c r="U1483" s="3">
        <v>46112.78107638889</v>
      </c>
      <c r="V1483" t="inlineStr">
        <is>
          <t>虚拟产品</t>
        </is>
      </c>
      <c r="W1483" s="3">
        <v>46048</v>
      </c>
      <c r="X1483" t="inlineStr">
        <is>
          <t>01</t>
        </is>
      </c>
      <c r="Y1483" t="inlineStr">
        <is>
          <t>2026-Q1</t>
        </is>
      </c>
    </row>
    <row r="1484" ht="38.25" customHeight="1">
      <c r="A1484" t="inlineStr">
        <is>
          <t>袁东2026省考申论领跑营理论刷题班</t>
        </is>
      </c>
      <c r="B1484" t="inlineStr">
        <is>
          <t>recv9necDY0ms6.jpg</t>
        </is>
      </c>
      <c r="C1484" s="2" t="str">
        <f>=HYPERLINK("https://xhslink.com/m/3S6bzHnV28P", "https://xhslink.com/m/3S6bzHnV28P")</f>
        <v>https://xhslink.com/m/3S6bzHnV28P</v>
      </c>
      <c r="D1484"/>
      <c r="E1484">
        <v>979</v>
      </c>
      <c r="F1484">
        <v>89</v>
      </c>
      <c r="G1484"/>
      <c r="H1484"/>
      <c r="I1484">
        <v>900</v>
      </c>
      <c r="J1484"/>
      <c r="K1484" t="inlineStr">
        <is>
          <t>省考</t>
        </is>
      </c>
      <c r="L1484"/>
      <c r="M1484" t="inlineStr">
        <is>
          <t>A初心公考的店</t>
        </is>
      </c>
      <c r="N1484">
        <v>5214</v>
      </c>
      <c r="O1484">
        <v>4.48</v>
      </c>
      <c r="P1484">
        <v>11000</v>
      </c>
      <c r="Q1484" t="inlineStr">
        <is>
          <t>69395d66266b9500010a2bec</t>
        </is>
      </c>
      <c r="R1484" t="inlineStr">
        <is>
          <t>🚫重复</t>
        </is>
      </c>
      <c r="S1484" t="inlineStr">
        <is>
          <t>考公资料</t>
        </is>
      </c>
      <c r="T1484" t="inlineStr">
        <is>
          <t>0.19</t>
        </is>
      </c>
      <c r="U1484" s="3">
        <v>46112.78107638889</v>
      </c>
      <c r="V1484" t="inlineStr">
        <is>
          <t>虚拟产品</t>
        </is>
      </c>
      <c r="W1484" s="3">
        <v>46048</v>
      </c>
      <c r="X1484" t="inlineStr">
        <is>
          <t>01</t>
        </is>
      </c>
      <c r="Y1484" t="inlineStr">
        <is>
          <t>2026-Q1</t>
        </is>
      </c>
    </row>
    <row r="1485" ht="38.25" customHeight="1">
      <c r="A1485" t="inlineStr">
        <is>
          <t>2026省考政治理论&amp;常识判断全家桶</t>
        </is>
      </c>
      <c r="B1485" t="inlineStr">
        <is>
          <t>recv9necDYLG4k.jpg</t>
        </is>
      </c>
      <c r="C1485" s="2" t="str">
        <f>=HYPERLINK("https://xhslink.com/m/4gCSZZITqiY", "https://xhslink.com/m/4gCSZZITqiY")</f>
        <v>https://xhslink.com/m/4gCSZZITqiY</v>
      </c>
      <c r="D1485"/>
      <c r="E1485">
        <v>521</v>
      </c>
      <c r="F1485">
        <v>199</v>
      </c>
      <c r="G1485"/>
      <c r="H1485"/>
      <c r="I1485">
        <v>400</v>
      </c>
      <c r="J1485"/>
      <c r="K1485" t="inlineStr">
        <is>
          <t>省考</t>
        </is>
      </c>
      <c r="L1485"/>
      <c r="M1485" t="inlineStr">
        <is>
          <t>上岸村全家桶的店</t>
        </is>
      </c>
      <c r="N1485">
        <v>1436</v>
      </c>
      <c r="O1485">
        <v>4.57</v>
      </c>
      <c r="P1485">
        <v>2310</v>
      </c>
      <c r="Q1485" t="inlineStr">
        <is>
          <t>692d5ffeb644e40001c83c83</t>
        </is>
      </c>
      <c r="R1485"/>
      <c r="S1485" t="inlineStr">
        <is>
          <t>考公资料</t>
        </is>
      </c>
      <c r="T1485" t="inlineStr">
        <is>
          <t>0.36</t>
        </is>
      </c>
      <c r="U1485" s="3">
        <v>46112.78107638889</v>
      </c>
      <c r="V1485" t="inlineStr">
        <is>
          <t>虚拟产品</t>
        </is>
      </c>
      <c r="W1485" s="3">
        <v>46048</v>
      </c>
      <c r="X1485" t="inlineStr">
        <is>
          <t>01</t>
        </is>
      </c>
      <c r="Y1485" t="inlineStr">
        <is>
          <t>2026-Q1</t>
        </is>
      </c>
    </row>
    <row r="1486" ht="38.25" customHeight="1">
      <c r="A1486" t="inlineStr">
        <is>
          <t>2026江苏本土化面试申论素材精选省考&amp;选调&amp;事业单位适用（电子版</t>
        </is>
      </c>
      <c r="B1486" t="inlineStr">
        <is>
          <t>recv9necDYRNcZ.jpg</t>
        </is>
      </c>
      <c r="C1486" s="2" t="str">
        <f>=HYPERLINK("https://xhslink.com/m/AyXV2p5MJCU", "https://xhslink.com/m/AyXV2p5MJCU")</f>
        <v>https://xhslink.com/m/AyXV2p5MJCU</v>
      </c>
      <c r="D1486"/>
      <c r="E1486">
        <v>467</v>
      </c>
      <c r="F1486">
        <v>29.9</v>
      </c>
      <c r="G1486"/>
      <c r="H1486"/>
      <c r="I1486">
        <v>400</v>
      </c>
      <c r="J1486"/>
      <c r="K1486" t="inlineStr">
        <is>
          <t>省考</t>
        </is>
      </c>
      <c r="L1486"/>
      <c r="M1486" t="inlineStr">
        <is>
          <t>九品小吏的店</t>
        </is>
      </c>
      <c r="N1486">
        <v>8222</v>
      </c>
      <c r="O1486">
        <v>4.35</v>
      </c>
      <c r="P1486">
        <v>6709</v>
      </c>
      <c r="Q1486" t="inlineStr">
        <is>
          <t>68f65334e0f3b20001b1c89f</t>
        </is>
      </c>
      <c r="R1486" t="inlineStr">
        <is>
          <t>🚫重复</t>
        </is>
      </c>
      <c r="S1486" t="inlineStr">
        <is>
          <t>考公资料</t>
        </is>
      </c>
      <c r="T1486" t="inlineStr">
        <is>
          <t>0.06</t>
        </is>
      </c>
      <c r="U1486" s="3">
        <v>46112.78107638889</v>
      </c>
      <c r="V1486" t="inlineStr">
        <is>
          <t>虚拟产品</t>
        </is>
      </c>
      <c r="W1486" s="3">
        <v>46048</v>
      </c>
      <c r="X1486" t="inlineStr">
        <is>
          <t>01</t>
        </is>
      </c>
      <c r="Y1486" t="inlineStr">
        <is>
          <t>2026-Q1</t>
        </is>
      </c>
    </row>
    <row r="1487" ht="38.25" customHeight="1">
      <c r="A1487" t="inlineStr">
        <is>
          <t>政治理论押题丨2026公务员省考事业编政治理论冲刺时政押题350题</t>
        </is>
      </c>
      <c r="B1487" t="inlineStr">
        <is>
          <t>recv9necDYcfvF.jpg</t>
        </is>
      </c>
      <c r="C1487" s="2" t="str">
        <f>=HYPERLINK("https://xhslink.com/m/9BBhLwMQzfO", "https://xhslink.com/m/9BBhLwMQzfO")</f>
        <v>https://xhslink.com/m/9BBhLwMQzfO</v>
      </c>
      <c r="D1487"/>
      <c r="E1487">
        <v>336</v>
      </c>
      <c r="F1487">
        <v>98</v>
      </c>
      <c r="G1487"/>
      <c r="H1487"/>
      <c r="I1487">
        <v>300</v>
      </c>
      <c r="J1487"/>
      <c r="K1487" t="inlineStr">
        <is>
          <t>省考</t>
        </is>
      </c>
      <c r="L1487"/>
      <c r="M1487" t="inlineStr">
        <is>
          <t>树果SHU的店</t>
        </is>
      </c>
      <c r="N1487">
        <v>6493</v>
      </c>
      <c r="O1487">
        <v>4.78</v>
      </c>
      <c r="P1487">
        <v>8327</v>
      </c>
      <c r="Q1487" t="inlineStr">
        <is>
          <t>6932ab603753f70001733cab</t>
        </is>
      </c>
      <c r="R1487"/>
      <c r="S1487" t="inlineStr">
        <is>
          <t>考公资料</t>
        </is>
      </c>
      <c r="T1487" t="inlineStr">
        <is>
          <t>0.05</t>
        </is>
      </c>
      <c r="U1487" s="3">
        <v>46112.78107638889</v>
      </c>
      <c r="V1487" t="inlineStr">
        <is>
          <t>虚拟产品</t>
        </is>
      </c>
      <c r="W1487" s="3">
        <v>46048</v>
      </c>
      <c r="X1487" t="inlineStr">
        <is>
          <t>01</t>
        </is>
      </c>
      <c r="Y1487" t="inlineStr">
        <is>
          <t>2026-Q1</t>
        </is>
      </c>
    </row>
    <row r="1488" ht="38.25" customHeight="1">
      <c r="A1488" t="inlineStr">
        <is>
          <t>白寒面试系统课（公考/事业单位）</t>
        </is>
      </c>
      <c r="B1488" t="inlineStr">
        <is>
          <t>recv9necDY3sLb.jpg</t>
        </is>
      </c>
      <c r="C1488" s="2" t="str">
        <f>=HYPERLINK("https://xhslink.com/m/9CfqJriTOC0", "https://xhslink.com/m/9CfqJriTOC0")</f>
        <v>https://xhslink.com/m/9CfqJriTOC0</v>
      </c>
      <c r="D1488"/>
      <c r="E1488">
        <v>325</v>
      </c>
      <c r="F1488">
        <v>498</v>
      </c>
      <c r="G1488"/>
      <c r="H1488"/>
      <c r="I1488">
        <v>300</v>
      </c>
      <c r="J1488"/>
      <c r="K1488" t="inlineStr">
        <is>
          <t>省考</t>
        </is>
      </c>
      <c r="L1488"/>
      <c r="M1488" t="inlineStr">
        <is>
          <t>0.o白老师好大儿的店</t>
        </is>
      </c>
      <c r="N1488">
        <v>1889</v>
      </c>
      <c r="O1488">
        <v>4.14</v>
      </c>
      <c r="P1488">
        <v>331</v>
      </c>
      <c r="Q1488" t="inlineStr">
        <is>
          <t>6961243b2c7c420001a5d100</t>
        </is>
      </c>
      <c r="R1488"/>
      <c r="S1488" t="inlineStr">
        <is>
          <t>考公资料</t>
        </is>
      </c>
      <c r="T1488" t="inlineStr">
        <is>
          <t>0.17</t>
        </is>
      </c>
      <c r="U1488" s="3">
        <v>46112.78107638889</v>
      </c>
      <c r="V1488" t="inlineStr">
        <is>
          <t>虚拟产品</t>
        </is>
      </c>
      <c r="W1488" s="3">
        <v>46048</v>
      </c>
      <c r="X1488" t="inlineStr">
        <is>
          <t>01</t>
        </is>
      </c>
      <c r="Y1488" t="inlineStr">
        <is>
          <t>2026-Q1</t>
        </is>
      </c>
    </row>
    <row r="1489" ht="38.25" customHeight="1">
      <c r="A1489" t="inlineStr">
        <is>
          <t>【2025年春】二下语文大单元任务群合集</t>
        </is>
      </c>
      <c r="B1489" t="inlineStr">
        <is>
          <t>recv9necDYxnIN.jpg</t>
        </is>
      </c>
      <c r="C1489" s="2" t="str">
        <f>=HYPERLINK("https://xhslink.com/m/45qe5MMFRPG", "https://xhslink.com/m/45qe5MMFRPG")</f>
        <v>https://xhslink.com/m/45qe5MMFRPG</v>
      </c>
      <c r="D1489"/>
      <c r="E1489">
        <v>8068</v>
      </c>
      <c r="F1489">
        <v>350</v>
      </c>
      <c r="G1489"/>
      <c r="H1489"/>
      <c r="I1489">
        <v>300</v>
      </c>
      <c r="J1489"/>
      <c r="K1489" t="inlineStr">
        <is>
          <t>小学资料</t>
        </is>
      </c>
      <c r="L1489"/>
      <c r="M1489" t="inlineStr">
        <is>
          <t>C加教育咨询的店</t>
        </is>
      </c>
      <c r="N1489">
        <v>29000</v>
      </c>
      <c r="O1489">
        <v>4.28</v>
      </c>
      <c r="P1489">
        <v>86000</v>
      </c>
      <c r="Q1489" t="inlineStr">
        <is>
          <t>6846614ef89aa50001100d31</t>
        </is>
      </c>
      <c r="R1489" t="inlineStr">
        <is>
          <t>🚫重复</t>
        </is>
      </c>
      <c r="S1489" t="inlineStr">
        <is>
          <t>中小学教辅/教材</t>
        </is>
      </c>
      <c r="T1489" t="inlineStr">
        <is>
          <t>0.28</t>
        </is>
      </c>
      <c r="U1489" s="3">
        <v>46112.78107638889</v>
      </c>
      <c r="V1489" t="inlineStr">
        <is>
          <t>虚拟产品</t>
        </is>
      </c>
      <c r="W1489" s="3">
        <v>46048</v>
      </c>
      <c r="X1489" t="inlineStr">
        <is>
          <t>01</t>
        </is>
      </c>
      <c r="Y1489" t="inlineStr">
        <is>
          <t>2026-Q1</t>
        </is>
      </c>
    </row>
    <row r="1490" ht="38.25" customHeight="1">
      <c r="A1490" t="inlineStr">
        <is>
          <t>考试宝典 · 1-6年级上下册各科单元卷，其中一套素养卷40元word免费分享</t>
        </is>
      </c>
      <c r="B1490" t="inlineStr">
        <is>
          <t>recv9necDYCX4O.jpg</t>
        </is>
      </c>
      <c r="C1490" s="2" t="str">
        <f>=HYPERLINK("https://xhslink.com/m/7wM2JFgFwI9", "https://xhslink.com/m/7wM2JFgFwI9")</f>
        <v>https://xhslink.com/m/7wM2JFgFwI9</v>
      </c>
      <c r="D1490"/>
      <c r="E1490">
        <v>5387</v>
      </c>
      <c r="F1490">
        <v>88</v>
      </c>
      <c r="G1490"/>
      <c r="H1490"/>
      <c r="I1490">
        <v>500</v>
      </c>
      <c r="J1490"/>
      <c r="K1490" t="inlineStr">
        <is>
          <t>小学资料</t>
        </is>
      </c>
      <c r="L1490"/>
      <c r="M1490" t="inlineStr">
        <is>
          <t>温州老教师（1到9年级全）的店</t>
        </is>
      </c>
      <c r="N1490">
        <v>10000</v>
      </c>
      <c r="O1490">
        <v>4.32</v>
      </c>
      <c r="P1490">
        <v>14000</v>
      </c>
      <c r="Q1490" t="inlineStr">
        <is>
          <t>68f74efde3794300015766a4</t>
        </is>
      </c>
      <c r="R1490" t="inlineStr">
        <is>
          <t>🚫重复</t>
        </is>
      </c>
      <c r="S1490" t="inlineStr">
        <is>
          <t>中小学教辅/教材</t>
        </is>
      </c>
      <c r="T1490" t="inlineStr">
        <is>
          <t>0.54</t>
        </is>
      </c>
      <c r="U1490" s="3">
        <v>46112.78107638889</v>
      </c>
      <c r="V1490" t="inlineStr">
        <is>
          <t>虚拟产品</t>
        </is>
      </c>
      <c r="W1490" s="3">
        <v>46048</v>
      </c>
      <c r="X1490" t="inlineStr">
        <is>
          <t>01</t>
        </is>
      </c>
      <c r="Y1490" t="inlineStr">
        <is>
          <t>2026-Q1</t>
        </is>
      </c>
    </row>
    <row r="1491" ht="38.25" customHeight="1">
      <c r="A1491" t="inlineStr">
        <is>
          <t>人教版小学数学课件ppt教案一二三四五六年级上册下册试卷公开课</t>
        </is>
      </c>
      <c r="B1491" t="inlineStr">
        <is>
          <t>recv9necDYOPdA.jpg</t>
        </is>
      </c>
      <c r="C1491" s="2" t="str">
        <f>=HYPERLINK("https://xhslink.com/m/8tImgShkSUI", "https://xhslink.com/m/8tImgShkSUI")</f>
        <v>https://xhslink.com/m/8tImgShkSUI</v>
      </c>
      <c r="D1491"/>
      <c r="E1491">
        <v>5514</v>
      </c>
      <c r="F1491">
        <v>98.8</v>
      </c>
      <c r="G1491"/>
      <c r="H1491"/>
      <c r="I1491">
        <v>300</v>
      </c>
      <c r="J1491"/>
      <c r="K1491" t="inlineStr">
        <is>
          <t>小学资料</t>
        </is>
      </c>
      <c r="L1491" t="inlineStr">
        <is>
          <t>🔥低粉爆款</t>
        </is>
      </c>
      <c r="M1491" t="inlineStr">
        <is>
          <t>玲玲老师教育的店</t>
        </is>
      </c>
      <c r="N1491">
        <v>1658</v>
      </c>
      <c r="O1491">
        <v>4.12</v>
      </c>
      <c r="P1491">
        <v>11000</v>
      </c>
      <c r="Q1491" t="inlineStr">
        <is>
          <t>683538d9e60e770001ba91a1</t>
        </is>
      </c>
      <c r="R1491" t="inlineStr">
        <is>
          <t>🚫重复</t>
        </is>
      </c>
      <c r="S1491" t="inlineStr">
        <is>
          <t>中小学教辅/教材</t>
        </is>
      </c>
      <c r="T1491" t="inlineStr">
        <is>
          <t>3.33</t>
        </is>
      </c>
      <c r="U1491" s="3">
        <v>46112.78107638889</v>
      </c>
      <c r="V1491" t="inlineStr">
        <is>
          <t>虚拟产品</t>
        </is>
      </c>
      <c r="W1491" s="3">
        <v>46048</v>
      </c>
      <c r="X1491" t="inlineStr">
        <is>
          <t>01</t>
        </is>
      </c>
      <c r="Y1491" t="inlineStr">
        <is>
          <t>2026-Q1</t>
        </is>
      </c>
    </row>
    <row r="1492" ht="38.25" customHeight="1">
      <c r="A1492" t="inlineStr">
        <is>
          <t>数学自主学习落地实操vip套装：建构孩子数学思维能力优势</t>
        </is>
      </c>
      <c r="B1492" t="inlineStr">
        <is>
          <t>recv9necDYnoBV.jpg</t>
        </is>
      </c>
      <c r="C1492" s="2" t="str">
        <f>=HYPERLINK("https://xhslink.com/m/7UvcppPb7Sy", "https://xhslink.com/m/7UvcppPb7Sy")</f>
        <v>https://xhslink.com/m/7UvcppPb7Sy</v>
      </c>
      <c r="D1492"/>
      <c r="E1492">
        <v>5096</v>
      </c>
      <c r="F1492">
        <v>148</v>
      </c>
      <c r="G1492"/>
      <c r="H1492"/>
      <c r="I1492">
        <v>300</v>
      </c>
      <c r="J1492"/>
      <c r="K1492" t="inlineStr">
        <is>
          <t>小学资料</t>
        </is>
      </c>
      <c r="L1492"/>
      <c r="M1492" t="inlineStr">
        <is>
          <t>数学玩家胡老师咨询的店</t>
        </is>
      </c>
      <c r="N1492">
        <v>164000</v>
      </c>
      <c r="O1492">
        <v>4.67</v>
      </c>
      <c r="P1492">
        <v>11000</v>
      </c>
      <c r="Q1492" t="inlineStr">
        <is>
          <t>66f82eb394a44c0001fc038e</t>
        </is>
      </c>
      <c r="R1492" t="inlineStr">
        <is>
          <t>🚫重复</t>
        </is>
      </c>
      <c r="S1492" t="inlineStr">
        <is>
          <t>中小学教辅/教材</t>
        </is>
      </c>
      <c r="T1492" t="inlineStr">
        <is>
          <t>0.03</t>
        </is>
      </c>
      <c r="U1492" s="3">
        <v>46112.78107638889</v>
      </c>
      <c r="V1492" t="inlineStr">
        <is>
          <t>虚拟产品</t>
        </is>
      </c>
      <c r="W1492" s="3">
        <v>46048</v>
      </c>
      <c r="X1492" t="inlineStr">
        <is>
          <t>01</t>
        </is>
      </c>
      <c r="Y1492" t="inlineStr">
        <is>
          <t>2026-Q1</t>
        </is>
      </c>
    </row>
    <row r="1493" ht="38.25" customHeight="1">
      <c r="A1493" t="inlineStr">
        <is>
          <t>电子版5年级上册英语人教版pep知识点总结加练习19页五上-125</t>
        </is>
      </c>
      <c r="B1493" t="inlineStr">
        <is>
          <t>recv9necDYhXly.jpg</t>
        </is>
      </c>
      <c r="C1493" s="2" t="str">
        <f>=HYPERLINK("https://xhslink.com/m/AhEw7n34VCz", "https://xhslink.com/m/AhEw7n34VCz")</f>
        <v>https://xhslink.com/m/AhEw7n34VCz</v>
      </c>
      <c r="D1493"/>
      <c r="E1493">
        <v>3265</v>
      </c>
      <c r="F1493">
        <v>9.9</v>
      </c>
      <c r="G1493"/>
      <c r="H1493"/>
      <c r="I1493">
        <v>2000</v>
      </c>
      <c r="J1493"/>
      <c r="K1493" t="inlineStr">
        <is>
          <t>小学资料</t>
        </is>
      </c>
      <c r="L1493"/>
      <c r="M1493" t="inlineStr">
        <is>
          <t>ViVi老师的店</t>
        </is>
      </c>
      <c r="N1493">
        <v>3932</v>
      </c>
      <c r="O1493">
        <v>4.42</v>
      </c>
      <c r="P1493">
        <v>19000</v>
      </c>
      <c r="Q1493" t="inlineStr">
        <is>
          <t>6866201915811b0001d305c6</t>
        </is>
      </c>
      <c r="R1493"/>
      <c r="S1493" t="inlineStr">
        <is>
          <t>中小学教辅/教材</t>
        </is>
      </c>
      <c r="T1493" t="inlineStr">
        <is>
          <t>0.83</t>
        </is>
      </c>
      <c r="U1493" s="3">
        <v>46112.78107638889</v>
      </c>
      <c r="V1493" t="inlineStr">
        <is>
          <t>虚拟产品</t>
        </is>
      </c>
      <c r="W1493" s="3">
        <v>46048</v>
      </c>
      <c r="X1493" t="inlineStr">
        <is>
          <t>01</t>
        </is>
      </c>
      <c r="Y1493" t="inlineStr">
        <is>
          <t>2026-Q1</t>
        </is>
      </c>
    </row>
    <row r="1494" ht="38.25" customHeight="1">
      <c r="A1494" t="inlineStr">
        <is>
          <t>小学英语PEP人教版新课标单元作业设计3-6年级 某一单元</t>
        </is>
      </c>
      <c r="B1494" t="inlineStr">
        <is>
          <t>recv9necDY95eC.jpg</t>
        </is>
      </c>
      <c r="C1494" s="2" t="str">
        <f>=HYPERLINK("https://xhslink.com/m/dupeWOgkKn", "https://xhslink.com/m/dupeWOgkKn")</f>
        <v>https://xhslink.com/m/dupeWOgkKn</v>
      </c>
      <c r="D1494"/>
      <c r="E1494">
        <v>2166</v>
      </c>
      <c r="F1494">
        <v>1288</v>
      </c>
      <c r="G1494"/>
      <c r="H1494"/>
      <c r="I1494">
        <v>200</v>
      </c>
      <c r="J1494"/>
      <c r="K1494" t="inlineStr">
        <is>
          <t>小学资料</t>
        </is>
      </c>
      <c r="L1494"/>
      <c r="M1494" t="inlineStr">
        <is>
          <t>实习餐包的店</t>
        </is>
      </c>
      <c r="N1494">
        <v>12000</v>
      </c>
      <c r="O1494">
        <v>4.31</v>
      </c>
      <c r="P1494">
        <v>5701</v>
      </c>
      <c r="Q1494" t="inlineStr">
        <is>
          <t>67c69624f2389c0001f844f0</t>
        </is>
      </c>
      <c r="R1494"/>
      <c r="S1494" t="inlineStr">
        <is>
          <t>中小学教辅/教材</t>
        </is>
      </c>
      <c r="T1494" t="inlineStr">
        <is>
          <t>0.18</t>
        </is>
      </c>
      <c r="U1494" s="3">
        <v>46112.78107638889</v>
      </c>
      <c r="V1494" t="inlineStr">
        <is>
          <t>虚拟产品</t>
        </is>
      </c>
      <c r="W1494" s="3">
        <v>46048</v>
      </c>
      <c r="X1494" t="inlineStr">
        <is>
          <t>01</t>
        </is>
      </c>
      <c r="Y1494" t="inlineStr">
        <is>
          <t>2026-Q1</t>
        </is>
      </c>
    </row>
    <row r="1495" ht="38.25" customHeight="1">
      <c r="A1495" t="inlineStr">
        <is>
          <t>【3-6年级单元期末冲刺100分】25秋季上册，到手3本。</t>
        </is>
      </c>
      <c r="B1495" t="inlineStr">
        <is>
          <t>recv9necDYIH98.jpg</t>
        </is>
      </c>
      <c r="C1495" s="2" t="str">
        <f>=HYPERLINK("https://xhslink.com/m/5Lr1MZU5XVA", "https://xhslink.com/m/5Lr1MZU5XVA")</f>
        <v>https://xhslink.com/m/5Lr1MZU5XVA</v>
      </c>
      <c r="D1495"/>
      <c r="E1495">
        <v>1844</v>
      </c>
      <c r="F1495">
        <v>80</v>
      </c>
      <c r="G1495"/>
      <c r="H1495"/>
      <c r="I1495">
        <v>1000</v>
      </c>
      <c r="J1495"/>
      <c r="K1495" t="inlineStr">
        <is>
          <t>小学资料</t>
        </is>
      </c>
      <c r="L1495" t="inlineStr">
        <is>
          <t>🔥低粉爆款</t>
        </is>
      </c>
      <c r="M1495" t="inlineStr">
        <is>
          <t>萌翔图书的店</t>
        </is>
      </c>
      <c r="N1495">
        <v>93</v>
      </c>
      <c r="O1495">
        <v>4.5</v>
      </c>
      <c r="P1495">
        <v>4761</v>
      </c>
      <c r="Q1495" t="inlineStr">
        <is>
          <t>6948ed26b1e666000146885a</t>
        </is>
      </c>
      <c r="R1495"/>
      <c r="S1495" t="inlineStr">
        <is>
          <t>中小学教辅/教材</t>
        </is>
      </c>
      <c r="T1495" t="inlineStr">
        <is>
          <t>19.83</t>
        </is>
      </c>
      <c r="U1495" s="3">
        <v>46112.78107638889</v>
      </c>
      <c r="V1495" t="inlineStr">
        <is>
          <t>虚拟产品</t>
        </is>
      </c>
      <c r="W1495" s="3">
        <v>46048</v>
      </c>
      <c r="X1495" t="inlineStr">
        <is>
          <t>01</t>
        </is>
      </c>
      <c r="Y1495" t="inlineStr">
        <is>
          <t>2026-Q1</t>
        </is>
      </c>
    </row>
    <row r="1496" ht="38.25" customHeight="1">
      <c r="A1496" t="inlineStr">
        <is>
          <t>ssp上海学生英文报2026分类话题训练寒假合刊小学初高中寒假作业</t>
        </is>
      </c>
      <c r="B1496" t="inlineStr">
        <is>
          <t>recv9necDYT5oz.jpg</t>
        </is>
      </c>
      <c r="C1496" s="2" t="str">
        <f>=HYPERLINK("https://xhslink.com/m/ymvlGGJlRb", "https://xhslink.com/m/ymvlGGJlRb")</f>
        <v>https://xhslink.com/m/ymvlGGJlRb</v>
      </c>
      <c r="D1496"/>
      <c r="E1496">
        <v>1814</v>
      </c>
      <c r="F1496">
        <v>169</v>
      </c>
      <c r="G1496"/>
      <c r="H1496"/>
      <c r="I1496">
        <v>1000</v>
      </c>
      <c r="J1496"/>
      <c r="K1496" t="inlineStr">
        <is>
          <t>小学资料</t>
        </is>
      </c>
      <c r="L1496"/>
      <c r="M1496" t="inlineStr">
        <is>
          <t>慈怀书店的店</t>
        </is>
      </c>
      <c r="N1496">
        <v>5799</v>
      </c>
      <c r="O1496">
        <v>4.79</v>
      </c>
      <c r="P1496">
        <v>26000</v>
      </c>
      <c r="Q1496" t="inlineStr">
        <is>
          <t>6948f843b1e6660001482658</t>
        </is>
      </c>
      <c r="R1496" t="inlineStr">
        <is>
          <t>🚫重复</t>
        </is>
      </c>
      <c r="S1496" t="inlineStr">
        <is>
          <t>中小学教辅/教材</t>
        </is>
      </c>
      <c r="T1496" t="inlineStr">
        <is>
          <t>0.31</t>
        </is>
      </c>
      <c r="U1496" s="3">
        <v>46112.78107638889</v>
      </c>
      <c r="V1496" t="inlineStr">
        <is>
          <t>虚拟产品</t>
        </is>
      </c>
      <c r="W1496" s="3">
        <v>46048</v>
      </c>
      <c r="X1496" t="inlineStr">
        <is>
          <t>01</t>
        </is>
      </c>
      <c r="Y1496" t="inlineStr">
        <is>
          <t>2026-Q1</t>
        </is>
      </c>
    </row>
    <row r="1497" ht="38.25" customHeight="1">
      <c r="A1497" t="inlineStr">
        <is>
          <t>小学科学三四五六年级知识点|教科版上下册全</t>
        </is>
      </c>
      <c r="B1497" t="inlineStr">
        <is>
          <t>recv9necDYAq2M.jpg</t>
        </is>
      </c>
      <c r="C1497" s="2" t="str">
        <f>=HYPERLINK("https://xhslink.com/m/9l0qTWhTYzZ", "https://xhslink.com/m/9l0qTWhTYzZ")</f>
        <v>https://xhslink.com/m/9l0qTWhTYzZ</v>
      </c>
      <c r="D1497"/>
      <c r="E1497">
        <v>1634</v>
      </c>
      <c r="F1497">
        <v>99</v>
      </c>
      <c r="G1497"/>
      <c r="H1497"/>
      <c r="I1497">
        <v>700</v>
      </c>
      <c r="J1497"/>
      <c r="K1497" t="inlineStr">
        <is>
          <t>小学资料</t>
        </is>
      </c>
      <c r="L1497"/>
      <c r="M1497" t="inlineStr">
        <is>
          <t>小学科学W老师的店</t>
        </is>
      </c>
      <c r="N1497">
        <v>5264</v>
      </c>
      <c r="O1497">
        <v>4.37</v>
      </c>
      <c r="P1497">
        <v>11000</v>
      </c>
      <c r="Q1497" t="inlineStr">
        <is>
          <t>67b353abc3cf0a0001bb70b1</t>
        </is>
      </c>
      <c r="R1497" t="inlineStr">
        <is>
          <t>🚫重复</t>
        </is>
      </c>
      <c r="S1497" t="inlineStr">
        <is>
          <t>中小学教辅/教材</t>
        </is>
      </c>
      <c r="T1497" t="inlineStr">
        <is>
          <t>0.31</t>
        </is>
      </c>
      <c r="U1497" s="3">
        <v>46112.78107638889</v>
      </c>
      <c r="V1497" t="inlineStr">
        <is>
          <t>虚拟产品</t>
        </is>
      </c>
      <c r="W1497" s="3">
        <v>46048</v>
      </c>
      <c r="X1497" t="inlineStr">
        <is>
          <t>01</t>
        </is>
      </c>
      <c r="Y1497" t="inlineStr">
        <is>
          <t>2026-Q1</t>
        </is>
      </c>
    </row>
    <row r="1498" ht="38.25" customHeight="1">
      <c r="A1498" t="inlineStr">
        <is>
          <t>每天做五题英语【含视频讲解】</t>
        </is>
      </c>
      <c r="B1498" t="inlineStr">
        <is>
          <t>recv9necDYPjbZ.jpg</t>
        </is>
      </c>
      <c r="C1498" s="2" t="str">
        <f>=HYPERLINK("https://xhslink.com/m/24xSeVqF8CY", "https://xhslink.com/m/24xSeVqF8CY")</f>
        <v>https://xhslink.com/m/24xSeVqF8CY</v>
      </c>
      <c r="D1498"/>
      <c r="E1498">
        <v>1240</v>
      </c>
      <c r="F1498">
        <v>99.9</v>
      </c>
      <c r="G1498"/>
      <c r="H1498"/>
      <c r="I1498">
        <v>300</v>
      </c>
      <c r="J1498"/>
      <c r="K1498" t="inlineStr">
        <is>
          <t>小学资料</t>
        </is>
      </c>
      <c r="L1498"/>
      <c r="M1498" t="inlineStr">
        <is>
          <t>英语树叶老师的店</t>
        </is>
      </c>
      <c r="N1498">
        <v>51000</v>
      </c>
      <c r="O1498">
        <v>4.68</v>
      </c>
      <c r="P1498">
        <v>1287</v>
      </c>
      <c r="Q1498" t="inlineStr">
        <is>
          <t>6900c64f3f37a90001257c4a</t>
        </is>
      </c>
      <c r="R1498" t="inlineStr">
        <is>
          <t>🚫重复</t>
        </is>
      </c>
      <c r="S1498" t="inlineStr">
        <is>
          <t>英语资料</t>
        </is>
      </c>
      <c r="T1498" t="inlineStr">
        <is>
          <t>0.02</t>
        </is>
      </c>
      <c r="U1498" s="3">
        <v>46112.78107638889</v>
      </c>
      <c r="V1498" t="inlineStr">
        <is>
          <t>虚拟产品</t>
        </is>
      </c>
      <c r="W1498" s="3">
        <v>46048</v>
      </c>
      <c r="X1498" t="inlineStr">
        <is>
          <t>01</t>
        </is>
      </c>
      <c r="Y1498" t="inlineStr">
        <is>
          <t>2026-Q1</t>
        </is>
      </c>
    </row>
    <row r="1499" ht="38.25" customHeight="1">
      <c r="A1499" t="inlineStr">
        <is>
          <t>DOU DOU SHU WU · 2026初中速用答题模板道法地生物化语数英7-9年级通用小豆同学</t>
        </is>
      </c>
      <c r="B1499" t="inlineStr">
        <is>
          <t>recv9necDYTOU0.jpg</t>
        </is>
      </c>
      <c r="C1499" s="2" t="str">
        <f>=HYPERLINK("https://xhslink.com/m/6KsV5B7HaGQ", "https://xhslink.com/m/6KsV5B7HaGQ")</f>
        <v>https://xhslink.com/m/6KsV5B7HaGQ</v>
      </c>
      <c r="D1499"/>
      <c r="E1499">
        <v>1236</v>
      </c>
      <c r="F1499">
        <v>179.8</v>
      </c>
      <c r="G1499"/>
      <c r="H1499"/>
      <c r="I1499">
        <v>200</v>
      </c>
      <c r="J1499"/>
      <c r="K1499" t="inlineStr">
        <is>
          <t>小学资料</t>
        </is>
      </c>
      <c r="L1499"/>
      <c r="M1499" t="inlineStr">
        <is>
          <t>豆豆书屋图书旗舰店</t>
        </is>
      </c>
      <c r="N1499">
        <v>5672</v>
      </c>
      <c r="O1499">
        <v>4.78</v>
      </c>
      <c r="P1499">
        <v>16000</v>
      </c>
      <c r="Q1499" t="inlineStr">
        <is>
          <t>68eca375e0f3b20001338d53</t>
        </is>
      </c>
      <c r="R1499" t="inlineStr">
        <is>
          <t>🚫重复</t>
        </is>
      </c>
      <c r="S1499" t="inlineStr">
        <is>
          <t>中小学教辅/教材</t>
        </is>
      </c>
      <c r="T1499" t="inlineStr">
        <is>
          <t>0.22</t>
        </is>
      </c>
      <c r="U1499" s="3">
        <v>46112.78107638889</v>
      </c>
      <c r="V1499" t="inlineStr">
        <is>
          <t>虚拟产品</t>
        </is>
      </c>
      <c r="W1499" s="3">
        <v>46048</v>
      </c>
      <c r="X1499" t="inlineStr">
        <is>
          <t>01</t>
        </is>
      </c>
      <c r="Y1499" t="inlineStr">
        <is>
          <t>2026-Q1</t>
        </is>
      </c>
    </row>
    <row r="1500" ht="38.25" customHeight="1">
      <c r="A1500" t="inlineStr">
        <is>
          <t>小书洞 · 【三年级以上】上下五千年新时代版系列（含最新近代史）</t>
        </is>
      </c>
      <c r="B1500" t="inlineStr">
        <is>
          <t>recv9necDYn1PN.jpg</t>
        </is>
      </c>
      <c r="C1500" s="2" t="str">
        <f>=HYPERLINK("https://xhslink.com/m/1EgQwOlYt5Q", "https://xhslink.com/m/1EgQwOlYt5Q")</f>
        <v>https://xhslink.com/m/1EgQwOlYt5Q</v>
      </c>
      <c r="D1500"/>
      <c r="E1500">
        <v>1165</v>
      </c>
      <c r="F1500">
        <v>198</v>
      </c>
      <c r="G1500"/>
      <c r="H1500"/>
      <c r="I1500">
        <v>1000</v>
      </c>
      <c r="J1500"/>
      <c r="K1500" t="inlineStr">
        <is>
          <t>小学资料</t>
        </is>
      </c>
      <c r="L1500"/>
      <c r="M1500" t="inlineStr">
        <is>
          <t>小书洞旗舰店</t>
        </is>
      </c>
      <c r="N1500">
        <v>4658</v>
      </c>
      <c r="O1500">
        <v>4.61</v>
      </c>
      <c r="P1500">
        <v>324000</v>
      </c>
      <c r="Q1500" t="inlineStr">
        <is>
          <t>692d8e96ccb9e000013a68a8</t>
        </is>
      </c>
      <c r="R1500" t="inlineStr">
        <is>
          <t>🚫重复</t>
        </is>
      </c>
      <c r="S1500" t="inlineStr">
        <is>
          <t>中小学教辅/教材</t>
        </is>
      </c>
      <c r="T1500" t="inlineStr">
        <is>
          <t>0.25</t>
        </is>
      </c>
      <c r="U1500" s="3">
        <v>46112.78107638889</v>
      </c>
      <c r="V1500" t="inlineStr">
        <is>
          <t>虚拟产品</t>
        </is>
      </c>
      <c r="W1500" s="3">
        <v>46048</v>
      </c>
      <c r="X1500" t="inlineStr">
        <is>
          <t>01</t>
        </is>
      </c>
      <c r="Y1500" t="inlineStr">
        <is>
          <t>2026-Q1</t>
        </is>
      </c>
    </row>
    <row r="1501" ht="38.25" customHeight="1">
      <c r="A1501" t="inlineStr">
        <is>
          <t>【雪梨老师】小学英语一站通（五合一+宝典）全搞定+1年APP</t>
        </is>
      </c>
      <c r="B1501" t="inlineStr">
        <is>
          <t>recv9necDYjtwb.jpg</t>
        </is>
      </c>
      <c r="C1501" s="2" t="str">
        <f>=HYPERLINK("https://xhslink.com/m/5Ykez9b0fSn", "https://xhslink.com/m/5Ykez9b0fSn")</f>
        <v>https://xhslink.com/m/5Ykez9b0fSn</v>
      </c>
      <c r="D1501"/>
      <c r="E1501">
        <v>1077</v>
      </c>
      <c r="F1501">
        <v>598</v>
      </c>
      <c r="G1501"/>
      <c r="H1501"/>
      <c r="I1501">
        <v>700</v>
      </c>
      <c r="J1501"/>
      <c r="K1501" t="inlineStr">
        <is>
          <t>小学资料</t>
        </is>
      </c>
      <c r="L1501"/>
      <c r="M1501" t="inlineStr">
        <is>
          <t>雪梨老师的店</t>
        </is>
      </c>
      <c r="N1501">
        <v>866000</v>
      </c>
      <c r="O1501">
        <v>4.48</v>
      </c>
      <c r="P1501">
        <v>200000</v>
      </c>
      <c r="Q1501" t="inlineStr">
        <is>
          <t>68c8c10f39f90c0001fcbc55</t>
        </is>
      </c>
      <c r="R1501" t="inlineStr">
        <is>
          <t>🚫重复</t>
        </is>
      </c>
      <c r="S1501" t="inlineStr">
        <is>
          <t>中小学教辅/教材</t>
        </is>
      </c>
      <c r="T1501" t="inlineStr">
        <is>
          <t>0.00</t>
        </is>
      </c>
      <c r="U1501" s="3">
        <v>46112.78107638889</v>
      </c>
      <c r="V1501" t="inlineStr">
        <is>
          <t>虚拟产品</t>
        </is>
      </c>
      <c r="W1501" s="3">
        <v>46048</v>
      </c>
      <c r="X1501" t="inlineStr">
        <is>
          <t>01</t>
        </is>
      </c>
      <c r="Y1501" t="inlineStr">
        <is>
          <t>2026-Q1</t>
        </is>
      </c>
    </row>
    <row r="1502" ht="38.25" customHeight="1">
      <c r="A1502" t="inlineStr">
        <is>
          <t>2025小学数学全专题知识点扫盲名师总结全知识点 一到六年级</t>
        </is>
      </c>
      <c r="B1502" t="inlineStr">
        <is>
          <t>recv9necDYn8Y9.jpg</t>
        </is>
      </c>
      <c r="C1502" s="2" t="str">
        <f>=HYPERLINK("https://xhslink.com/m/2lEQ87ARooA", "https://xhslink.com/m/2lEQ87ARooA")</f>
        <v>https://xhslink.com/m/2lEQ87ARooA</v>
      </c>
      <c r="D1502"/>
      <c r="E1502">
        <v>900</v>
      </c>
      <c r="F1502">
        <v>4.7</v>
      </c>
      <c r="G1502"/>
      <c r="H1502"/>
      <c r="I1502">
        <v>500</v>
      </c>
      <c r="J1502"/>
      <c r="K1502" t="inlineStr">
        <is>
          <t>小学资料</t>
        </is>
      </c>
      <c r="L1502"/>
      <c r="M1502" t="inlineStr">
        <is>
          <t>Wish的店</t>
        </is>
      </c>
      <c r="N1502">
        <v>1888</v>
      </c>
      <c r="O1502">
        <v>4.02</v>
      </c>
      <c r="P1502">
        <v>963</v>
      </c>
      <c r="Q1502" t="inlineStr">
        <is>
          <t>6882f6944daa7100018e7b23</t>
        </is>
      </c>
      <c r="R1502"/>
      <c r="S1502" t="inlineStr">
        <is>
          <t>中小学教辅/教材</t>
        </is>
      </c>
      <c r="T1502" t="inlineStr">
        <is>
          <t>0.48</t>
        </is>
      </c>
      <c r="U1502" s="3">
        <v>46112.78107638889</v>
      </c>
      <c r="V1502" t="inlineStr">
        <is>
          <t>虚拟产品</t>
        </is>
      </c>
      <c r="W1502" s="3">
        <v>46048</v>
      </c>
      <c r="X1502" t="inlineStr">
        <is>
          <t>01</t>
        </is>
      </c>
      <c r="Y1502" t="inlineStr">
        <is>
          <t>2026-Q1</t>
        </is>
      </c>
    </row>
    <row r="1503" ht="38.25" customHeight="1">
      <c r="A1503" t="inlineStr">
        <is>
          <t>2026年春部编版小学语文ppt教案课件一二三四五六年级上下册课件</t>
        </is>
      </c>
      <c r="B1503" t="inlineStr">
        <is>
          <t>recv9necDYja91.jpg</t>
        </is>
      </c>
      <c r="C1503" s="2" t="str">
        <f>=HYPERLINK("https://xhslink.com/m/9WVogp8UJCH", "https://xhslink.com/m/9WVogp8UJCH")</f>
        <v>https://xhslink.com/m/9WVogp8UJCH</v>
      </c>
      <c r="D1503"/>
      <c r="E1503">
        <v>422</v>
      </c>
      <c r="F1503">
        <v>98.8</v>
      </c>
      <c r="G1503"/>
      <c r="H1503"/>
      <c r="I1503">
        <v>300</v>
      </c>
      <c r="J1503"/>
      <c r="K1503" t="inlineStr">
        <is>
          <t>小学资料</t>
        </is>
      </c>
      <c r="L1503"/>
      <c r="M1503" t="inlineStr">
        <is>
          <t>小灵课件的店</t>
        </is>
      </c>
      <c r="N1503">
        <v>2296</v>
      </c>
      <c r="O1503">
        <v>4.04</v>
      </c>
      <c r="P1503">
        <v>1738</v>
      </c>
      <c r="Q1503" t="inlineStr">
        <is>
          <t>69167a57e3156e00016fa529</t>
        </is>
      </c>
      <c r="R1503"/>
      <c r="S1503" t="inlineStr">
        <is>
          <t>中小学教辅/教材</t>
        </is>
      </c>
      <c r="T1503" t="inlineStr">
        <is>
          <t>0.18</t>
        </is>
      </c>
      <c r="U1503" s="3">
        <v>46112.78107638889</v>
      </c>
      <c r="V1503" t="inlineStr">
        <is>
          <t>虚拟产品</t>
        </is>
      </c>
      <c r="W1503" s="3">
        <v>46048</v>
      </c>
      <c r="X1503" t="inlineStr">
        <is>
          <t>01</t>
        </is>
      </c>
      <c r="Y1503" t="inlineStr">
        <is>
          <t>2026-Q1</t>
        </is>
      </c>
    </row>
    <row r="1504" ht="38.25" customHeight="1">
      <c r="A1504" t="inlineStr">
        <is>
          <t>学习监督 线上自习室 超严格监督学习 考研考公考编教资学习考试</t>
        </is>
      </c>
      <c r="B1504" t="inlineStr">
        <is>
          <t>recv9necDYdQi4.jpg</t>
        </is>
      </c>
      <c r="C1504" s="2" t="str">
        <f>=HYPERLINK("https://xhslink.com/m/Argei9VdF4A", "https://xhslink.com/m/Argei9VdF4A")</f>
        <v>https://xhslink.com/m/Argei9VdF4A</v>
      </c>
      <c r="D1504"/>
      <c r="E1504">
        <v>9996</v>
      </c>
      <c r="F1504">
        <v>420</v>
      </c>
      <c r="G1504"/>
      <c r="H1504"/>
      <c r="I1504">
        <v>600</v>
      </c>
      <c r="J1504"/>
      <c r="K1504" t="inlineStr">
        <is>
          <t>资料</t>
        </is>
      </c>
      <c r="L1504"/>
      <c r="M1504" t="inlineStr">
        <is>
          <t>小番茄学习监督的店</t>
        </is>
      </c>
      <c r="N1504">
        <v>4377</v>
      </c>
      <c r="O1504">
        <v>4.63</v>
      </c>
      <c r="P1504">
        <v>10000</v>
      </c>
      <c r="Q1504" t="inlineStr">
        <is>
          <t>680c8b316c93280001fbf0c8</t>
        </is>
      </c>
      <c r="R1504" t="inlineStr">
        <is>
          <t>🚫重复</t>
        </is>
      </c>
      <c r="S1504" t="inlineStr">
        <is>
          <t>生活成长</t>
        </is>
      </c>
      <c r="T1504" t="inlineStr">
        <is>
          <t>2.28</t>
        </is>
      </c>
      <c r="U1504" s="3">
        <v>46112.78107638889</v>
      </c>
      <c r="V1504" t="inlineStr">
        <is>
          <t>虚拟产品</t>
        </is>
      </c>
      <c r="W1504" s="3">
        <v>46048</v>
      </c>
      <c r="X1504" t="inlineStr">
        <is>
          <t>01</t>
        </is>
      </c>
      <c r="Y1504" t="inlineStr">
        <is>
          <t>2026-Q1</t>
        </is>
      </c>
    </row>
    <row r="1505" ht="38.25" customHeight="1">
      <c r="A1505" t="inlineStr">
        <is>
          <t>（小学）胡小群数学，一步到位</t>
        </is>
      </c>
      <c r="B1505" t="inlineStr">
        <is>
          <t>recv9necDYQOXM.jpg</t>
        </is>
      </c>
      <c r="C1505" s="2" t="str">
        <f>=HYPERLINK("https://xhslink.com/m/6qSXfQE8irG", "https://xhslink.com/m/6qSXfQE8irG")</f>
        <v>https://xhslink.com/m/6qSXfQE8irG</v>
      </c>
      <c r="D1505"/>
      <c r="E1505">
        <v>7677</v>
      </c>
      <c r="F1505">
        <v>499</v>
      </c>
      <c r="G1505"/>
      <c r="H1505"/>
      <c r="I1505">
        <v>400</v>
      </c>
      <c r="J1505"/>
      <c r="K1505" t="inlineStr">
        <is>
          <t>资料</t>
        </is>
      </c>
      <c r="L1505"/>
      <c r="M1505" t="inlineStr">
        <is>
          <t>胡小群一步到位的店</t>
        </is>
      </c>
      <c r="N1505">
        <v>6209</v>
      </c>
      <c r="O1505">
        <v>4.53</v>
      </c>
      <c r="P1505">
        <v>16000</v>
      </c>
      <c r="Q1505" t="inlineStr">
        <is>
          <t>6732bd15878b3d0001bd89b9</t>
        </is>
      </c>
      <c r="R1505" t="inlineStr">
        <is>
          <t>🚫重复</t>
        </is>
      </c>
      <c r="S1505" t="inlineStr">
        <is>
          <t>中小学教辅/教材</t>
        </is>
      </c>
      <c r="T1505" t="inlineStr">
        <is>
          <t>1.24</t>
        </is>
      </c>
      <c r="U1505" s="3">
        <v>46112.78107638889</v>
      </c>
      <c r="V1505" t="inlineStr">
        <is>
          <t>虚拟产品</t>
        </is>
      </c>
      <c r="W1505" s="3">
        <v>46048</v>
      </c>
      <c r="X1505" t="inlineStr">
        <is>
          <t>01</t>
        </is>
      </c>
      <c r="Y1505" t="inlineStr">
        <is>
          <t>2026-Q1</t>
        </is>
      </c>
    </row>
    <row r="1506" ht="38.25" customHeight="1">
      <c r="A1506" t="inlineStr">
        <is>
          <t>华图 · 2025年时政热点汇总＋模拟题实时更新</t>
        </is>
      </c>
      <c r="B1506" t="inlineStr">
        <is>
          <t>recv9necDYQUjM.jpg</t>
        </is>
      </c>
      <c r="C1506" s="2" t="str">
        <f>=HYPERLINK("https://xhslink.com/m/8efmslGnYsn", "https://xhslink.com/m/8efmslGnYsn")</f>
        <v>https://xhslink.com/m/8efmslGnYsn</v>
      </c>
      <c r="D1506"/>
      <c r="E1506">
        <v>5402</v>
      </c>
      <c r="F1506">
        <v>0.11</v>
      </c>
      <c r="G1506"/>
      <c r="H1506"/>
      <c r="I1506">
        <v>300</v>
      </c>
      <c r="J1506"/>
      <c r="K1506" t="inlineStr">
        <is>
          <t>资料</t>
        </is>
      </c>
      <c r="L1506"/>
      <c r="M1506" t="inlineStr">
        <is>
          <t>济宁华图教育的店</t>
        </is>
      </c>
      <c r="N1506">
        <v>8454</v>
      </c>
      <c r="O1506">
        <v>4.08</v>
      </c>
      <c r="P1506">
        <v>6433</v>
      </c>
      <c r="Q1506" t="inlineStr">
        <is>
          <t>68809bef417c3f00010ab7ee</t>
        </is>
      </c>
      <c r="R1506"/>
      <c r="S1506" t="inlineStr">
        <is>
          <t>无匹配类别</t>
        </is>
      </c>
      <c r="T1506" t="inlineStr">
        <is>
          <t>0.64</t>
        </is>
      </c>
      <c r="U1506" s="3">
        <v>46112.78107638889</v>
      </c>
      <c r="V1506" t="inlineStr">
        <is>
          <t>虚拟产品</t>
        </is>
      </c>
      <c r="W1506" s="3">
        <v>46048</v>
      </c>
      <c r="X1506" t="inlineStr">
        <is>
          <t>01</t>
        </is>
      </c>
      <c r="Y1506" t="inlineStr">
        <is>
          <t>2026-Q1</t>
        </is>
      </c>
    </row>
    <row r="1507" ht="38.25" customHeight="1">
      <c r="A1507" t="inlineStr">
        <is>
          <t>Will'S DESIGN S.NOTES :UIUX从零基础入门到高级决策</t>
        </is>
      </c>
      <c r="B1507" t="inlineStr">
        <is>
          <t>recv9necDYbliR.jpg</t>
        </is>
      </c>
      <c r="C1507" s="2" t="str">
        <f>=HYPERLINK("https://xhslink.com/m/2XSffDwNdhM", "https://xhslink.com/m/2XSffDwNdhM")</f>
        <v>https://xhslink.com/m/2XSffDwNdhM</v>
      </c>
      <c r="D1507"/>
      <c r="E1507">
        <v>5322</v>
      </c>
      <c r="F1507">
        <v>368</v>
      </c>
      <c r="G1507"/>
      <c r="H1507"/>
      <c r="I1507">
        <v>800</v>
      </c>
      <c r="J1507"/>
      <c r="K1507" t="inlineStr">
        <is>
          <t>资料</t>
        </is>
      </c>
      <c r="L1507"/>
      <c r="M1507" t="inlineStr">
        <is>
          <t>Will的店</t>
        </is>
      </c>
      <c r="N1507">
        <v>28000</v>
      </c>
      <c r="O1507">
        <v>4.06</v>
      </c>
      <c r="P1507">
        <v>6191</v>
      </c>
      <c r="Q1507" t="inlineStr">
        <is>
          <t>66bf22029a58050001e6baea</t>
        </is>
      </c>
      <c r="R1507" t="inlineStr">
        <is>
          <t>🚫重复</t>
        </is>
      </c>
      <c r="S1507" t="inlineStr">
        <is>
          <t>设计素材</t>
        </is>
      </c>
      <c r="T1507" t="inlineStr">
        <is>
          <t>0.19</t>
        </is>
      </c>
      <c r="U1507" s="3">
        <v>46112.78107638889</v>
      </c>
      <c r="V1507" t="inlineStr">
        <is>
          <t>虚拟产品</t>
        </is>
      </c>
      <c r="W1507" s="3">
        <v>46048</v>
      </c>
      <c r="X1507" t="inlineStr">
        <is>
          <t>01</t>
        </is>
      </c>
      <c r="Y1507" t="inlineStr">
        <is>
          <t>2026-Q1</t>
        </is>
      </c>
    </row>
    <row r="1508" ht="38.25" customHeight="1">
      <c r="A1508" t="inlineStr">
        <is>
          <t>ADHD结构化监督服务</t>
        </is>
      </c>
      <c r="B1508" t="inlineStr">
        <is>
          <t>recv9necDYWkPO.jpg</t>
        </is>
      </c>
      <c r="C1508" s="2" t="str">
        <f>=HYPERLINK("https://xhslink.com/m/9UXIOCuq4wY", "https://xhslink.com/m/9UXIOCuq4wY")</f>
        <v>https://xhslink.com/m/9UXIOCuq4wY</v>
      </c>
      <c r="D1508"/>
      <c r="E1508">
        <v>3802</v>
      </c>
      <c r="F1508">
        <v>880</v>
      </c>
      <c r="G1508"/>
      <c r="H1508"/>
      <c r="I1508">
        <v>200</v>
      </c>
      <c r="J1508"/>
      <c r="K1508" t="inlineStr">
        <is>
          <t>资料</t>
        </is>
      </c>
      <c r="L1508"/>
      <c r="M1508" t="inlineStr">
        <is>
          <t>ADHD咕噜的店</t>
        </is>
      </c>
      <c r="N1508">
        <v>6175</v>
      </c>
      <c r="O1508">
        <v>4.55</v>
      </c>
      <c r="P1508">
        <v>3870</v>
      </c>
      <c r="Q1508" t="inlineStr">
        <is>
          <t>682a0170ded4b10001acfcf8</t>
        </is>
      </c>
      <c r="R1508"/>
      <c r="S1508" t="inlineStr">
        <is>
          <t>咨询服务</t>
        </is>
      </c>
      <c r="T1508" t="inlineStr">
        <is>
          <t>0.62</t>
        </is>
      </c>
      <c r="U1508" s="3">
        <v>46112.78107638889</v>
      </c>
      <c r="V1508" t="inlineStr">
        <is>
          <t>虚拟产品</t>
        </is>
      </c>
      <c r="W1508" s="3">
        <v>46048</v>
      </c>
      <c r="X1508" t="inlineStr">
        <is>
          <t>01</t>
        </is>
      </c>
      <c r="Y1508" t="inlineStr">
        <is>
          <t>2026-Q1</t>
        </is>
      </c>
    </row>
    <row r="1509" ht="38.25" customHeight="1">
      <c r="A1509" t="inlineStr">
        <is>
          <t>超格 · 2026行测+申论（六合一）理论实战课一阶段</t>
        </is>
      </c>
      <c r="B1509" t="inlineStr">
        <is>
          <t>recv9necDYaciE.jpg</t>
        </is>
      </c>
      <c r="C1509" s="2" t="str">
        <f>=HYPERLINK("https://xhslink.com/m/9UxVADdAUjT", "https://xhslink.com/m/9UxVADdAUjT")</f>
        <v>https://xhslink.com/m/9UxVADdAUjT</v>
      </c>
      <c r="D1509"/>
      <c r="E1509">
        <v>3742</v>
      </c>
      <c r="F1509">
        <v>297</v>
      </c>
      <c r="G1509"/>
      <c r="H1509"/>
      <c r="I1509">
        <v>500</v>
      </c>
      <c r="J1509"/>
      <c r="K1509" t="inlineStr">
        <is>
          <t>资料</t>
        </is>
      </c>
      <c r="L1509"/>
      <c r="M1509" t="inlineStr">
        <is>
          <t>超格旗舰店</t>
        </is>
      </c>
      <c r="N1509">
        <v>75000</v>
      </c>
      <c r="O1509">
        <v>4.54</v>
      </c>
      <c r="P1509">
        <v>155000</v>
      </c>
      <c r="Q1509" t="inlineStr">
        <is>
          <t>67fc689a1899f10001f357af</t>
        </is>
      </c>
      <c r="R1509" t="inlineStr">
        <is>
          <t>🚫重复</t>
        </is>
      </c>
      <c r="S1509" t="inlineStr">
        <is>
          <t>考公资料</t>
        </is>
      </c>
      <c r="T1509" t="inlineStr">
        <is>
          <t>0.05</t>
        </is>
      </c>
      <c r="U1509" s="3">
        <v>46112.78107638889</v>
      </c>
      <c r="V1509" t="inlineStr">
        <is>
          <t>虚拟产品</t>
        </is>
      </c>
      <c r="W1509" s="3">
        <v>46048</v>
      </c>
      <c r="X1509" t="inlineStr">
        <is>
          <t>01</t>
        </is>
      </c>
      <c r="Y1509" t="inlineStr">
        <is>
          <t>2026-Q1</t>
        </is>
      </c>
    </row>
    <row r="1510" ht="38.25" customHeight="1">
      <c r="A1510" t="inlineStr">
        <is>
          <t>设计师深度阅读｜审美提升｜设计思维提升</t>
        </is>
      </c>
      <c r="B1510" t="inlineStr">
        <is>
          <t>recv9necDYwZtc.jpg</t>
        </is>
      </c>
      <c r="C1510" s="2" t="str">
        <f>=HYPERLINK("https://xhslink.com/m/2n7VRGeQj07", "https://xhslink.com/m/2n7VRGeQj07")</f>
        <v>https://xhslink.com/m/2n7VRGeQj07</v>
      </c>
      <c r="D1510"/>
      <c r="E1510">
        <v>3694</v>
      </c>
      <c r="F1510">
        <v>79</v>
      </c>
      <c r="G1510"/>
      <c r="H1510"/>
      <c r="I1510">
        <v>700</v>
      </c>
      <c r="J1510"/>
      <c r="K1510" t="inlineStr">
        <is>
          <t>资料</t>
        </is>
      </c>
      <c r="L1510"/>
      <c r="M1510" t="inlineStr">
        <is>
          <t>iok design的店</t>
        </is>
      </c>
      <c r="N1510">
        <v>7623</v>
      </c>
      <c r="O1510">
        <v>4.48</v>
      </c>
      <c r="P1510">
        <v>3931</v>
      </c>
      <c r="Q1510" t="inlineStr">
        <is>
          <t>6795b11496b36c0001ffd7fd</t>
        </is>
      </c>
      <c r="R1510"/>
      <c r="S1510" t="inlineStr">
        <is>
          <t>设计素材</t>
        </is>
      </c>
      <c r="T1510" t="inlineStr">
        <is>
          <t>0.48</t>
        </is>
      </c>
      <c r="U1510" s="3">
        <v>46112.78107638889</v>
      </c>
      <c r="V1510" t="inlineStr">
        <is>
          <t>虚拟产品</t>
        </is>
      </c>
      <c r="W1510" s="3">
        <v>46048</v>
      </c>
      <c r="X1510" t="inlineStr">
        <is>
          <t>01</t>
        </is>
      </c>
      <c r="Y1510" t="inlineStr">
        <is>
          <t>2026-Q1</t>
        </is>
      </c>
    </row>
    <row r="1511" ht="38.25" customHeight="1">
      <c r="A1511" t="inlineStr">
        <is>
          <t>RealtimeCopilot 面试辅助 AI面试工具 外企留学面试 英文面试</t>
        </is>
      </c>
      <c r="B1511" t="inlineStr">
        <is>
          <t>recv9necDYY6K3.jpg</t>
        </is>
      </c>
      <c r="C1511" s="2" t="str">
        <f>=HYPERLINK("https://xhslink.com/m/A7Se6tmrx9Q", "https://xhslink.com/m/A7Se6tmrx9Q")</f>
        <v>https://xhslink.com/m/A7Se6tmrx9Q</v>
      </c>
      <c r="D1511"/>
      <c r="E1511">
        <v>3218</v>
      </c>
      <c r="F1511">
        <v>126</v>
      </c>
      <c r="G1511"/>
      <c r="H1511"/>
      <c r="I1511">
        <v>300</v>
      </c>
      <c r="J1511"/>
      <c r="K1511" t="inlineStr">
        <is>
          <t>资料</t>
        </is>
      </c>
      <c r="L1511"/>
      <c r="M1511" t="inlineStr">
        <is>
          <t>RealtimeCopilot的店</t>
        </is>
      </c>
      <c r="N1511">
        <v>3053</v>
      </c>
      <c r="O1511">
        <v>3.85</v>
      </c>
      <c r="P1511">
        <v>3609</v>
      </c>
      <c r="Q1511" t="inlineStr">
        <is>
          <t>66fc121d94f7580001bd66a8</t>
        </is>
      </c>
      <c r="R1511" t="inlineStr">
        <is>
          <t>🚫重复</t>
        </is>
      </c>
      <c r="S1511" t="inlineStr">
        <is>
          <t>求职面试/职场</t>
        </is>
      </c>
      <c r="T1511" t="inlineStr">
        <is>
          <t>1.05</t>
        </is>
      </c>
      <c r="U1511" s="3">
        <v>46112.78107638889</v>
      </c>
      <c r="V1511" t="inlineStr">
        <is>
          <t>虚拟产品</t>
        </is>
      </c>
      <c r="W1511" s="3">
        <v>46048</v>
      </c>
      <c r="X1511" t="inlineStr">
        <is>
          <t>01</t>
        </is>
      </c>
      <c r="Y1511" t="inlineStr">
        <is>
          <t>2026-Q1</t>
        </is>
      </c>
    </row>
    <row r="1512" ht="38.25" customHeight="1">
      <c r="A1512" t="inlineStr">
        <is>
          <t>26超格6合1高照资料分析纸质版送配套视频</t>
        </is>
      </c>
      <c r="B1512" t="inlineStr">
        <is>
          <t>recv9necDYKxZO.jpg</t>
        </is>
      </c>
      <c r="C1512" s="2" t="str">
        <f>=HYPERLINK("https://xhslink.com/m/3qXfR6aP7Pe", "https://xhslink.com/m/3qXfR6aP7Pe")</f>
        <v>https://xhslink.com/m/3qXfR6aP7Pe</v>
      </c>
      <c r="D1512"/>
      <c r="E1512">
        <v>3185</v>
      </c>
      <c r="F1512">
        <v>70</v>
      </c>
      <c r="G1512"/>
      <c r="H1512"/>
      <c r="I1512">
        <v>600</v>
      </c>
      <c r="J1512"/>
      <c r="K1512" t="inlineStr">
        <is>
          <t>资料</t>
        </is>
      </c>
      <c r="L1512"/>
      <c r="M1512" t="inlineStr">
        <is>
          <t>554的店</t>
        </is>
      </c>
      <c r="N1512">
        <v>6246</v>
      </c>
      <c r="O1512">
        <v>4.49</v>
      </c>
      <c r="P1512">
        <v>33000</v>
      </c>
      <c r="Q1512" t="inlineStr">
        <is>
          <t>687f5f51e019f200018f5fc2</t>
        </is>
      </c>
      <c r="R1512" t="inlineStr">
        <is>
          <t>🚫重复</t>
        </is>
      </c>
      <c r="S1512" t="inlineStr">
        <is>
          <t>无匹配类别</t>
        </is>
      </c>
      <c r="T1512" t="inlineStr">
        <is>
          <t>0.51</t>
        </is>
      </c>
      <c r="U1512" s="3">
        <v>46112.78107638889</v>
      </c>
      <c r="V1512" t="inlineStr">
        <is>
          <t>虚拟产品</t>
        </is>
      </c>
      <c r="W1512" s="3">
        <v>46048</v>
      </c>
      <c r="X1512" t="inlineStr">
        <is>
          <t>01</t>
        </is>
      </c>
      <c r="Y1512" t="inlineStr">
        <is>
          <t>2026-Q1</t>
        </is>
      </c>
    </row>
    <row r="1513" ht="38.25" customHeight="1">
      <c r="A1513" t="inlineStr">
        <is>
          <t>「Lori阿姨」英语口语通关秘籍 全实用场景 地道表达精品课</t>
        </is>
      </c>
      <c r="B1513" t="inlineStr">
        <is>
          <t>recv9necDYmvju.jpg</t>
        </is>
      </c>
      <c r="C1513" s="2" t="str">
        <f>=HYPERLINK("https://xhslink.com/m/40m2aiLB9Of", "https://xhslink.com/m/40m2aiLB9Of")</f>
        <v>https://xhslink.com/m/40m2aiLB9Of</v>
      </c>
      <c r="D1513"/>
      <c r="E1513">
        <v>3158</v>
      </c>
      <c r="F1513">
        <v>1299</v>
      </c>
      <c r="G1513"/>
      <c r="H1513"/>
      <c r="I1513">
        <v>300</v>
      </c>
      <c r="J1513"/>
      <c r="K1513" t="inlineStr">
        <is>
          <t>资料</t>
        </is>
      </c>
      <c r="L1513" t="inlineStr">
        <is>
          <t>🔥低粉爆款</t>
        </is>
      </c>
      <c r="M1513" t="inlineStr">
        <is>
          <t>老瑞阿姨的店</t>
        </is>
      </c>
      <c r="N1513">
        <v>205</v>
      </c>
      <c r="O1513">
        <v>4.17</v>
      </c>
      <c r="P1513">
        <v>3158</v>
      </c>
      <c r="Q1513" t="inlineStr">
        <is>
          <t>682ee9f6db57370001ef21d2</t>
        </is>
      </c>
      <c r="R1513"/>
      <c r="S1513" t="inlineStr">
        <is>
          <t>英语资料</t>
        </is>
      </c>
      <c r="T1513" t="inlineStr">
        <is>
          <t>15.40</t>
        </is>
      </c>
      <c r="U1513" s="3">
        <v>46112.78107638889</v>
      </c>
      <c r="V1513" t="inlineStr">
        <is>
          <t>虚拟产品</t>
        </is>
      </c>
      <c r="W1513" s="3">
        <v>46048</v>
      </c>
      <c r="X1513" t="inlineStr">
        <is>
          <t>01</t>
        </is>
      </c>
      <c r="Y1513" t="inlineStr">
        <is>
          <t>2026-Q1</t>
        </is>
      </c>
    </row>
    <row r="1514" ht="38.25" customHeight="1">
      <c r="A1514" t="inlineStr">
        <is>
          <t>浙江大学出版社初高中数学思想方法导引张金良主编辅导资料书</t>
        </is>
      </c>
      <c r="B1514" t="inlineStr">
        <is>
          <t>recv9necDYeAhh.jpg</t>
        </is>
      </c>
      <c r="C1514" s="2" t="str">
        <f>=HYPERLINK("https://xhslink.com/m/2tGB3wmwcNR", "https://xhslink.com/m/2tGB3wmwcNR")</f>
        <v>https://xhslink.com/m/2tGB3wmwcNR</v>
      </c>
      <c r="D1514"/>
      <c r="E1514">
        <v>2726</v>
      </c>
      <c r="F1514">
        <v>115.8</v>
      </c>
      <c r="G1514"/>
      <c r="H1514"/>
      <c r="I1514">
        <v>200</v>
      </c>
      <c r="J1514"/>
      <c r="K1514" t="inlineStr">
        <is>
          <t>资料</t>
        </is>
      </c>
      <c r="L1514"/>
      <c r="M1514" t="inlineStr">
        <is>
          <t>用心选图书的店</t>
        </is>
      </c>
      <c r="N1514">
        <v>1369</v>
      </c>
      <c r="O1514">
        <v>4.41</v>
      </c>
      <c r="P1514">
        <v>2867</v>
      </c>
      <c r="Q1514" t="inlineStr">
        <is>
          <t>6850beaeea2a8100017f5e6e</t>
        </is>
      </c>
      <c r="R1514"/>
      <c r="S1514" t="inlineStr">
        <is>
          <t>中小学教辅/教材</t>
        </is>
      </c>
      <c r="T1514" t="inlineStr">
        <is>
          <t>1.99</t>
        </is>
      </c>
      <c r="U1514" s="3">
        <v>46112.78107638889</v>
      </c>
      <c r="V1514" t="inlineStr">
        <is>
          <t>虚拟产品</t>
        </is>
      </c>
      <c r="W1514" s="3">
        <v>46048</v>
      </c>
      <c r="X1514" t="inlineStr">
        <is>
          <t>01</t>
        </is>
      </c>
      <c r="Y1514" t="inlineStr">
        <is>
          <t>2026-Q1</t>
        </is>
      </c>
    </row>
    <row r="1515" ht="38.25" customHeight="1">
      <c r="A1515" t="inlineStr">
        <is>
          <t>2026年护士执业资格考试app题库最新题库护士考试医药卫生考试题</t>
        </is>
      </c>
      <c r="B1515" t="inlineStr">
        <is>
          <t>recv9necDYk2sR.jpg</t>
        </is>
      </c>
      <c r="C1515" s="2" t="str">
        <f>=HYPERLINK("https://xhslink.com/m/8Tb3W9mYlI2", "https://xhslink.com/m/8Tb3W9mYlI2")</f>
        <v>https://xhslink.com/m/8Tb3W9mYlI2</v>
      </c>
      <c r="D1515"/>
      <c r="E1515">
        <v>2375</v>
      </c>
      <c r="F1515">
        <v>89.5</v>
      </c>
      <c r="G1515"/>
      <c r="H1515"/>
      <c r="I1515">
        <v>200</v>
      </c>
      <c r="J1515"/>
      <c r="K1515" t="inlineStr">
        <is>
          <t>资料</t>
        </is>
      </c>
      <c r="L1515"/>
      <c r="M1515" t="inlineStr">
        <is>
          <t>考试小助手的店</t>
        </is>
      </c>
      <c r="N1515">
        <v>11000</v>
      </c>
      <c r="O1515">
        <v>4.19</v>
      </c>
      <c r="P1515">
        <v>54000</v>
      </c>
      <c r="Q1515" t="inlineStr">
        <is>
          <t>690fed121b78790001ae2d46</t>
        </is>
      </c>
      <c r="R1515"/>
      <c r="S1515" t="inlineStr">
        <is>
          <t>生活成长</t>
        </is>
      </c>
      <c r="T1515" t="inlineStr">
        <is>
          <t>0.22</t>
        </is>
      </c>
      <c r="U1515" s="3">
        <v>46112.78107638889</v>
      </c>
      <c r="V1515" t="inlineStr">
        <is>
          <t>虚拟产品</t>
        </is>
      </c>
      <c r="W1515" s="3">
        <v>46048</v>
      </c>
      <c r="X1515" t="inlineStr">
        <is>
          <t>01</t>
        </is>
      </c>
      <c r="Y1515" t="inlineStr">
        <is>
          <t>2026-Q1</t>
        </is>
      </c>
    </row>
    <row r="1516" ht="38.25" customHeight="1">
      <c r="A1516" t="inlineStr">
        <is>
          <t>2026执业药师网课中药西药师姜雅刘丹仇牧韩旭正版书视频课件题库</t>
        </is>
      </c>
      <c r="B1516" t="inlineStr">
        <is>
          <t>recv9necDYWT5d.jpg</t>
        </is>
      </c>
      <c r="C1516" s="2" t="str">
        <f>=HYPERLINK("https://xhslink.com/m/9NgbhfCozpH", "https://xhslink.com/m/9NgbhfCozpH")</f>
        <v>https://xhslink.com/m/9NgbhfCozpH</v>
      </c>
      <c r="D1516"/>
      <c r="E1516">
        <v>2202</v>
      </c>
      <c r="F1516">
        <v>88</v>
      </c>
      <c r="G1516"/>
      <c r="H1516"/>
      <c r="I1516">
        <v>200</v>
      </c>
      <c r="J1516"/>
      <c r="K1516" t="inlineStr">
        <is>
          <t>资料</t>
        </is>
      </c>
      <c r="L1516" t="inlineStr">
        <is>
          <t>🔥低粉爆款</t>
        </is>
      </c>
      <c r="M1516" t="inlineStr">
        <is>
          <t>萌萌超人的店</t>
        </is>
      </c>
      <c r="N1516">
        <v>387</v>
      </c>
      <c r="O1516">
        <v>4.53</v>
      </c>
      <c r="P1516">
        <v>8667</v>
      </c>
      <c r="Q1516" t="inlineStr">
        <is>
          <t>67f3eabcf0efe50001b5fc6e</t>
        </is>
      </c>
      <c r="R1516" t="inlineStr">
        <is>
          <t>🚫重复</t>
        </is>
      </c>
      <c r="S1516" t="inlineStr">
        <is>
          <t>生活成长</t>
        </is>
      </c>
      <c r="T1516" t="inlineStr">
        <is>
          <t>5.69</t>
        </is>
      </c>
      <c r="U1516" s="3">
        <v>46112.78107638889</v>
      </c>
      <c r="V1516" t="inlineStr">
        <is>
          <t>虚拟产品</t>
        </is>
      </c>
      <c r="W1516" s="3">
        <v>46048</v>
      </c>
      <c r="X1516" t="inlineStr">
        <is>
          <t>01</t>
        </is>
      </c>
      <c r="Y1516" t="inlineStr">
        <is>
          <t>2026-Q1</t>
        </is>
      </c>
    </row>
    <row r="1517" ht="38.25" customHeight="1">
      <c r="A1517" t="inlineStr">
        <is>
          <t>好吃好做面包课程大合集</t>
        </is>
      </c>
      <c r="B1517" t="inlineStr">
        <is>
          <t>recv9necDYl4h6.jpg</t>
        </is>
      </c>
      <c r="C1517" s="2" t="str">
        <f>=HYPERLINK("https://xhslink.com/m/5qShzKkizl", "https://xhslink.com/m/5qShzKkizl")</f>
        <v>https://xhslink.com/m/5qShzKkizl</v>
      </c>
      <c r="D1517"/>
      <c r="E1517">
        <v>2088</v>
      </c>
      <c r="F1517">
        <v>599</v>
      </c>
      <c r="G1517"/>
      <c r="H1517"/>
      <c r="I1517">
        <v>700</v>
      </c>
      <c r="J1517"/>
      <c r="K1517" t="inlineStr">
        <is>
          <t>资料</t>
        </is>
      </c>
      <c r="L1517"/>
      <c r="M1517" t="inlineStr">
        <is>
          <t>隔壁面包店的老王-娜飞烘焙课堂的店</t>
        </is>
      </c>
      <c r="N1517">
        <v>47000</v>
      </c>
      <c r="O1517">
        <v>4.44</v>
      </c>
      <c r="P1517">
        <v>2104</v>
      </c>
      <c r="Q1517" t="inlineStr">
        <is>
          <t>677f6d519548e10001ae7250</t>
        </is>
      </c>
      <c r="R1517"/>
      <c r="S1517" t="inlineStr">
        <is>
          <t>生活成长</t>
        </is>
      </c>
      <c r="T1517" t="inlineStr">
        <is>
          <t>0.04</t>
        </is>
      </c>
      <c r="U1517" s="3">
        <v>46112.78107638889</v>
      </c>
      <c r="V1517" t="inlineStr">
        <is>
          <t>虚拟产品</t>
        </is>
      </c>
      <c r="W1517" s="3">
        <v>46048</v>
      </c>
      <c r="X1517" t="inlineStr">
        <is>
          <t>01</t>
        </is>
      </c>
      <c r="Y1517" t="inlineStr">
        <is>
          <t>2026-Q1</t>
        </is>
      </c>
    </row>
    <row r="1518" ht="38.25" customHeight="1">
      <c r="A1518" t="inlineStr">
        <is>
          <t>2026初级会计考试题库2026初级会计师题库刷题性价比高题库APP</t>
        </is>
      </c>
      <c r="B1518" t="inlineStr">
        <is>
          <t>recv9necDYFTk1.jpg</t>
        </is>
      </c>
      <c r="C1518" s="2" t="str">
        <f>=HYPERLINK("https://xhslink.com/m/7N5Tf440nnR", "https://xhslink.com/m/7N5Tf440nnR")</f>
        <v>https://xhslink.com/m/7N5Tf440nnR</v>
      </c>
      <c r="D1518"/>
      <c r="E1518">
        <v>1996</v>
      </c>
      <c r="F1518">
        <v>180</v>
      </c>
      <c r="G1518"/>
      <c r="H1518"/>
      <c r="I1518">
        <v>400</v>
      </c>
      <c r="J1518"/>
      <c r="K1518" t="inlineStr">
        <is>
          <t>资料</t>
        </is>
      </c>
      <c r="L1518"/>
      <c r="M1518" t="inlineStr">
        <is>
          <t>考试大助手的店</t>
        </is>
      </c>
      <c r="N1518">
        <v>2512</v>
      </c>
      <c r="O1518">
        <v>3.93</v>
      </c>
      <c r="P1518">
        <v>18000</v>
      </c>
      <c r="Q1518" t="inlineStr">
        <is>
          <t>68905962b1b9df00015c291f</t>
        </is>
      </c>
      <c r="R1518"/>
      <c r="S1518" t="inlineStr">
        <is>
          <t>会计资料</t>
        </is>
      </c>
      <c r="T1518" t="inlineStr">
        <is>
          <t>0.79</t>
        </is>
      </c>
      <c r="U1518" s="3">
        <v>46112.78107638889</v>
      </c>
      <c r="V1518" t="inlineStr">
        <is>
          <t>虚拟产品</t>
        </is>
      </c>
      <c r="W1518" s="3">
        <v>46048</v>
      </c>
      <c r="X1518" t="inlineStr">
        <is>
          <t>01</t>
        </is>
      </c>
      <c r="Y1518" t="inlineStr">
        <is>
          <t>2026-Q1</t>
        </is>
      </c>
    </row>
    <row r="1519" ht="38.25" customHeight="1">
      <c r="A1519" t="inlineStr">
        <is>
          <t>初中语文作文提升资料</t>
        </is>
      </c>
      <c r="B1519" t="inlineStr">
        <is>
          <t>recv9necDYOAOd.jpg</t>
        </is>
      </c>
      <c r="C1519" s="2" t="str">
        <f>=HYPERLINK("https://xhslink.com/m/4py9abm6jxs", "https://xhslink.com/m/4py9abm6jxs")</f>
        <v>https://xhslink.com/m/4py9abm6jxs</v>
      </c>
      <c r="D1519"/>
      <c r="E1519">
        <v>1948</v>
      </c>
      <c r="F1519">
        <v>69.9</v>
      </c>
      <c r="G1519"/>
      <c r="H1519"/>
      <c r="I1519">
        <v>400</v>
      </c>
      <c r="J1519"/>
      <c r="K1519" t="inlineStr">
        <is>
          <t>资料</t>
        </is>
      </c>
      <c r="L1519" t="inlineStr">
        <is>
          <t>🔥低粉爆款</t>
        </is>
      </c>
      <c r="M1519" t="inlineStr">
        <is>
          <t>萌小萌i的店</t>
        </is>
      </c>
      <c r="N1519">
        <v>380</v>
      </c>
      <c r="O1519">
        <v>4.02</v>
      </c>
      <c r="P1519">
        <v>8954</v>
      </c>
      <c r="Q1519" t="inlineStr">
        <is>
          <t>683295770d7e3d0001427404</t>
        </is>
      </c>
      <c r="R1519" t="inlineStr">
        <is>
          <t>🚫重复</t>
        </is>
      </c>
      <c r="S1519" t="inlineStr">
        <is>
          <t>中小学教辅/教材</t>
        </is>
      </c>
      <c r="T1519" t="inlineStr">
        <is>
          <t>5.13</t>
        </is>
      </c>
      <c r="U1519" s="3">
        <v>46112.78107638889</v>
      </c>
      <c r="V1519" t="inlineStr">
        <is>
          <t>虚拟产品</t>
        </is>
      </c>
      <c r="W1519" s="3">
        <v>46048</v>
      </c>
      <c r="X1519" t="inlineStr">
        <is>
          <t>01</t>
        </is>
      </c>
      <c r="Y1519" t="inlineStr">
        <is>
          <t>2026-Q1</t>
        </is>
      </c>
    </row>
    <row r="1520" ht="38.25" customHeight="1">
      <c r="A1520" t="inlineStr">
        <is>
          <t>高中生物知识点填空笔记本（纸质版）人教版</t>
        </is>
      </c>
      <c r="B1520" t="inlineStr">
        <is>
          <t>recv9necDYpxaw.jpg</t>
        </is>
      </c>
      <c r="C1520" s="2" t="str">
        <f>=HYPERLINK("https://xhslink.com/m/7mdeJug6MAa", "https://xhslink.com/m/7mdeJug6MAa")</f>
        <v>https://xhslink.com/m/7mdeJug6MAa</v>
      </c>
      <c r="D1520"/>
      <c r="E1520">
        <v>1888</v>
      </c>
      <c r="F1520">
        <v>195</v>
      </c>
      <c r="G1520"/>
      <c r="H1520"/>
      <c r="I1520">
        <v>200</v>
      </c>
      <c r="J1520"/>
      <c r="K1520" t="inlineStr">
        <is>
          <t>资料</t>
        </is>
      </c>
      <c r="L1520"/>
      <c r="M1520" t="inlineStr">
        <is>
          <t>清华学姐笔记分享的店</t>
        </is>
      </c>
      <c r="N1520">
        <v>1787</v>
      </c>
      <c r="O1520">
        <v>4.55</v>
      </c>
      <c r="P1520">
        <v>2524</v>
      </c>
      <c r="Q1520" t="inlineStr">
        <is>
          <t>683ed5335d79410001b0d370</t>
        </is>
      </c>
      <c r="R1520"/>
      <c r="S1520" t="inlineStr">
        <is>
          <t>高中/高考资料</t>
        </is>
      </c>
      <c r="T1520" t="inlineStr">
        <is>
          <t>1.06</t>
        </is>
      </c>
      <c r="U1520" s="3">
        <v>46112.78107638889</v>
      </c>
      <c r="V1520" t="inlineStr">
        <is>
          <t>虚拟产品</t>
        </is>
      </c>
      <c r="W1520" s="3">
        <v>46048</v>
      </c>
      <c r="X1520" t="inlineStr">
        <is>
          <t>01</t>
        </is>
      </c>
      <c r="Y1520" t="inlineStr">
        <is>
          <t>2026-Q1</t>
        </is>
      </c>
    </row>
    <row r="1521" ht="38.25" customHeight="1">
      <c r="A1521" t="inlineStr">
        <is>
          <t>【雪梨老师】单词王APP</t>
        </is>
      </c>
      <c r="B1521" t="inlineStr">
        <is>
          <t>recv9necDYVm8x.jpg</t>
        </is>
      </c>
      <c r="C1521" s="2" t="str">
        <f>=HYPERLINK("https://xhslink.com/m/1LKEqIX9mXz", "https://xhslink.com/m/1LKEqIX9mXz")</f>
        <v>https://xhslink.com/m/1LKEqIX9mXz</v>
      </c>
      <c r="D1521"/>
      <c r="E1521">
        <v>1702</v>
      </c>
      <c r="F1521">
        <v>198</v>
      </c>
      <c r="G1521"/>
      <c r="H1521"/>
      <c r="I1521">
        <v>1000</v>
      </c>
      <c r="J1521"/>
      <c r="K1521" t="inlineStr">
        <is>
          <t>资料</t>
        </is>
      </c>
      <c r="L1521"/>
      <c r="M1521" t="inlineStr">
        <is>
          <t>雪梨老师的店</t>
        </is>
      </c>
      <c r="N1521">
        <v>866000</v>
      </c>
      <c r="O1521">
        <v>4.48</v>
      </c>
      <c r="P1521">
        <v>200000</v>
      </c>
      <c r="Q1521" t="inlineStr">
        <is>
          <t>68c37abbd1f7b800012525b6</t>
        </is>
      </c>
      <c r="R1521" t="inlineStr">
        <is>
          <t>🚫重复</t>
        </is>
      </c>
      <c r="S1521" t="inlineStr">
        <is>
          <t>软件应用</t>
        </is>
      </c>
      <c r="T1521" t="inlineStr">
        <is>
          <t>0.00</t>
        </is>
      </c>
      <c r="U1521" s="3">
        <v>46112.78107638889</v>
      </c>
      <c r="V1521" t="inlineStr">
        <is>
          <t>虚拟产品</t>
        </is>
      </c>
      <c r="W1521" s="3">
        <v>46048</v>
      </c>
      <c r="X1521" t="inlineStr">
        <is>
          <t>01</t>
        </is>
      </c>
      <c r="Y1521" t="inlineStr">
        <is>
          <t>2026-Q1</t>
        </is>
      </c>
    </row>
    <row r="1522" ht="38.25" customHeight="1">
      <c r="A1522" t="inlineStr">
        <is>
          <t>【久趣英语】英语分级阅读，1v1伴读精读 养成阅读好习惯-120次课</t>
        </is>
      </c>
      <c r="B1522" t="inlineStr">
        <is>
          <t>recv9necDYngLc.jpg</t>
        </is>
      </c>
      <c r="C1522" s="2" t="str">
        <f>=HYPERLINK("https://xhslink.com/m/3ydB9wwsEEL", "https://xhslink.com/m/3ydB9wwsEEL")</f>
        <v>https://xhslink.com/m/3ydB9wwsEEL</v>
      </c>
      <c r="D1522"/>
      <c r="E1522">
        <v>1609</v>
      </c>
      <c r="F1522">
        <v>4680</v>
      </c>
      <c r="G1522"/>
      <c r="H1522"/>
      <c r="I1522">
        <v>200</v>
      </c>
      <c r="J1522"/>
      <c r="K1522" t="inlineStr">
        <is>
          <t>资料</t>
        </is>
      </c>
      <c r="L1522"/>
      <c r="M1522" t="inlineStr">
        <is>
          <t>久趣英语的店</t>
        </is>
      </c>
      <c r="N1522">
        <v>22000</v>
      </c>
      <c r="O1522">
        <v>4.54</v>
      </c>
      <c r="P1522">
        <v>2740</v>
      </c>
      <c r="Q1522" t="inlineStr">
        <is>
          <t>6768baa5b1267e0001c07392</t>
        </is>
      </c>
      <c r="R1522"/>
      <c r="S1522" t="inlineStr">
        <is>
          <t>英语资料</t>
        </is>
      </c>
      <c r="T1522" t="inlineStr">
        <is>
          <t>0.07</t>
        </is>
      </c>
      <c r="U1522" s="3">
        <v>46112.78107638889</v>
      </c>
      <c r="V1522" t="inlineStr">
        <is>
          <t>虚拟产品</t>
        </is>
      </c>
      <c r="W1522" s="3">
        <v>46048</v>
      </c>
      <c r="X1522" t="inlineStr">
        <is>
          <t>01</t>
        </is>
      </c>
      <c r="Y1522" t="inlineStr">
        <is>
          <t>2026-Q1</t>
        </is>
      </c>
    </row>
    <row r="1523" ht="38.25" customHeight="1">
      <c r="A1523" t="inlineStr">
        <is>
          <t>老客复购版｜1-4月雅思口语抖机灵Part123语料【新人勿拍】</t>
        </is>
      </c>
      <c r="B1523" t="inlineStr">
        <is>
          <t>recv9necDYABzt.jpg</t>
        </is>
      </c>
      <c r="C1523" s="2" t="str">
        <f>=HYPERLINK("https://xhslink.com/m/8Gp220ZRtjH", "https://xhslink.com/m/8Gp220ZRtjH")</f>
        <v>https://xhslink.com/m/8Gp220ZRtjH</v>
      </c>
      <c r="D1523"/>
      <c r="E1523">
        <v>1456</v>
      </c>
      <c r="F1523">
        <v>129</v>
      </c>
      <c r="G1523"/>
      <c r="H1523"/>
      <c r="I1523">
        <v>300</v>
      </c>
      <c r="J1523"/>
      <c r="K1523" t="inlineStr">
        <is>
          <t>资料</t>
        </is>
      </c>
      <c r="L1523"/>
      <c r="M1523" t="inlineStr">
        <is>
          <t>JoJo学英语【抖机灵版】的店</t>
        </is>
      </c>
      <c r="N1523">
        <v>25000</v>
      </c>
      <c r="O1523">
        <v>4.61</v>
      </c>
      <c r="P1523">
        <v>19000</v>
      </c>
      <c r="Q1523" t="inlineStr">
        <is>
          <t>67675bf3c6c20a0001b1bc57</t>
        </is>
      </c>
      <c r="R1523" t="inlineStr">
        <is>
          <t>🚫重复</t>
        </is>
      </c>
      <c r="S1523" t="inlineStr">
        <is>
          <t>英语资料</t>
        </is>
      </c>
      <c r="T1523" t="inlineStr">
        <is>
          <t>0.06</t>
        </is>
      </c>
      <c r="U1523" s="3">
        <v>46112.78107638889</v>
      </c>
      <c r="V1523" t="inlineStr">
        <is>
          <t>虚拟产品</t>
        </is>
      </c>
      <c r="W1523" s="3">
        <v>46048</v>
      </c>
      <c r="X1523" t="inlineStr">
        <is>
          <t>01</t>
        </is>
      </c>
      <c r="Y1523" t="inlineStr">
        <is>
          <t>2026-Q1</t>
        </is>
      </c>
    </row>
    <row r="1524" ht="38.25" customHeight="1">
      <c r="A1524" t="inlineStr">
        <is>
          <t>趣味三合一趣味单词速记</t>
        </is>
      </c>
      <c r="B1524" t="inlineStr">
        <is>
          <t>recv9necDYuQMv.jpg</t>
        </is>
      </c>
      <c r="C1524" s="2" t="str">
        <f>=HYPERLINK("https://xhslink.com/m/9PcFqpYNDKo", "https://xhslink.com/m/9PcFqpYNDKo")</f>
        <v>https://xhslink.com/m/9PcFqpYNDKo</v>
      </c>
      <c r="D1524"/>
      <c r="E1524">
        <v>1280</v>
      </c>
      <c r="F1524">
        <v>169</v>
      </c>
      <c r="G1524"/>
      <c r="H1524"/>
      <c r="I1524">
        <v>200</v>
      </c>
      <c r="J1524"/>
      <c r="K1524" t="inlineStr">
        <is>
          <t>资料</t>
        </is>
      </c>
      <c r="L1524"/>
      <c r="M1524" t="inlineStr">
        <is>
          <t>趣学妙记英语咨询的店</t>
        </is>
      </c>
      <c r="N1524">
        <v>530000</v>
      </c>
      <c r="O1524">
        <v>4.4</v>
      </c>
      <c r="P1524">
        <v>2273</v>
      </c>
      <c r="Q1524" t="inlineStr">
        <is>
          <t>67c46704eef18200014a6633</t>
        </is>
      </c>
      <c r="R1524"/>
      <c r="S1524" t="inlineStr">
        <is>
          <t>英语资料</t>
        </is>
      </c>
      <c r="T1524" t="inlineStr">
        <is>
          <t>0.00</t>
        </is>
      </c>
      <c r="U1524" s="3">
        <v>46112.78107638889</v>
      </c>
      <c r="V1524" t="inlineStr">
        <is>
          <t>虚拟产品</t>
        </is>
      </c>
      <c r="W1524" s="3">
        <v>46048</v>
      </c>
      <c r="X1524" t="inlineStr">
        <is>
          <t>01</t>
        </is>
      </c>
      <c r="Y1524" t="inlineStr">
        <is>
          <t>2026-Q1</t>
        </is>
      </c>
    </row>
    <row r="1525" ht="38.25" customHeight="1">
      <c r="A1525" t="inlineStr">
        <is>
          <t>2026初级会计职称题库app激活码 题库网课刷题APP</t>
        </is>
      </c>
      <c r="B1525" t="inlineStr">
        <is>
          <t>recv9necDYIR2W.jpg</t>
        </is>
      </c>
      <c r="C1525" s="2" t="str">
        <f>=HYPERLINK("https://xhslink.com/m/5cSZmEJKwCu", "https://xhslink.com/m/5cSZmEJKwCu")</f>
        <v>https://xhslink.com/m/5cSZmEJKwCu</v>
      </c>
      <c r="D1525"/>
      <c r="E1525">
        <v>1219</v>
      </c>
      <c r="F1525">
        <v>180</v>
      </c>
      <c r="G1525"/>
      <c r="H1525"/>
      <c r="I1525">
        <v>800</v>
      </c>
      <c r="J1525"/>
      <c r="K1525" t="inlineStr">
        <is>
          <t>资料</t>
        </is>
      </c>
      <c r="L1525"/>
      <c r="M1525" t="inlineStr">
        <is>
          <t>考证信息差的店</t>
        </is>
      </c>
      <c r="N1525">
        <v>2278</v>
      </c>
      <c r="O1525">
        <v>4.48</v>
      </c>
      <c r="P1525">
        <v>9679</v>
      </c>
      <c r="Q1525" t="inlineStr">
        <is>
          <t>67d7cb11ba9cf8000101fd27</t>
        </is>
      </c>
      <c r="R1525" t="inlineStr">
        <is>
          <t>🚫重复</t>
        </is>
      </c>
      <c r="S1525" t="inlineStr">
        <is>
          <t>会计资料</t>
        </is>
      </c>
      <c r="T1525" t="inlineStr">
        <is>
          <t>0.54</t>
        </is>
      </c>
      <c r="U1525" s="3">
        <v>46112.78107638889</v>
      </c>
      <c r="V1525" t="inlineStr">
        <is>
          <t>虚拟产品</t>
        </is>
      </c>
      <c r="W1525" s="3">
        <v>46048</v>
      </c>
      <c r="X1525" t="inlineStr">
        <is>
          <t>01</t>
        </is>
      </c>
      <c r="Y1525" t="inlineStr">
        <is>
          <t>2026-Q1</t>
        </is>
      </c>
    </row>
    <row r="1526" ht="38.25" customHeight="1">
      <c r="A1526" t="inlineStr">
        <is>
          <t>大白的雅思听力备考体系（自动发货+实时更新）</t>
        </is>
      </c>
      <c r="B1526" t="inlineStr">
        <is>
          <t>recv9necDY4Odq.jpg</t>
        </is>
      </c>
      <c r="C1526" s="2" t="str">
        <f>=HYPERLINK("https://xhslink.com/m/pXIte8U1Ka", "https://xhslink.com/m/pXIte8U1Ka")</f>
        <v>https://xhslink.com/m/pXIte8U1Ka</v>
      </c>
      <c r="D1526"/>
      <c r="E1526">
        <v>1123</v>
      </c>
      <c r="F1526">
        <v>129</v>
      </c>
      <c r="G1526"/>
      <c r="H1526"/>
      <c r="I1526">
        <v>400</v>
      </c>
      <c r="J1526"/>
      <c r="K1526" t="inlineStr">
        <is>
          <t>资料</t>
        </is>
      </c>
      <c r="L1526"/>
      <c r="M1526" t="inlineStr">
        <is>
          <t>Oscar大白的店</t>
        </is>
      </c>
      <c r="N1526">
        <v>16000</v>
      </c>
      <c r="O1526">
        <v>4.08</v>
      </c>
      <c r="P1526">
        <v>1125</v>
      </c>
      <c r="Q1526" t="inlineStr">
        <is>
          <t>6856d7968b7d6f0001cd1b5c</t>
        </is>
      </c>
      <c r="R1526"/>
      <c r="S1526" t="inlineStr">
        <is>
          <t>英语资料</t>
        </is>
      </c>
      <c r="T1526" t="inlineStr">
        <is>
          <t>0.07</t>
        </is>
      </c>
      <c r="U1526" s="3">
        <v>46112.78107638889</v>
      </c>
      <c r="V1526" t="inlineStr">
        <is>
          <t>虚拟产品</t>
        </is>
      </c>
      <c r="W1526" s="3">
        <v>46048</v>
      </c>
      <c r="X1526" t="inlineStr">
        <is>
          <t>01</t>
        </is>
      </c>
      <c r="Y1526" t="inlineStr">
        <is>
          <t>2026-Q1</t>
        </is>
      </c>
    </row>
    <row r="1527" ht="38.25" customHeight="1">
      <c r="A1527" t="inlineStr">
        <is>
          <t>26高考高中一二三网课高中复习一二三轮英语文数化学生物资料包</t>
        </is>
      </c>
      <c r="B1527" t="inlineStr">
        <is>
          <t>recv9necDYBwgO.jpg</t>
        </is>
      </c>
      <c r="C1527" s="2" t="str">
        <f>=HYPERLINK("https://xhslink.com/m/5nch58sOQ4R", "https://xhslink.com/m/5nch58sOQ4R")</f>
        <v>https://xhslink.com/m/5nch58sOQ4R</v>
      </c>
      <c r="D1527"/>
      <c r="E1527">
        <v>1071</v>
      </c>
      <c r="F1527">
        <v>89.9</v>
      </c>
      <c r="G1527"/>
      <c r="H1527"/>
      <c r="I1527">
        <v>300</v>
      </c>
      <c r="J1527"/>
      <c r="K1527" t="inlineStr">
        <is>
          <t>资料</t>
        </is>
      </c>
      <c r="L1527"/>
      <c r="M1527" t="inlineStr">
        <is>
          <t>林丸思怡的店</t>
        </is>
      </c>
      <c r="N1527">
        <v>376</v>
      </c>
      <c r="O1527">
        <v>4.01</v>
      </c>
      <c r="P1527">
        <v>5043</v>
      </c>
      <c r="Q1527" t="inlineStr">
        <is>
          <t>68807b549e83740001e3ab53</t>
        </is>
      </c>
      <c r="R1527"/>
      <c r="S1527" t="inlineStr">
        <is>
          <t>高中/高考资料</t>
        </is>
      </c>
      <c r="T1527" t="inlineStr">
        <is>
          <t>2.85</t>
        </is>
      </c>
      <c r="U1527" s="3">
        <v>46112.78107638889</v>
      </c>
      <c r="V1527" t="inlineStr">
        <is>
          <t>虚拟产品</t>
        </is>
      </c>
      <c r="W1527" s="3">
        <v>46048</v>
      </c>
      <c r="X1527" t="inlineStr">
        <is>
          <t>01</t>
        </is>
      </c>
      <c r="Y1527" t="inlineStr">
        <is>
          <t>2026-Q1</t>
        </is>
      </c>
    </row>
    <row r="1528" ht="38.25" customHeight="1">
      <c r="A1528" t="inlineStr">
        <is>
          <t>小书洞 · 【3年级以上】给小学生看的漫画中学地理（全8册）</t>
        </is>
      </c>
      <c r="B1528" t="inlineStr">
        <is>
          <t>recv9necDY3Gj4.jpg</t>
        </is>
      </c>
      <c r="C1528" s="2" t="str">
        <f>=HYPERLINK("https://xhslink.com/m/4N9XoEGqA02", "https://xhslink.com/m/4N9XoEGqA02")</f>
        <v>https://xhslink.com/m/4N9XoEGqA02</v>
      </c>
      <c r="D1528"/>
      <c r="E1528">
        <v>1021</v>
      </c>
      <c r="F1528">
        <v>79</v>
      </c>
      <c r="G1528"/>
      <c r="H1528"/>
      <c r="I1528">
        <v>1000</v>
      </c>
      <c r="J1528"/>
      <c r="K1528" t="inlineStr">
        <is>
          <t>资料</t>
        </is>
      </c>
      <c r="L1528"/>
      <c r="M1528" t="inlineStr">
        <is>
          <t>小书洞旗舰店</t>
        </is>
      </c>
      <c r="N1528">
        <v>4658</v>
      </c>
      <c r="O1528">
        <v>4.61</v>
      </c>
      <c r="P1528">
        <v>324000</v>
      </c>
      <c r="Q1528" t="inlineStr">
        <is>
          <t>69368595b113e40015622dee</t>
        </is>
      </c>
      <c r="R1528" t="inlineStr">
        <is>
          <t>🚫重复</t>
        </is>
      </c>
      <c r="S1528" t="inlineStr">
        <is>
          <t>中小学教辅/教材</t>
        </is>
      </c>
      <c r="T1528" t="inlineStr">
        <is>
          <t>0.22</t>
        </is>
      </c>
      <c r="U1528" s="3">
        <v>46112.78107638889</v>
      </c>
      <c r="V1528" t="inlineStr">
        <is>
          <t>虚拟产品</t>
        </is>
      </c>
      <c r="W1528" s="3">
        <v>46048</v>
      </c>
      <c r="X1528" t="inlineStr">
        <is>
          <t>01</t>
        </is>
      </c>
      <c r="Y1528" t="inlineStr">
        <is>
          <t>2026-Q1</t>
        </is>
      </c>
    </row>
    <row r="1529" ht="38.25" customHeight="1">
      <c r="A1529" t="inlineStr">
        <is>
          <t>海珠姐会计实操  三天内无理由可退</t>
        </is>
      </c>
      <c r="B1529" t="inlineStr">
        <is>
          <t>recv9necDYf0Xg.jpg</t>
        </is>
      </c>
      <c r="C1529" s="2" t="str">
        <f>=HYPERLINK("https://xhslink.com/m/aO8kRUGIit", "https://xhslink.com/m/aO8kRUGIit")</f>
        <v>https://xhslink.com/m/aO8kRUGIit</v>
      </c>
      <c r="D1529"/>
      <c r="E1529">
        <v>833</v>
      </c>
      <c r="F1529">
        <v>380</v>
      </c>
      <c r="G1529"/>
      <c r="H1529"/>
      <c r="I1529">
        <v>200</v>
      </c>
      <c r="J1529"/>
      <c r="K1529" t="inlineStr">
        <is>
          <t>资料</t>
        </is>
      </c>
      <c r="L1529"/>
      <c r="M1529" t="inlineStr">
        <is>
          <t>财务海珠姐的店</t>
        </is>
      </c>
      <c r="N1529">
        <v>18000</v>
      </c>
      <c r="O1529">
        <v>4.5</v>
      </c>
      <c r="P1529">
        <v>835</v>
      </c>
      <c r="Q1529" t="inlineStr">
        <is>
          <t>67fcfd998c174700012f89a1</t>
        </is>
      </c>
      <c r="R1529"/>
      <c r="S1529" t="inlineStr">
        <is>
          <t>会计资料</t>
        </is>
      </c>
      <c r="T1529" t="inlineStr">
        <is>
          <t>0.05</t>
        </is>
      </c>
      <c r="U1529" s="3">
        <v>46112.78107638889</v>
      </c>
      <c r="V1529" t="inlineStr">
        <is>
          <t>虚拟产品</t>
        </is>
      </c>
      <c r="W1529" s="3">
        <v>46048</v>
      </c>
      <c r="X1529" t="inlineStr">
        <is>
          <t>01</t>
        </is>
      </c>
      <c r="Y1529" t="inlineStr">
        <is>
          <t>2026-Q1</t>
        </is>
      </c>
    </row>
    <row r="1530" ht="38.25" customHeight="1">
      <c r="A1530" t="inlineStr">
        <is>
          <t>超格 · 2026行测+申论（五合一）夸夸刷刷题营课程</t>
        </is>
      </c>
      <c r="B1530" t="inlineStr">
        <is>
          <t>recv9necDYW2pD.jpg</t>
        </is>
      </c>
      <c r="C1530" s="2" t="str">
        <f>=HYPERLINK("https://xhslink.com/m/AtxttxIlDWi", "https://xhslink.com/m/AtxttxIlDWi")</f>
        <v>https://xhslink.com/m/AtxttxIlDWi</v>
      </c>
      <c r="D1530"/>
      <c r="E1530">
        <v>834</v>
      </c>
      <c r="F1530">
        <v>249</v>
      </c>
      <c r="G1530"/>
      <c r="H1530"/>
      <c r="I1530">
        <v>200</v>
      </c>
      <c r="J1530"/>
      <c r="K1530" t="inlineStr">
        <is>
          <t>资料</t>
        </is>
      </c>
      <c r="L1530"/>
      <c r="M1530" t="inlineStr">
        <is>
          <t>超格旗舰店</t>
        </is>
      </c>
      <c r="N1530">
        <v>75000</v>
      </c>
      <c r="O1530">
        <v>4.54</v>
      </c>
      <c r="P1530">
        <v>155000</v>
      </c>
      <c r="Q1530" t="inlineStr">
        <is>
          <t>68424b6122c82c0001f23055</t>
        </is>
      </c>
      <c r="R1530" t="inlineStr">
        <is>
          <t>🚫重复</t>
        </is>
      </c>
      <c r="S1530" t="inlineStr">
        <is>
          <t>考公资料</t>
        </is>
      </c>
      <c r="T1530" t="inlineStr">
        <is>
          <t>0.01</t>
        </is>
      </c>
      <c r="U1530" s="3">
        <v>46112.78107638889</v>
      </c>
      <c r="V1530" t="inlineStr">
        <is>
          <t>虚拟产品</t>
        </is>
      </c>
      <c r="W1530" s="3">
        <v>46048</v>
      </c>
      <c r="X1530" t="inlineStr">
        <is>
          <t>01</t>
        </is>
      </c>
      <c r="Y1530" t="inlineStr">
        <is>
          <t>2026-Q1</t>
        </is>
      </c>
    </row>
    <row r="1531" ht="38.25" customHeight="1">
      <c r="A1531" t="inlineStr">
        <is>
          <t>（合集）英语教资面试（逐字稿+知识点+思维导图+视频）PDF电子档</t>
        </is>
      </c>
      <c r="B1531" t="inlineStr">
        <is>
          <t>recv9necDYXN5n.jpg</t>
        </is>
      </c>
      <c r="C1531" s="2" t="str">
        <f>=HYPERLINK("https://xhslink.com/m/6V3r33aZhD4", "https://xhslink.com/m/6V3r33aZhD4")</f>
        <v>https://xhslink.com/m/6V3r33aZhD4</v>
      </c>
      <c r="D1531"/>
      <c r="E1531">
        <v>807</v>
      </c>
      <c r="F1531">
        <v>0.1</v>
      </c>
      <c r="G1531"/>
      <c r="H1531"/>
      <c r="I1531">
        <v>200</v>
      </c>
      <c r="J1531"/>
      <c r="K1531" t="inlineStr">
        <is>
          <t>资料</t>
        </is>
      </c>
      <c r="L1531"/>
      <c r="M1531" t="inlineStr">
        <is>
          <t>藕泥没有酱（教资＋MTI🍀）的店</t>
        </is>
      </c>
      <c r="N1531">
        <v>50000</v>
      </c>
      <c r="O1531">
        <v>4.58</v>
      </c>
      <c r="P1531">
        <v>14000</v>
      </c>
      <c r="Q1531" t="inlineStr">
        <is>
          <t>67ca83b7e15c910001fdd964</t>
        </is>
      </c>
      <c r="R1531" t="inlineStr">
        <is>
          <t>🚫重复</t>
        </is>
      </c>
      <c r="S1531" t="inlineStr">
        <is>
          <t>教资资料</t>
        </is>
      </c>
      <c r="T1531" t="inlineStr">
        <is>
          <t>0.02</t>
        </is>
      </c>
      <c r="U1531" s="3">
        <v>46112.78107638889</v>
      </c>
      <c r="V1531" t="inlineStr">
        <is>
          <t>虚拟产品</t>
        </is>
      </c>
      <c r="W1531" s="3">
        <v>46048</v>
      </c>
      <c r="X1531" t="inlineStr">
        <is>
          <t>01</t>
        </is>
      </c>
      <c r="Y1531" t="inlineStr">
        <is>
          <t>2026-Q1</t>
        </is>
      </c>
    </row>
    <row r="1532" ht="38.25" customHeight="1">
      <c r="A1532" t="inlineStr">
        <is>
          <t>时代云图 · 张宇2027考研数学基础30讲1000题一千题全家桶强化36讲</t>
        </is>
      </c>
      <c r="B1532" t="inlineStr">
        <is>
          <t>recv9necDYwJxC.jpg</t>
        </is>
      </c>
      <c r="C1532" s="2" t="str">
        <f>=HYPERLINK("https://xhslink.com/m/5BJ4RZ6cTVk", "https://xhslink.com/m/5BJ4RZ6cTVk")</f>
        <v>https://xhslink.com/m/5BJ4RZ6cTVk</v>
      </c>
      <c r="D1532"/>
      <c r="E1532">
        <v>755</v>
      </c>
      <c r="F1532">
        <v>169</v>
      </c>
      <c r="G1532"/>
      <c r="H1532"/>
      <c r="I1532">
        <v>300</v>
      </c>
      <c r="J1532"/>
      <c r="K1532" t="inlineStr">
        <is>
          <t>资料</t>
        </is>
      </c>
      <c r="L1532"/>
      <c r="M1532" t="inlineStr">
        <is>
          <t>云图图书旗舰店</t>
        </is>
      </c>
      <c r="N1532">
        <v>8144</v>
      </c>
      <c r="O1532">
        <v>4.59</v>
      </c>
      <c r="P1532">
        <v>15000</v>
      </c>
      <c r="Q1532" t="inlineStr">
        <is>
          <t>68b55c67a50cd900010efb20</t>
        </is>
      </c>
      <c r="R1532" t="inlineStr">
        <is>
          <t>🚫重复</t>
        </is>
      </c>
      <c r="S1532" t="inlineStr">
        <is>
          <t>考研资料</t>
        </is>
      </c>
      <c r="T1532" t="inlineStr">
        <is>
          <t>0.09</t>
        </is>
      </c>
      <c r="U1532" s="3">
        <v>46112.78107638889</v>
      </c>
      <c r="V1532" t="inlineStr">
        <is>
          <t>虚拟产品</t>
        </is>
      </c>
      <c r="W1532" s="3">
        <v>46048</v>
      </c>
      <c r="X1532" t="inlineStr">
        <is>
          <t>01</t>
        </is>
      </c>
      <c r="Y1532" t="inlineStr">
        <is>
          <t>2026-Q1</t>
        </is>
      </c>
    </row>
    <row r="1533" ht="38.25" customHeight="1">
      <c r="A1533" t="inlineStr">
        <is>
          <t>25语文全册知识点汇总复习资料备考单（1-6年级可选）</t>
        </is>
      </c>
      <c r="B1533" t="inlineStr">
        <is>
          <t>recv9necDYLliN.jpg</t>
        </is>
      </c>
      <c r="C1533" s="2" t="str">
        <f>=HYPERLINK("https://xhslink.com/m/5UkwLDfaGNl", "https://xhslink.com/m/5UkwLDfaGNl")</f>
        <v>https://xhslink.com/m/5UkwLDfaGNl</v>
      </c>
      <c r="D1533"/>
      <c r="E1533">
        <v>691</v>
      </c>
      <c r="F1533">
        <v>129.9</v>
      </c>
      <c r="G1533"/>
      <c r="H1533"/>
      <c r="I1533"/>
      <c r="J1533"/>
      <c r="K1533" t="inlineStr">
        <is>
          <t>资料</t>
        </is>
      </c>
      <c r="L1533"/>
      <c r="M1533" t="inlineStr">
        <is>
          <t>西西素材铺的店</t>
        </is>
      </c>
      <c r="N1533">
        <v>731</v>
      </c>
      <c r="O1533">
        <v>3.92</v>
      </c>
      <c r="P1533">
        <v>1941</v>
      </c>
      <c r="Q1533" t="inlineStr">
        <is>
          <t>69390f8536ea3d0001c0fb0d</t>
        </is>
      </c>
      <c r="R1533"/>
      <c r="S1533" t="inlineStr">
        <is>
          <t>中小学教辅/教材</t>
        </is>
      </c>
      <c r="T1533" t="inlineStr">
        <is>
          <t>0.95</t>
        </is>
      </c>
      <c r="U1533" s="3">
        <v>46112.78107638889</v>
      </c>
      <c r="V1533" t="inlineStr">
        <is>
          <t>虚拟产品</t>
        </is>
      </c>
      <c r="W1533" s="3">
        <v>46048</v>
      </c>
      <c r="X1533" t="inlineStr">
        <is>
          <t>01</t>
        </is>
      </c>
      <c r="Y1533" t="inlineStr">
        <is>
          <t>2026-Q1</t>
        </is>
      </c>
    </row>
    <row r="1534" ht="38.25" customHeight="1">
      <c r="A1534" t="inlineStr">
        <is>
          <t>北极星/斯多特/basi/美国bb四大体系学习教培资料·电子版</t>
        </is>
      </c>
      <c r="B1534" t="inlineStr">
        <is>
          <t>recv9necDYYsEK.jpg</t>
        </is>
      </c>
      <c r="C1534" s="2" t="str">
        <f>=HYPERLINK("https://xhslink.com/m/1pwwznkEWqK", "https://xhslink.com/m/1pwwznkEWqK")</f>
        <v>https://xhslink.com/m/1pwwznkEWqK</v>
      </c>
      <c r="D1534"/>
      <c r="E1534">
        <v>597</v>
      </c>
      <c r="F1534">
        <v>799</v>
      </c>
      <c r="G1534"/>
      <c r="H1534"/>
      <c r="I1534">
        <v>200</v>
      </c>
      <c r="J1534"/>
      <c r="K1534" t="inlineStr">
        <is>
          <t>资料</t>
        </is>
      </c>
      <c r="L1534"/>
      <c r="M1534" t="inlineStr">
        <is>
          <t>万卷一册馆的店</t>
        </is>
      </c>
      <c r="N1534">
        <v>1101</v>
      </c>
      <c r="O1534">
        <v>4</v>
      </c>
      <c r="P1534">
        <v>4573</v>
      </c>
      <c r="Q1534" t="inlineStr">
        <is>
          <t>68a08ed77313330001b54388</t>
        </is>
      </c>
      <c r="R1534" t="inlineStr">
        <is>
          <t>🚫重复</t>
        </is>
      </c>
      <c r="S1534" t="inlineStr">
        <is>
          <t>无匹配类别</t>
        </is>
      </c>
      <c r="T1534" t="inlineStr">
        <is>
          <t>0.54</t>
        </is>
      </c>
      <c r="U1534" s="3">
        <v>46112.78107638889</v>
      </c>
      <c r="V1534" t="inlineStr">
        <is>
          <t>虚拟产品</t>
        </is>
      </c>
      <c r="W1534" s="3">
        <v>46048</v>
      </c>
      <c r="X1534" t="inlineStr">
        <is>
          <t>01</t>
        </is>
      </c>
      <c r="Y1534" t="inlineStr">
        <is>
          <t>2026-Q1</t>
        </is>
      </c>
    </row>
    <row r="1535" ht="38.25" customHeight="1">
      <c r="A1535" t="inlineStr">
        <is>
          <t>李凡文学一千题领读笔记李凡文学1000题中国语言文学考研27必备</t>
        </is>
      </c>
      <c r="B1535" t="inlineStr">
        <is>
          <t>recv9necDYweHX.jpg</t>
        </is>
      </c>
      <c r="C1535" s="2" t="str">
        <f>=HYPERLINK("https://xhslink.com/m/3cds2a6hsOz", "https://xhslink.com/m/3cds2a6hsOz")</f>
        <v>https://xhslink.com/m/3cds2a6hsOz</v>
      </c>
      <c r="D1535"/>
      <c r="E1535">
        <v>552</v>
      </c>
      <c r="F1535">
        <v>79</v>
      </c>
      <c r="G1535"/>
      <c r="H1535"/>
      <c r="I1535">
        <v>500</v>
      </c>
      <c r="J1535"/>
      <c r="K1535" t="inlineStr">
        <is>
          <t>资料</t>
        </is>
      </c>
      <c r="L1535"/>
      <c r="M1535" t="inlineStr">
        <is>
          <t>李凡文学的店</t>
        </is>
      </c>
      <c r="N1535">
        <v>15000</v>
      </c>
      <c r="O1535">
        <v>4.53</v>
      </c>
      <c r="P1535">
        <v>555</v>
      </c>
      <c r="Q1535" t="inlineStr">
        <is>
          <t>693bca3a65055f00017e56e3</t>
        </is>
      </c>
      <c r="R1535"/>
      <c r="S1535" t="inlineStr">
        <is>
          <t>考研资料</t>
        </is>
      </c>
      <c r="T1535" t="inlineStr">
        <is>
          <t>0.04</t>
        </is>
      </c>
      <c r="U1535" s="3">
        <v>46112.78107638889</v>
      </c>
      <c r="V1535" t="inlineStr">
        <is>
          <t>虚拟产品</t>
        </is>
      </c>
      <c r="W1535" s="3">
        <v>46048</v>
      </c>
      <c r="X1535" t="inlineStr">
        <is>
          <t>01</t>
        </is>
      </c>
      <c r="Y1535" t="inlineStr">
        <is>
          <t>2026-Q1</t>
        </is>
      </c>
    </row>
    <row r="1536" ht="38.25" customHeight="1">
      <c r="A1536" t="inlineStr">
        <is>
          <t>华晨圆师 · 26南京社招考前专项课</t>
        </is>
      </c>
      <c r="B1536" t="inlineStr">
        <is>
          <t>recv9necDYmtjm.jpg</t>
        </is>
      </c>
      <c r="C1536" s="2" t="str">
        <f>=HYPERLINK("https://xhslink.com/m/2CemoMu5Yg7", "https://xhslink.com/m/2CemoMu5Yg7")</f>
        <v>https://xhslink.com/m/2CemoMu5Yg7</v>
      </c>
      <c r="D1536"/>
      <c r="E1536">
        <v>345</v>
      </c>
      <c r="F1536">
        <v>276</v>
      </c>
      <c r="G1536"/>
      <c r="H1536"/>
      <c r="I1536">
        <v>200</v>
      </c>
      <c r="J1536"/>
      <c r="K1536" t="inlineStr">
        <is>
          <t>资料</t>
        </is>
      </c>
      <c r="L1536"/>
      <c r="M1536" t="inlineStr">
        <is>
          <t>江苏华晨教师培训的店</t>
        </is>
      </c>
      <c r="N1536">
        <v>5457</v>
      </c>
      <c r="O1536">
        <v>4.42</v>
      </c>
      <c r="P1536">
        <v>694</v>
      </c>
      <c r="Q1536" t="inlineStr">
        <is>
          <t>6964ae12aae294000176f8bf</t>
        </is>
      </c>
      <c r="R1536"/>
      <c r="S1536" t="inlineStr">
        <is>
          <t>无匹配类别</t>
        </is>
      </c>
      <c r="T1536" t="inlineStr">
        <is>
          <t>0.06</t>
        </is>
      </c>
      <c r="U1536" s="3">
        <v>46112.78107638889</v>
      </c>
      <c r="V1536" t="inlineStr">
        <is>
          <t>虚拟产品</t>
        </is>
      </c>
      <c r="W1536" s="3">
        <v>46048</v>
      </c>
      <c r="X1536" t="inlineStr">
        <is>
          <t>01</t>
        </is>
      </c>
      <c r="Y1536" t="inlineStr">
        <is>
          <t>2026-Q1</t>
        </is>
      </c>
    </row>
    <row r="1537" ht="38.25" customHeight="1">
      <c r="A1537" t="inlineStr">
        <is>
          <t>《2026小红书虚拟电商灵感手册》【实时更新，目前5.9W+字】</t>
        </is>
      </c>
      <c r="B1537" t="inlineStr">
        <is>
          <t>recv9necDYT6qU.jpg</t>
        </is>
      </c>
      <c r="C1537" s="2" t="str">
        <f>=HYPERLINK("https://xhslink.com/m/2W0O5RoUB5J", "https://xhslink.com/m/2W0O5RoUB5J")</f>
        <v>https://xhslink.com/m/2W0O5RoUB5J</v>
      </c>
      <c r="D1537"/>
      <c r="E1537">
        <v>239</v>
      </c>
      <c r="F1537">
        <v>89</v>
      </c>
      <c r="G1537"/>
      <c r="H1537"/>
      <c r="I1537">
        <v>200</v>
      </c>
      <c r="J1537"/>
      <c r="K1537" t="inlineStr">
        <is>
          <t>资料</t>
        </is>
      </c>
      <c r="L1537"/>
      <c r="M1537" t="inlineStr">
        <is>
          <t>是松月呀的店</t>
        </is>
      </c>
      <c r="N1537">
        <v>9622</v>
      </c>
      <c r="O1537">
        <v>3.98</v>
      </c>
      <c r="P1537">
        <v>247</v>
      </c>
      <c r="Q1537" t="inlineStr">
        <is>
          <t>6966551d1d3786000150d243</t>
        </is>
      </c>
      <c r="R1537"/>
      <c r="S1537" t="inlineStr">
        <is>
          <t>运营资料</t>
        </is>
      </c>
      <c r="T1537" t="inlineStr">
        <is>
          <t>0.02</t>
        </is>
      </c>
      <c r="U1537" s="3">
        <v>46112.78107638889</v>
      </c>
      <c r="V1537" t="inlineStr">
        <is>
          <t>虚拟产品</t>
        </is>
      </c>
      <c r="W1537" s="3">
        <v>46048</v>
      </c>
      <c r="X1537" t="inlineStr">
        <is>
          <t>01</t>
        </is>
      </c>
      <c r="Y1537" t="inlineStr">
        <is>
          <t>2026-Q1</t>
        </is>
      </c>
    </row>
    <row r="1538" ht="38.25" customHeight="1">
      <c r="A1538" t="inlineStr">
        <is>
          <t>外研社 · 雅思口语深度突破</t>
        </is>
      </c>
      <c r="B1538" t="inlineStr">
        <is>
          <t>recv9necDYZtM2.jpg</t>
        </is>
      </c>
      <c r="C1538" s="2" t="str">
        <f>=HYPERLINK("https://xhslink.com/m/X5banumA83", "https://xhslink.com/m/X5banumA83")</f>
        <v>https://xhslink.com/m/X5banumA83</v>
      </c>
      <c r="D1538"/>
      <c r="E1538">
        <v>2908</v>
      </c>
      <c r="F1538">
        <v>49.9</v>
      </c>
      <c r="G1538"/>
      <c r="H1538"/>
      <c r="I1538">
        <v>300</v>
      </c>
      <c r="J1538"/>
      <c r="K1538" t="inlineStr">
        <is>
          <t>雅思</t>
        </is>
      </c>
      <c r="L1538"/>
      <c r="M1538" t="inlineStr">
        <is>
          <t>外研社旗舰店</t>
        </is>
      </c>
      <c r="N1538">
        <v>98000</v>
      </c>
      <c r="O1538">
        <v>4.72</v>
      </c>
      <c r="P1538">
        <v>220000</v>
      </c>
      <c r="Q1538" t="inlineStr">
        <is>
          <t>661dd792c197330001dbf9d9</t>
        </is>
      </c>
      <c r="R1538" t="inlineStr">
        <is>
          <t>🚫重复</t>
        </is>
      </c>
      <c r="S1538" t="inlineStr">
        <is>
          <t>英语资料</t>
        </is>
      </c>
      <c r="T1538" t="inlineStr">
        <is>
          <t>0.03</t>
        </is>
      </c>
      <c r="U1538" s="3">
        <v>46112.78107638889</v>
      </c>
      <c r="V1538" t="inlineStr">
        <is>
          <t>虚拟产品</t>
        </is>
      </c>
      <c r="W1538" s="3">
        <v>46048</v>
      </c>
      <c r="X1538" t="inlineStr">
        <is>
          <t>01</t>
        </is>
      </c>
      <c r="Y1538" t="inlineStr">
        <is>
          <t>2026-Q1</t>
        </is>
      </c>
    </row>
    <row r="1539" ht="38.25" customHeight="1">
      <c r="A1539" t="inlineStr">
        <is>
          <t>9分老师雅思写作实战高分范文 大小作文考前抱佛脚</t>
        </is>
      </c>
      <c r="B1539" t="inlineStr">
        <is>
          <t>recv9necDY7NTM.jpg</t>
        </is>
      </c>
      <c r="C1539" s="2" t="str">
        <f>=HYPERLINK("https://xhslink.com/m/ArfvzFlyRq", "https://xhslink.com/m/ArfvzFlyRq")</f>
        <v>https://xhslink.com/m/ArfvzFlyRq</v>
      </c>
      <c r="D1539"/>
      <c r="E1539">
        <v>1076</v>
      </c>
      <c r="F1539">
        <v>99</v>
      </c>
      <c r="G1539"/>
      <c r="H1539"/>
      <c r="I1539">
        <v>300</v>
      </c>
      <c r="J1539"/>
      <c r="K1539" t="inlineStr">
        <is>
          <t>雅思</t>
        </is>
      </c>
      <c r="L1539"/>
      <c r="M1539" t="inlineStr">
        <is>
          <t>雅思9分Frankie的店</t>
        </is>
      </c>
      <c r="N1539">
        <v>30000</v>
      </c>
      <c r="O1539">
        <v>4.49</v>
      </c>
      <c r="P1539">
        <v>3060</v>
      </c>
      <c r="Q1539" t="inlineStr">
        <is>
          <t>6814662170bae10001d962d3</t>
        </is>
      </c>
      <c r="R1539" t="inlineStr">
        <is>
          <t>🚫重复</t>
        </is>
      </c>
      <c r="S1539" t="inlineStr">
        <is>
          <t>英语资料</t>
        </is>
      </c>
      <c r="T1539" t="inlineStr">
        <is>
          <t>0.04</t>
        </is>
      </c>
      <c r="U1539" s="3">
        <v>46112.78107638889</v>
      </c>
      <c r="V1539" t="inlineStr">
        <is>
          <t>虚拟产品</t>
        </is>
      </c>
      <c r="W1539" s="3">
        <v>46048</v>
      </c>
      <c r="X1539" t="inlineStr">
        <is>
          <t>01</t>
        </is>
      </c>
      <c r="Y1539" t="inlineStr">
        <is>
          <t>2026-Q1</t>
        </is>
      </c>
    </row>
    <row r="1540" ht="38.25" customHeight="1">
      <c r="A1540" t="inlineStr">
        <is>
          <t>25年雅思全科（词汇/阅读/写作/口语/听力）资料汇总</t>
        </is>
      </c>
      <c r="B1540" t="inlineStr">
        <is>
          <t>recv9necDY4WKv.jpg</t>
        </is>
      </c>
      <c r="C1540" s="2" t="str">
        <f>=HYPERLINK("https://xhslink.com/m/885k34C2NSu", "https://xhslink.com/m/885k34C2NSu")</f>
        <v>https://xhslink.com/m/885k34C2NSu</v>
      </c>
      <c r="D1540"/>
      <c r="E1540">
        <v>522</v>
      </c>
      <c r="F1540">
        <v>13.9</v>
      </c>
      <c r="G1540"/>
      <c r="H1540"/>
      <c r="I1540">
        <v>200</v>
      </c>
      <c r="J1540"/>
      <c r="K1540" t="inlineStr">
        <is>
          <t>雅思</t>
        </is>
      </c>
      <c r="L1540" t="inlineStr">
        <is>
          <t>🔥低粉爆款</t>
        </is>
      </c>
      <c r="M1540" t="inlineStr">
        <is>
          <t>丸子老师爱学习的店</t>
        </is>
      </c>
      <c r="N1540">
        <v>119</v>
      </c>
      <c r="O1540">
        <v>3.99</v>
      </c>
      <c r="P1540">
        <v>533</v>
      </c>
      <c r="Q1540" t="inlineStr">
        <is>
          <t>6878c587b1b9df0001d9d71c</t>
        </is>
      </c>
      <c r="R1540"/>
      <c r="S1540" t="inlineStr">
        <is>
          <t>英语资料</t>
        </is>
      </c>
      <c r="T1540" t="inlineStr">
        <is>
          <t>4.39</t>
        </is>
      </c>
      <c r="U1540" s="3">
        <v>46112.78107638889</v>
      </c>
      <c r="V1540" t="inlineStr">
        <is>
          <t>虚拟产品</t>
        </is>
      </c>
      <c r="W1540" s="3">
        <v>46048</v>
      </c>
      <c r="X1540" t="inlineStr">
        <is>
          <t>01</t>
        </is>
      </c>
      <c r="Y1540" t="inlineStr">
        <is>
          <t>2026-Q1</t>
        </is>
      </c>
    </row>
    <row r="1541" ht="38.25" customHeight="1">
      <c r="A1541" t="inlineStr">
        <is>
          <t>（小学）胡小群数学，一步到位</t>
        </is>
      </c>
      <c r="B1541" t="inlineStr">
        <is>
          <t>recv9necDY9rKl.jpg</t>
        </is>
      </c>
      <c r="C1541" s="2" t="str">
        <f>=HYPERLINK("https://xhslink.com/m/71rQpWJWqTA", "https://xhslink.com/m/71rQpWJWqTA")</f>
        <v>https://xhslink.com/m/71rQpWJWqTA</v>
      </c>
      <c r="D1541"/>
      <c r="E1541">
        <v>7677</v>
      </c>
      <c r="F1541">
        <v>999</v>
      </c>
      <c r="G1541"/>
      <c r="H1541"/>
      <c r="I1541">
        <v>400</v>
      </c>
      <c r="J1541"/>
      <c r="K1541" t="inlineStr">
        <is>
          <t>小学数学</t>
        </is>
      </c>
      <c r="L1541"/>
      <c r="M1541" t="inlineStr">
        <is>
          <t>胡小群一步到位的店</t>
        </is>
      </c>
      <c r="N1541">
        <v>6209</v>
      </c>
      <c r="O1541">
        <v>4.53</v>
      </c>
      <c r="P1541">
        <v>16000</v>
      </c>
      <c r="Q1541" t="inlineStr">
        <is>
          <t>66f68337eb6ef20001083a4b</t>
        </is>
      </c>
      <c r="R1541" t="inlineStr">
        <is>
          <t>🚫重复</t>
        </is>
      </c>
      <c r="S1541" t="inlineStr">
        <is>
          <t>中小学教辅/教材</t>
        </is>
      </c>
      <c r="T1541" t="inlineStr">
        <is>
          <t>1.24</t>
        </is>
      </c>
      <c r="U1541" s="3">
        <v>46112.78107638889</v>
      </c>
      <c r="V1541" t="inlineStr">
        <is>
          <t>虚拟产品</t>
        </is>
      </c>
      <c r="W1541" s="3">
        <v>46048</v>
      </c>
      <c r="X1541" t="inlineStr">
        <is>
          <t>01</t>
        </is>
      </c>
      <c r="Y1541" t="inlineStr">
        <is>
          <t>2026-Q1</t>
        </is>
      </c>
    </row>
    <row r="1542" ht="38.25" customHeight="1">
      <c r="A1542" t="inlineStr">
        <is>
          <t>斗半匠 · 小学数学思维训练1-6年级数学知识点强化专项训练答案解析</t>
        </is>
      </c>
      <c r="B1542" t="inlineStr">
        <is>
          <t>recv9necDYYncd.jpg</t>
        </is>
      </c>
      <c r="C1542" s="2" t="str">
        <f>=HYPERLINK("https://xhslink.com/m/50XCiNtg0Co", "https://xhslink.com/m/50XCiNtg0Co")</f>
        <v>https://xhslink.com/m/50XCiNtg0Co</v>
      </c>
      <c r="D1542"/>
      <c r="E1542">
        <v>6643</v>
      </c>
      <c r="F1542">
        <v>49.8</v>
      </c>
      <c r="G1542"/>
      <c r="H1542"/>
      <c r="I1542">
        <v>200</v>
      </c>
      <c r="J1542"/>
      <c r="K1542" t="inlineStr">
        <is>
          <t>小学数学</t>
        </is>
      </c>
      <c r="L1542"/>
      <c r="M1542" t="inlineStr">
        <is>
          <t>斗半匠旗舰店</t>
        </is>
      </c>
      <c r="N1542">
        <v>67000</v>
      </c>
      <c r="O1542">
        <v>4.54</v>
      </c>
      <c r="P1542">
        <v>187000</v>
      </c>
      <c r="Q1542" t="inlineStr">
        <is>
          <t>656e8de98213290001d05236</t>
        </is>
      </c>
      <c r="R1542"/>
      <c r="S1542" t="inlineStr">
        <is>
          <t>中小学教辅/教材</t>
        </is>
      </c>
      <c r="T1542" t="inlineStr">
        <is>
          <t>0.10</t>
        </is>
      </c>
      <c r="U1542" s="3">
        <v>46112.78107638889</v>
      </c>
      <c r="V1542" t="inlineStr">
        <is>
          <t>虚拟产品</t>
        </is>
      </c>
      <c r="W1542" s="3">
        <v>46048</v>
      </c>
      <c r="X1542" t="inlineStr">
        <is>
          <t>01</t>
        </is>
      </c>
      <c r="Y1542" t="inlineStr">
        <is>
          <t>2026-Q1</t>
        </is>
      </c>
    </row>
    <row r="1543" ht="38.25" customHeight="1">
      <c r="A1543" t="inlineStr">
        <is>
          <t>小学数学手册1980版（全新印本）274页超厚实用数学工具书</t>
        </is>
      </c>
      <c r="B1543" t="inlineStr">
        <is>
          <t>recv9necDYSXic.jpg</t>
        </is>
      </c>
      <c r="C1543" s="2" t="str">
        <f>=HYPERLINK("https://xhslink.com/m/4NsTIZqk4SS", "https://xhslink.com/m/4NsTIZqk4SS")</f>
        <v>https://xhslink.com/m/4NsTIZqk4SS</v>
      </c>
      <c r="D1543"/>
      <c r="E1543">
        <v>4678</v>
      </c>
      <c r="F1543">
        <v>28</v>
      </c>
      <c r="G1543"/>
      <c r="H1543"/>
      <c r="I1543">
        <v>4000</v>
      </c>
      <c r="J1543"/>
      <c r="K1543" t="inlineStr">
        <is>
          <t>小学数学</t>
        </is>
      </c>
      <c r="L1543"/>
      <c r="M1543" t="inlineStr">
        <is>
          <t>嘉糯的旧时光书屋的店</t>
        </is>
      </c>
      <c r="N1543">
        <v>2083</v>
      </c>
      <c r="O1543">
        <v>4.6</v>
      </c>
      <c r="P1543">
        <v>5281</v>
      </c>
      <c r="Q1543" t="inlineStr">
        <is>
          <t>6932b4a2ce3eb50001ab68d2</t>
        </is>
      </c>
      <c r="R1543"/>
      <c r="S1543" t="inlineStr">
        <is>
          <t>中小学教辅/教材</t>
        </is>
      </c>
      <c r="T1543" t="inlineStr">
        <is>
          <t>2.25</t>
        </is>
      </c>
      <c r="U1543" s="3">
        <v>46112.78107638889</v>
      </c>
      <c r="V1543" t="inlineStr">
        <is>
          <t>虚拟产品</t>
        </is>
      </c>
      <c r="W1543" s="3">
        <v>46048</v>
      </c>
      <c r="X1543" t="inlineStr">
        <is>
          <t>01</t>
        </is>
      </c>
      <c r="Y1543" t="inlineStr">
        <is>
          <t>2026-Q1</t>
        </is>
      </c>
    </row>
    <row r="1544" ht="38.25" customHeight="1">
      <c r="A1544" t="inlineStr">
        <is>
          <t>【校外版】2025小学学业质量检测精编1-6年级上册语数英</t>
        </is>
      </c>
      <c r="B1544" t="inlineStr">
        <is>
          <t>recv9necDYoRFC.jpg</t>
        </is>
      </c>
      <c r="C1544" s="2" t="str">
        <f>=HYPERLINK("https://xhslink.com/m/7BTplHrb4cP", "https://xhslink.com/m/7BTplHrb4cP")</f>
        <v>https://xhslink.com/m/7BTplHrb4cP</v>
      </c>
      <c r="D1544"/>
      <c r="E1544">
        <v>2250</v>
      </c>
      <c r="F1544">
        <v>39.9</v>
      </c>
      <c r="G1544"/>
      <c r="H1544"/>
      <c r="I1544">
        <v>400</v>
      </c>
      <c r="J1544"/>
      <c r="K1544" t="inlineStr">
        <is>
          <t>小学数学</t>
        </is>
      </c>
      <c r="L1544"/>
      <c r="M1544" t="inlineStr">
        <is>
          <t>徐戎书店的店</t>
        </is>
      </c>
      <c r="N1544">
        <v>3472</v>
      </c>
      <c r="O1544">
        <v>4.63</v>
      </c>
      <c r="P1544">
        <v>5439</v>
      </c>
      <c r="Q1544" t="inlineStr">
        <is>
          <t>68ad59e98ec6fa000145eea9</t>
        </is>
      </c>
      <c r="R1544" t="inlineStr">
        <is>
          <t>🚫重复</t>
        </is>
      </c>
      <c r="S1544" t="inlineStr">
        <is>
          <t>中小学教辅/教材</t>
        </is>
      </c>
      <c r="T1544" t="inlineStr">
        <is>
          <t>0.65</t>
        </is>
      </c>
      <c r="U1544" s="3">
        <v>46112.78107638889</v>
      </c>
      <c r="V1544" t="inlineStr">
        <is>
          <t>虚拟产品</t>
        </is>
      </c>
      <c r="W1544" s="3">
        <v>46048</v>
      </c>
      <c r="X1544" t="inlineStr">
        <is>
          <t>01</t>
        </is>
      </c>
      <c r="Y1544" t="inlineStr">
        <is>
          <t>2026-Q1</t>
        </is>
      </c>
    </row>
    <row r="1545" ht="38.25" customHeight="1">
      <c r="A1545" t="inlineStr">
        <is>
          <t>【全国通用】新版小学数学画图法母题精讲快解应用题数学思维训练</t>
        </is>
      </c>
      <c r="B1545" t="inlineStr">
        <is>
          <t>recv9necDY8mCE.jpg</t>
        </is>
      </c>
      <c r="C1545" s="2" t="str">
        <f>=HYPERLINK("https://xhslink.com/m/2YnUzL8c8Js", "https://xhslink.com/m/2YnUzL8c8Js")</f>
        <v>https://xhslink.com/m/2YnUzL8c8Js</v>
      </c>
      <c r="D1545"/>
      <c r="E1545">
        <v>887</v>
      </c>
      <c r="F1545">
        <v>78.9</v>
      </c>
      <c r="G1545"/>
      <c r="H1545"/>
      <c r="I1545">
        <v>200</v>
      </c>
      <c r="J1545"/>
      <c r="K1545" t="inlineStr">
        <is>
          <t>小学数学</t>
        </is>
      </c>
      <c r="L1545"/>
      <c r="M1545" t="inlineStr">
        <is>
          <t>创优图书的店</t>
        </is>
      </c>
      <c r="N1545">
        <v>1074</v>
      </c>
      <c r="O1545">
        <v>4.61</v>
      </c>
      <c r="P1545">
        <v>48000</v>
      </c>
      <c r="Q1545" t="inlineStr">
        <is>
          <t>6822ff36e0db0d001557212d</t>
        </is>
      </c>
      <c r="R1545"/>
      <c r="S1545" t="inlineStr">
        <is>
          <t>中小学教辅/教材</t>
        </is>
      </c>
      <c r="T1545" t="inlineStr">
        <is>
          <t>0.83</t>
        </is>
      </c>
      <c r="U1545" s="3">
        <v>46112.78107638889</v>
      </c>
      <c r="V1545" t="inlineStr">
        <is>
          <t>虚拟产品</t>
        </is>
      </c>
      <c r="W1545" s="3">
        <v>46048</v>
      </c>
      <c r="X1545" t="inlineStr">
        <is>
          <t>01</t>
        </is>
      </c>
      <c r="Y1545" t="inlineStr">
        <is>
          <t>2026-Q1</t>
        </is>
      </c>
    </row>
    <row r="1546" ht="38.25" customHeight="1">
      <c r="A1546" t="inlineStr">
        <is>
          <t>（配电子答案）新版金点子小学期末真题精选卷上下册语文数学英语</t>
        </is>
      </c>
      <c r="B1546" t="inlineStr">
        <is>
          <t>recv9necDYm14P.jpg</t>
        </is>
      </c>
      <c r="C1546" s="2" t="str">
        <f>=HYPERLINK("https://xhslink.com/m/2PLUElaTX6J", "https://xhslink.com/m/2PLUElaTX6J")</f>
        <v>https://xhslink.com/m/2PLUElaTX6J</v>
      </c>
      <c r="D1546"/>
      <c r="E1546">
        <v>662</v>
      </c>
      <c r="F1546">
        <v>33.8</v>
      </c>
      <c r="G1546"/>
      <c r="H1546"/>
      <c r="I1546">
        <v>300</v>
      </c>
      <c r="J1546"/>
      <c r="K1546" t="inlineStr">
        <is>
          <t>小学数学</t>
        </is>
      </c>
      <c r="L1546"/>
      <c r="M1546" t="inlineStr">
        <is>
          <t>徐戎书店的店</t>
        </is>
      </c>
      <c r="N1546">
        <v>3472</v>
      </c>
      <c r="O1546">
        <v>4.63</v>
      </c>
      <c r="P1546">
        <v>5439</v>
      </c>
      <c r="Q1546" t="inlineStr">
        <is>
          <t>690d8abd1b787900019af937</t>
        </is>
      </c>
      <c r="R1546" t="inlineStr">
        <is>
          <t>🚫重复</t>
        </is>
      </c>
      <c r="S1546" t="inlineStr">
        <is>
          <t>中小学教辅/教材</t>
        </is>
      </c>
      <c r="T1546" t="inlineStr">
        <is>
          <t>0.19</t>
        </is>
      </c>
      <c r="U1546" s="3">
        <v>46112.78107638889</v>
      </c>
      <c r="V1546" t="inlineStr">
        <is>
          <t>虚拟产品</t>
        </is>
      </c>
      <c r="W1546" s="3">
        <v>46048</v>
      </c>
      <c r="X1546" t="inlineStr">
        <is>
          <t>01</t>
        </is>
      </c>
      <c r="Y1546" t="inlineStr">
        <is>
          <t>2026-Q1</t>
        </is>
      </c>
    </row>
    <row r="1547" ht="38.25" customHeight="1">
      <c r="A1547" t="inlineStr">
        <is>
          <t>小学课外小古文阅读理解训练（纸质版）空白版+彩色注解版共2本</t>
        </is>
      </c>
      <c r="B1547" t="inlineStr">
        <is>
          <t>recv9necDYuQc8.jpg</t>
        </is>
      </c>
      <c r="C1547" s="2" t="str">
        <f>=HYPERLINK("https://xhslink.com/m/2WFiYfH57ul", "https://xhslink.com/m/2WFiYfH57ul")</f>
        <v>https://xhslink.com/m/2WFiYfH57ul</v>
      </c>
      <c r="D1547"/>
      <c r="E1547">
        <v>1765</v>
      </c>
      <c r="F1547">
        <v>29.9</v>
      </c>
      <c r="G1547"/>
      <c r="H1547"/>
      <c r="I1547">
        <v>200</v>
      </c>
      <c r="J1547"/>
      <c r="K1547" t="inlineStr">
        <is>
          <t>小学语文</t>
        </is>
      </c>
      <c r="L1547"/>
      <c r="M1547" t="inlineStr">
        <is>
          <t>夏小夏老师的店</t>
        </is>
      </c>
      <c r="N1547">
        <v>27000</v>
      </c>
      <c r="O1547">
        <v>4.55</v>
      </c>
      <c r="P1547">
        <v>18000</v>
      </c>
      <c r="Q1547" t="inlineStr">
        <is>
          <t>67146e3c7920da000162a958</t>
        </is>
      </c>
      <c r="R1547" t="inlineStr">
        <is>
          <t>🚫重复</t>
        </is>
      </c>
      <c r="S1547" t="inlineStr">
        <is>
          <t>中小学教辅/教材</t>
        </is>
      </c>
      <c r="T1547" t="inlineStr">
        <is>
          <t>0.07</t>
        </is>
      </c>
      <c r="U1547" s="3">
        <v>46112.78107638889</v>
      </c>
      <c r="V1547" t="inlineStr">
        <is>
          <t>虚拟产品</t>
        </is>
      </c>
      <c r="W1547" s="3">
        <v>46048</v>
      </c>
      <c r="X1547" t="inlineStr">
        <is>
          <t>01</t>
        </is>
      </c>
      <c r="Y1547" t="inlineStr">
        <is>
          <t>2026-Q1</t>
        </is>
      </c>
    </row>
    <row r="1548" ht="38.25" customHeight="1">
      <c r="A1548" t="inlineStr">
        <is>
          <t>来川 · 英文原著分级足量阅读童话故事 小学初中通用 东北师范大学出版社</t>
        </is>
      </c>
      <c r="B1548" t="inlineStr">
        <is>
          <t>recv9necDYI5oL.jpg</t>
        </is>
      </c>
      <c r="C1548" s="2" t="str">
        <f>=HYPERLINK("https://xhslink.com/m/6Kgey9IdO0A", "https://xhslink.com/m/6Kgey9IdO0A")</f>
        <v>https://xhslink.com/m/6Kgey9IdO0A</v>
      </c>
      <c r="D1548"/>
      <c r="E1548">
        <v>7490</v>
      </c>
      <c r="F1548">
        <v>499</v>
      </c>
      <c r="G1548"/>
      <c r="H1548"/>
      <c r="I1548">
        <v>300</v>
      </c>
      <c r="J1548"/>
      <c r="K1548" t="inlineStr">
        <is>
          <t>小学英语</t>
        </is>
      </c>
      <c r="L1548"/>
      <c r="M1548" t="inlineStr">
        <is>
          <t>来川学习方法的店</t>
        </is>
      </c>
      <c r="N1548">
        <v>91000</v>
      </c>
      <c r="O1548">
        <v>4.8</v>
      </c>
      <c r="P1548">
        <v>49000</v>
      </c>
      <c r="Q1548" t="inlineStr">
        <is>
          <t>63f57d3b9d244b0001bfd832</t>
        </is>
      </c>
      <c r="R1548" t="inlineStr">
        <is>
          <t>🚫重复</t>
        </is>
      </c>
      <c r="S1548" t="inlineStr">
        <is>
          <t>中小学教辅/教材</t>
        </is>
      </c>
      <c r="T1548" t="inlineStr">
        <is>
          <t>0.08</t>
        </is>
      </c>
      <c r="U1548" s="3">
        <v>46112.78107638889</v>
      </c>
      <c r="V1548" t="inlineStr">
        <is>
          <t>虚拟产品</t>
        </is>
      </c>
      <c r="W1548" s="3">
        <v>46048</v>
      </c>
      <c r="X1548" t="inlineStr">
        <is>
          <t>01</t>
        </is>
      </c>
      <c r="Y1548" t="inlineStr">
        <is>
          <t>2026-Q1</t>
        </is>
      </c>
    </row>
    <row r="1549" ht="38.25" customHeight="1">
      <c r="A1549" t="inlineStr">
        <is>
          <t>小学英语语法专项训练合集小升初英语语法大全</t>
        </is>
      </c>
      <c r="B1549" t="inlineStr">
        <is>
          <t>recv9necDYeIAQ.jpg</t>
        </is>
      </c>
      <c r="C1549" s="2" t="str">
        <f>=HYPERLINK("https://xhslink.com/m/19A6RWv1AwQ", "https://xhslink.com/m/19A6RWv1AwQ")</f>
        <v>https://xhslink.com/m/19A6RWv1AwQ</v>
      </c>
      <c r="D1549"/>
      <c r="E1549">
        <v>5418</v>
      </c>
      <c r="F1549">
        <v>14.99</v>
      </c>
      <c r="G1549"/>
      <c r="H1549"/>
      <c r="I1549">
        <v>400</v>
      </c>
      <c r="J1549"/>
      <c r="K1549" t="inlineStr">
        <is>
          <t>小学英语</t>
        </is>
      </c>
      <c r="L1549"/>
      <c r="M1549" t="inlineStr">
        <is>
          <t>李老师小课堂的店</t>
        </is>
      </c>
      <c r="N1549">
        <v>4279</v>
      </c>
      <c r="O1549">
        <v>4.11</v>
      </c>
      <c r="P1549">
        <v>8855</v>
      </c>
      <c r="Q1549" t="inlineStr">
        <is>
          <t>67a23eacf4d6570001acae66</t>
        </is>
      </c>
      <c r="R1549" t="inlineStr">
        <is>
          <t>🚫重复</t>
        </is>
      </c>
      <c r="S1549" t="inlineStr">
        <is>
          <t>中小学教辅/教材</t>
        </is>
      </c>
      <c r="T1549" t="inlineStr">
        <is>
          <t>1.27</t>
        </is>
      </c>
      <c r="U1549" s="3">
        <v>46112.78107638889</v>
      </c>
      <c r="V1549" t="inlineStr">
        <is>
          <t>虚拟产品</t>
        </is>
      </c>
      <c r="W1549" s="3">
        <v>46048</v>
      </c>
      <c r="X1549" t="inlineStr">
        <is>
          <t>01</t>
        </is>
      </c>
      <c r="Y1549" t="inlineStr">
        <is>
          <t>2026-Q1</t>
        </is>
      </c>
    </row>
    <row r="1550" ht="38.25" customHeight="1">
      <c r="A1550" t="inlineStr">
        <is>
          <t>ssp上海学生英文报2026分类话题训练寒假合刊小学初高中寒假作业</t>
        </is>
      </c>
      <c r="B1550" t="inlineStr">
        <is>
          <t>recv9necDYfuQV.jpg</t>
        </is>
      </c>
      <c r="C1550" s="2" t="str">
        <f>=HYPERLINK("https://xhslink.com/m/3EYfF3HU3Dw", "https://xhslink.com/m/3EYfF3HU3Dw")</f>
        <v>https://xhslink.com/m/3EYfF3HU3Dw</v>
      </c>
      <c r="D1550"/>
      <c r="E1550">
        <v>1879</v>
      </c>
      <c r="F1550">
        <v>338</v>
      </c>
      <c r="G1550"/>
      <c r="H1550"/>
      <c r="I1550">
        <v>1000</v>
      </c>
      <c r="J1550"/>
      <c r="K1550" t="inlineStr">
        <is>
          <t>小学英语</t>
        </is>
      </c>
      <c r="L1550"/>
      <c r="M1550" t="inlineStr">
        <is>
          <t>慈怀书店的店</t>
        </is>
      </c>
      <c r="N1550">
        <v>5799</v>
      </c>
      <c r="O1550">
        <v>4.79</v>
      </c>
      <c r="P1550">
        <v>26000</v>
      </c>
      <c r="Q1550" t="inlineStr">
        <is>
          <t>6948f843b1e6660001482673</t>
        </is>
      </c>
      <c r="R1550" t="inlineStr">
        <is>
          <t>🚫重复</t>
        </is>
      </c>
      <c r="S1550" t="inlineStr">
        <is>
          <t>中小学教辅/教材</t>
        </is>
      </c>
      <c r="T1550" t="inlineStr">
        <is>
          <t>0.32</t>
        </is>
      </c>
      <c r="U1550" s="3">
        <v>46112.78107638889</v>
      </c>
      <c r="V1550" t="inlineStr">
        <is>
          <t>虚拟产品</t>
        </is>
      </c>
      <c r="W1550" s="3">
        <v>46048</v>
      </c>
      <c r="X1550" t="inlineStr">
        <is>
          <t>01</t>
        </is>
      </c>
      <c r="Y1550" t="inlineStr">
        <is>
          <t>2026-Q1</t>
        </is>
      </c>
    </row>
    <row r="1551" ht="38.25" customHeight="1">
      <c r="A1551" t="inlineStr">
        <is>
          <t>小学英语 自然拼读记单词一本通单词汇总学记背方法技巧 · 小学</t>
        </is>
      </c>
      <c r="B1551" t="inlineStr">
        <is>
          <t>recv9necDYYezn.jpg</t>
        </is>
      </c>
      <c r="C1551" s="2" t="str">
        <f>=HYPERLINK("https://xhslink.com/m/5T3LsU8PBZ8", "https://xhslink.com/m/5T3LsU8PBZ8")</f>
        <v>https://xhslink.com/m/5T3LsU8PBZ8</v>
      </c>
      <c r="D1551"/>
      <c r="E1551">
        <v>794</v>
      </c>
      <c r="F1551">
        <v>54.8</v>
      </c>
      <c r="G1551"/>
      <c r="H1551"/>
      <c r="I1551">
        <v>300</v>
      </c>
      <c r="J1551"/>
      <c r="K1551" t="inlineStr">
        <is>
          <t>小学英语</t>
        </is>
      </c>
      <c r="L1551"/>
      <c r="M1551" t="inlineStr">
        <is>
          <t>三成书社的店</t>
        </is>
      </c>
      <c r="N1551">
        <v>2712</v>
      </c>
      <c r="O1551">
        <v>4.64</v>
      </c>
      <c r="P1551">
        <v>7065</v>
      </c>
      <c r="Q1551" t="inlineStr">
        <is>
          <t>689152e7417c3f0001fc5214</t>
        </is>
      </c>
      <c r="R1551"/>
      <c r="S1551" t="inlineStr">
        <is>
          <t>中小学教辅/教材</t>
        </is>
      </c>
      <c r="T1551" t="inlineStr">
        <is>
          <t>0.29</t>
        </is>
      </c>
      <c r="U1551" s="3">
        <v>46112.78107638889</v>
      </c>
      <c r="V1551" t="inlineStr">
        <is>
          <t>虚拟产品</t>
        </is>
      </c>
      <c r="W1551" s="3">
        <v>46048</v>
      </c>
      <c r="X1551" t="inlineStr">
        <is>
          <t>01</t>
        </is>
      </c>
      <c r="Y1551" t="inlineStr">
        <is>
          <t>2026-Q1</t>
        </is>
      </c>
    </row>
    <row r="1552" ht="38.25" customHeight="1">
      <c r="A1552" t="inlineStr">
        <is>
          <t>译林版小学英语三四五六年级上册英语期末专项训练及期末试卷</t>
        </is>
      </c>
      <c r="B1552" t="inlineStr">
        <is>
          <t>recv9necDYxjsB.jpg</t>
        </is>
      </c>
      <c r="C1552" s="2" t="str">
        <f>=HYPERLINK("https://xhslink.com/m/8m5GMzb94yP", "https://xhslink.com/m/8m5GMzb94yP")</f>
        <v>https://xhslink.com/m/8m5GMzb94yP</v>
      </c>
      <c r="D1552"/>
      <c r="E1552">
        <v>895</v>
      </c>
      <c r="F1552">
        <v>29.9</v>
      </c>
      <c r="G1552"/>
      <c r="H1552"/>
      <c r="I1552">
        <v>800</v>
      </c>
      <c r="J1552"/>
      <c r="K1552" t="inlineStr">
        <is>
          <t>小学英语</t>
        </is>
      </c>
      <c r="L1552"/>
      <c r="M1552" t="inlineStr">
        <is>
          <t>薇薇资料库的店</t>
        </is>
      </c>
      <c r="N1552">
        <v>449</v>
      </c>
      <c r="O1552">
        <v>4.11</v>
      </c>
      <c r="P1552">
        <v>2702</v>
      </c>
      <c r="Q1552" t="inlineStr">
        <is>
          <t>6944f3884d11d700017a48e5</t>
        </is>
      </c>
      <c r="R1552"/>
      <c r="S1552" t="inlineStr">
        <is>
          <t>中小学教辅/教材</t>
        </is>
      </c>
      <c r="T1552" t="inlineStr">
        <is>
          <t>1.99</t>
        </is>
      </c>
      <c r="U1552" s="3">
        <v>46112.78107638889</v>
      </c>
      <c r="V1552" t="inlineStr">
        <is>
          <t>虚拟产品</t>
        </is>
      </c>
      <c r="W1552" s="3">
        <v>46048</v>
      </c>
      <c r="X1552" t="inlineStr">
        <is>
          <t>01</t>
        </is>
      </c>
      <c r="Y1552" t="inlineStr">
        <is>
          <t>2026-Q1</t>
        </is>
      </c>
    </row>
    <row r="1553" ht="38.25" customHeight="1">
      <c r="A1553" t="inlineStr">
        <is>
          <t>2-7岁数学启蒙・蒙氏数学家庭课堂</t>
        </is>
      </c>
      <c r="B1553" t="inlineStr">
        <is>
          <t>recv9twLynApwU.jpg</t>
        </is>
      </c>
      <c r="C1553" s="2" t="str">
        <f>=HYPERLINK("https://xhslink.com/m/3epT4kffaXs", "https://xhslink.com/m/3epT4kffaXs")</f>
        <v>https://xhslink.com/m/3epT4kffaXs</v>
      </c>
      <c r="D1553"/>
      <c r="E1553">
        <v>1411</v>
      </c>
      <c r="F1553">
        <v>1288</v>
      </c>
      <c r="G1553"/>
      <c r="H1553"/>
      <c r="I1553">
        <v>200</v>
      </c>
      <c r="J1553"/>
      <c r="K1553" t="inlineStr">
        <is>
          <t>启蒙</t>
        </is>
      </c>
      <c r="L1553"/>
      <c r="M1553" t="inlineStr">
        <is>
          <t>年年有糖好物推荐的店</t>
        </is>
      </c>
      <c r="N1553">
        <v>3603</v>
      </c>
      <c r="O1553">
        <v>4.5</v>
      </c>
      <c r="P1553">
        <v>3812</v>
      </c>
      <c r="Q1553" t="inlineStr">
        <is>
          <t>6584506b1105ca0001fab1dd</t>
        </is>
      </c>
      <c r="R1553"/>
      <c r="S1553" t="inlineStr">
        <is>
          <t>幼教资料</t>
        </is>
      </c>
      <c r="T1553" t="inlineStr">
        <is>
          <t>0.39</t>
        </is>
      </c>
      <c r="U1553" s="3">
        <v>46112.78107638889</v>
      </c>
      <c r="V1553" t="inlineStr">
        <is>
          <t>虚拟产品</t>
        </is>
      </c>
      <c r="W1553" s="3">
        <v>46049</v>
      </c>
      <c r="X1553" t="inlineStr">
        <is>
          <t>01</t>
        </is>
      </c>
      <c r="Y1553" t="inlineStr">
        <is>
          <t>2026-Q1</t>
        </is>
      </c>
    </row>
    <row r="1554" ht="38.25" customHeight="1">
      <c r="A1554" t="inlineStr">
        <is>
          <t>【麦麦妈语文】名篇阅读理解+仿写精练</t>
        </is>
      </c>
      <c r="B1554" t="inlineStr">
        <is>
          <t>recv9twLyn21qf.jpg</t>
        </is>
      </c>
      <c r="C1554" s="2" t="str">
        <f>=HYPERLINK("https://xhslink.com/m/4rdx7YKE5r1", "https://xhslink.com/m/4rdx7YKE5r1")</f>
        <v>https://xhslink.com/m/4rdx7YKE5r1</v>
      </c>
      <c r="D1554"/>
      <c r="E1554">
        <v>870</v>
      </c>
      <c r="F1554">
        <v>1899</v>
      </c>
      <c r="G1554"/>
      <c r="H1554"/>
      <c r="I1554">
        <v>700</v>
      </c>
      <c r="J1554"/>
      <c r="K1554" t="inlineStr">
        <is>
          <t>启蒙</t>
        </is>
      </c>
      <c r="L1554"/>
      <c r="M1554" t="inlineStr">
        <is>
          <t>麦麦妈的小书房的店</t>
        </is>
      </c>
      <c r="N1554">
        <v>3007</v>
      </c>
      <c r="O1554">
        <v>4.47</v>
      </c>
      <c r="P1554">
        <v>5233</v>
      </c>
      <c r="Q1554" t="inlineStr">
        <is>
          <t>692e8128ccb9e0000142f8b8</t>
        </is>
      </c>
      <c r="R1554" t="inlineStr">
        <is>
          <t>🚫重复</t>
        </is>
      </c>
      <c r="S1554" t="inlineStr">
        <is>
          <t>中小学教辅/教材</t>
        </is>
      </c>
      <c r="T1554" t="inlineStr">
        <is>
          <t>0.29</t>
        </is>
      </c>
      <c r="U1554" s="3">
        <v>46112.78107638889</v>
      </c>
      <c r="V1554" t="inlineStr">
        <is>
          <t>虚拟产品</t>
        </is>
      </c>
      <c r="W1554" s="3">
        <v>46049</v>
      </c>
      <c r="X1554" t="inlineStr">
        <is>
          <t>01</t>
        </is>
      </c>
      <c r="Y1554" t="inlineStr">
        <is>
          <t>2026-Q1</t>
        </is>
      </c>
    </row>
    <row r="1555" ht="38.25" customHeight="1">
      <c r="A1555" t="inlineStr">
        <is>
          <t>公安辅警招聘考试公安基础知识行测行政能力测试考试题库刷题app</t>
        </is>
      </c>
      <c r="B1555" t="inlineStr">
        <is>
          <t>recv9twLynd1cW.jpg</t>
        </is>
      </c>
      <c r="C1555" s="2" t="str">
        <f>=HYPERLINK("https://xhslink.com/m/5fCq1PUueD9", "https://xhslink.com/m/5fCq1PUueD9")</f>
        <v>https://xhslink.com/m/5fCq1PUueD9</v>
      </c>
      <c r="D1555"/>
      <c r="E1555">
        <v>6129</v>
      </c>
      <c r="F1555">
        <v>66.88</v>
      </c>
      <c r="G1555"/>
      <c r="H1555"/>
      <c r="I1555">
        <v>800</v>
      </c>
      <c r="J1555"/>
      <c r="K1555" t="inlineStr">
        <is>
          <t>电子资料</t>
        </is>
      </c>
      <c r="L1555" t="inlineStr">
        <is>
          <t>🔥低粉爆款</t>
        </is>
      </c>
      <c r="M1555" t="inlineStr">
        <is>
          <t>香香学姐题库的店</t>
        </is>
      </c>
      <c r="N1555">
        <v>1161</v>
      </c>
      <c r="O1555">
        <v>4.4</v>
      </c>
      <c r="P1555">
        <v>6464</v>
      </c>
      <c r="Q1555" t="inlineStr">
        <is>
          <t>690f13fbdcedc70001310364</t>
        </is>
      </c>
      <c r="R1555" t="inlineStr">
        <is>
          <t>🚫重复</t>
        </is>
      </c>
      <c r="S1555" t="inlineStr">
        <is>
          <t>求职面试/职场</t>
        </is>
      </c>
      <c r="T1555" t="inlineStr">
        <is>
          <t>5.28</t>
        </is>
      </c>
      <c r="U1555" s="3">
        <v>46112.78107638889</v>
      </c>
      <c r="V1555" t="inlineStr">
        <is>
          <t>虚拟产品</t>
        </is>
      </c>
      <c r="W1555" s="3">
        <v>46049</v>
      </c>
      <c r="X1555" t="inlineStr">
        <is>
          <t>01</t>
        </is>
      </c>
      <c r="Y1555" t="inlineStr">
        <is>
          <t>2026-Q1</t>
        </is>
      </c>
    </row>
    <row r="1556" ht="38.25" customHeight="1">
      <c r="A1556" t="inlineStr">
        <is>
          <t>初中各学科七八九年级上下册语数英政史地物化生知识点总结电子版</t>
        </is>
      </c>
      <c r="B1556" t="inlineStr">
        <is>
          <t>recv9twLyne4x7.jpg</t>
        </is>
      </c>
      <c r="C1556" s="2" t="str">
        <f>=HYPERLINK("https://xhslink.com/m/4VVAvvYSz06", "https://xhslink.com/m/4VVAvvYSz06")</f>
        <v>https://xhslink.com/m/4VVAvvYSz06</v>
      </c>
      <c r="D1556"/>
      <c r="E1556">
        <v>4336</v>
      </c>
      <c r="F1556">
        <v>59.8</v>
      </c>
      <c r="G1556"/>
      <c r="H1556"/>
      <c r="I1556">
        <v>600</v>
      </c>
      <c r="J1556"/>
      <c r="K1556" t="inlineStr">
        <is>
          <t>电子资料</t>
        </is>
      </c>
      <c r="L1556"/>
      <c r="M1556" t="inlineStr">
        <is>
          <t>田欣学姐的店</t>
        </is>
      </c>
      <c r="N1556">
        <v>3110</v>
      </c>
      <c r="O1556">
        <v>4.44</v>
      </c>
      <c r="P1556">
        <v>6976</v>
      </c>
      <c r="Q1556" t="inlineStr">
        <is>
          <t>691510be34256f00016f63ea</t>
        </is>
      </c>
      <c r="R1556" t="inlineStr">
        <is>
          <t>🚫重复</t>
        </is>
      </c>
      <c r="S1556" t="inlineStr">
        <is>
          <t>中小学教辅/教材</t>
        </is>
      </c>
      <c r="T1556" t="inlineStr">
        <is>
          <t>1.39</t>
        </is>
      </c>
      <c r="U1556" s="3">
        <v>46112.78107638889</v>
      </c>
      <c r="V1556" t="inlineStr">
        <is>
          <t>虚拟产品</t>
        </is>
      </c>
      <c r="W1556" s="3">
        <v>46049</v>
      </c>
      <c r="X1556" t="inlineStr">
        <is>
          <t>01</t>
        </is>
      </c>
      <c r="Y1556" t="inlineStr">
        <is>
          <t>2026-Q1</t>
        </is>
      </c>
    </row>
    <row r="1557" ht="38.25" customHeight="1">
      <c r="A1557" t="inlineStr">
        <is>
          <t>2025初一初二初三精品电子资料包，最新教材版本，永久免费更新</t>
        </is>
      </c>
      <c r="B1557" t="inlineStr">
        <is>
          <t>recv9twLynTNlz.jpg</t>
        </is>
      </c>
      <c r="C1557" s="2" t="str">
        <f>=HYPERLINK("https://xhslink.com/m/66AnEvGfoOu", "https://xhslink.com/m/66AnEvGfoOu")</f>
        <v>https://xhslink.com/m/66AnEvGfoOu</v>
      </c>
      <c r="D1557"/>
      <c r="E1557">
        <v>2948</v>
      </c>
      <c r="F1557">
        <v>15.8</v>
      </c>
      <c r="G1557"/>
      <c r="H1557"/>
      <c r="I1557">
        <v>1000</v>
      </c>
      <c r="J1557"/>
      <c r="K1557" t="inlineStr">
        <is>
          <t>电子资料</t>
        </is>
      </c>
      <c r="L1557"/>
      <c r="M1557" t="inlineStr">
        <is>
          <t>林锦老师🍉爱分享的店</t>
        </is>
      </c>
      <c r="N1557">
        <v>1009</v>
      </c>
      <c r="O1557">
        <v>4.38</v>
      </c>
      <c r="P1557">
        <v>3130</v>
      </c>
      <c r="Q1557" t="inlineStr">
        <is>
          <t>6936a68781a79500013b7a19</t>
        </is>
      </c>
      <c r="R1557"/>
      <c r="S1557" t="inlineStr">
        <is>
          <t>中小学教辅/教材</t>
        </is>
      </c>
      <c r="T1557" t="inlineStr">
        <is>
          <t>2.92</t>
        </is>
      </c>
      <c r="U1557" s="3">
        <v>46112.78107638889</v>
      </c>
      <c r="V1557" t="inlineStr">
        <is>
          <t>虚拟产品</t>
        </is>
      </c>
      <c r="W1557" s="3">
        <v>46049</v>
      </c>
      <c r="X1557" t="inlineStr">
        <is>
          <t>01</t>
        </is>
      </c>
      <c r="Y1557" t="inlineStr">
        <is>
          <t>2026-Q1</t>
        </is>
      </c>
    </row>
    <row r="1558" ht="38.25" customHeight="1">
      <c r="A1558" t="inlineStr">
        <is>
          <t>幼儿园视听素材大合集{大中小}220+套，持续更新...{电子版素材}</t>
        </is>
      </c>
      <c r="B1558" t="inlineStr">
        <is>
          <t>recv9twLynpo8T.jpg</t>
        </is>
      </c>
      <c r="C1558" s="2" t="str">
        <f>=HYPERLINK("https://xhslink.com/m/3pq0lUzHgsM", "https://xhslink.com/m/3pq0lUzHgsM")</f>
        <v>https://xhslink.com/m/3pq0lUzHgsM</v>
      </c>
      <c r="D1558"/>
      <c r="E1558">
        <v>1987</v>
      </c>
      <c r="F1558">
        <v>88.8</v>
      </c>
      <c r="G1558"/>
      <c r="H1558"/>
      <c r="I1558">
        <v>200</v>
      </c>
      <c r="J1558"/>
      <c r="K1558" t="inlineStr">
        <is>
          <t>电子资料</t>
        </is>
      </c>
      <c r="L1558"/>
      <c r="M1558" t="inlineStr">
        <is>
          <t>橙子🍊老师的店</t>
        </is>
      </c>
      <c r="N1558">
        <v>6725</v>
      </c>
      <c r="O1558">
        <v>4.34</v>
      </c>
      <c r="P1558">
        <v>7254</v>
      </c>
      <c r="Q1558" t="inlineStr">
        <is>
          <t>66285b836807180001ea7bea</t>
        </is>
      </c>
      <c r="R1558" t="inlineStr">
        <is>
          <t>🚫重复</t>
        </is>
      </c>
      <c r="S1558" t="inlineStr">
        <is>
          <t>幼教资料</t>
        </is>
      </c>
      <c r="T1558" t="inlineStr">
        <is>
          <t>0.30</t>
        </is>
      </c>
      <c r="U1558" s="3">
        <v>46112.78107638889</v>
      </c>
      <c r="V1558" t="inlineStr">
        <is>
          <t>虚拟产品</t>
        </is>
      </c>
      <c r="W1558" s="3">
        <v>46049</v>
      </c>
      <c r="X1558" t="inlineStr">
        <is>
          <t>01</t>
        </is>
      </c>
      <c r="Y1558" t="inlineStr">
        <is>
          <t>2026-Q1</t>
        </is>
      </c>
    </row>
    <row r="1559" ht="38.25" customHeight="1">
      <c r="A1559" t="inlineStr">
        <is>
          <t>2026广东公考本土化面试申论素材（电子文档）</t>
        </is>
      </c>
      <c r="B1559" t="inlineStr">
        <is>
          <t>recv9twLynY7Oq.jpg</t>
        </is>
      </c>
      <c r="C1559" s="2" t="str">
        <f>=HYPERLINK("https://xhslink.com/m/2rN35RWhZDV", "https://xhslink.com/m/2rN35RWhZDV")</f>
        <v>https://xhslink.com/m/2rN35RWhZDV</v>
      </c>
      <c r="D1559"/>
      <c r="E1559">
        <v>1732</v>
      </c>
      <c r="F1559">
        <v>56</v>
      </c>
      <c r="G1559"/>
      <c r="H1559"/>
      <c r="I1559">
        <v>200</v>
      </c>
      <c r="J1559"/>
      <c r="K1559" t="inlineStr">
        <is>
          <t>电子资料</t>
        </is>
      </c>
      <c r="L1559"/>
      <c r="M1559" t="inlineStr">
        <is>
          <t>九品小吏的店</t>
        </is>
      </c>
      <c r="N1559">
        <v>8228</v>
      </c>
      <c r="O1559">
        <v>4.34</v>
      </c>
      <c r="P1559">
        <v>6720</v>
      </c>
      <c r="Q1559" t="inlineStr">
        <is>
          <t>68faf9bbbecfcc00013cc96d</t>
        </is>
      </c>
      <c r="R1559" t="inlineStr">
        <is>
          <t>🚫重复</t>
        </is>
      </c>
      <c r="S1559" t="inlineStr">
        <is>
          <t>考公资料</t>
        </is>
      </c>
      <c r="T1559" t="inlineStr">
        <is>
          <t>0.21</t>
        </is>
      </c>
      <c r="U1559" s="3">
        <v>46112.78107638889</v>
      </c>
      <c r="V1559" t="inlineStr">
        <is>
          <t>虚拟产品</t>
        </is>
      </c>
      <c r="W1559" s="3">
        <v>46049</v>
      </c>
      <c r="X1559" t="inlineStr">
        <is>
          <t>01</t>
        </is>
      </c>
      <c r="Y1559" t="inlineStr">
        <is>
          <t>2026-Q1</t>
        </is>
      </c>
    </row>
    <row r="1560" ht="38.25" customHeight="1">
      <c r="A1560" t="inlineStr">
        <is>
          <t>2026年教师结构化面试热点预测逐字稿（150+题）持续更新</t>
        </is>
      </c>
      <c r="B1560" t="inlineStr">
        <is>
          <t>recv9twLyn4YxW.jpg</t>
        </is>
      </c>
      <c r="C1560" s="2" t="str">
        <f>=HYPERLINK("https://xhslink.com/m/3OrTtlrENHc", "https://xhslink.com/m/3OrTtlrENHc")</f>
        <v>https://xhslink.com/m/3OrTtlrENHc</v>
      </c>
      <c r="D1560"/>
      <c r="E1560">
        <v>1668</v>
      </c>
      <c r="F1560">
        <v>59.9</v>
      </c>
      <c r="G1560"/>
      <c r="H1560"/>
      <c r="I1560">
        <v>300</v>
      </c>
      <c r="J1560"/>
      <c r="K1560" t="inlineStr">
        <is>
          <t>电子资料</t>
        </is>
      </c>
      <c r="L1560"/>
      <c r="M1560" t="inlineStr">
        <is>
          <t>岸上人张老师（结构化）的店</t>
        </is>
      </c>
      <c r="N1560">
        <v>18000</v>
      </c>
      <c r="O1560">
        <v>4.56</v>
      </c>
      <c r="P1560">
        <v>5713</v>
      </c>
      <c r="Q1560" t="inlineStr">
        <is>
          <t>684e45596d19100001aa21c6</t>
        </is>
      </c>
      <c r="R1560" t="inlineStr">
        <is>
          <t>🚫重复</t>
        </is>
      </c>
      <c r="S1560" t="inlineStr">
        <is>
          <t>教资资料</t>
        </is>
      </c>
      <c r="T1560" t="inlineStr">
        <is>
          <t>0.09</t>
        </is>
      </c>
      <c r="U1560" s="3">
        <v>46112.78107638889</v>
      </c>
      <c r="V1560" t="inlineStr">
        <is>
          <t>虚拟产品</t>
        </is>
      </c>
      <c r="W1560" s="3">
        <v>46049</v>
      </c>
      <c r="X1560" t="inlineStr">
        <is>
          <t>01</t>
        </is>
      </c>
      <c r="Y1560" t="inlineStr">
        <is>
          <t>2026-Q1</t>
        </is>
      </c>
    </row>
    <row r="1561" ht="38.25" customHeight="1">
      <c r="A1561" t="inlineStr">
        <is>
          <t>外研版英语（三起点）板书设计（电子资料发百度网盘）</t>
        </is>
      </c>
      <c r="B1561" t="inlineStr">
        <is>
          <t>recv9twLynwJwG.jpg</t>
        </is>
      </c>
      <c r="C1561" s="2" t="str">
        <f>=HYPERLINK("https://xhslink.com/m/70n4S3YkYZk", "https://xhslink.com/m/70n4S3YkYZk")</f>
        <v>https://xhslink.com/m/70n4S3YkYZk</v>
      </c>
      <c r="D1561"/>
      <c r="E1561">
        <v>817</v>
      </c>
      <c r="F1561">
        <v>168</v>
      </c>
      <c r="G1561"/>
      <c r="H1561"/>
      <c r="I1561">
        <v>300</v>
      </c>
      <c r="J1561"/>
      <c r="K1561" t="inlineStr">
        <is>
          <t>电子资料</t>
        </is>
      </c>
      <c r="L1561"/>
      <c r="M1561" t="inlineStr">
        <is>
          <t>小吴老师教英语的店</t>
        </is>
      </c>
      <c r="N1561">
        <v>8691</v>
      </c>
      <c r="O1561">
        <v>4.31</v>
      </c>
      <c r="P1561">
        <v>13000</v>
      </c>
      <c r="Q1561" t="inlineStr">
        <is>
          <t>690ad12ce379430001e5571b</t>
        </is>
      </c>
      <c r="R1561" t="inlineStr">
        <is>
          <t>🚫重复</t>
        </is>
      </c>
      <c r="S1561" t="inlineStr">
        <is>
          <t>中小学教辅/教材</t>
        </is>
      </c>
      <c r="T1561" t="inlineStr">
        <is>
          <t>0.09</t>
        </is>
      </c>
      <c r="U1561" s="3">
        <v>46112.78107638889</v>
      </c>
      <c r="V1561" t="inlineStr">
        <is>
          <t>虚拟产品</t>
        </is>
      </c>
      <c r="W1561" s="3">
        <v>46049</v>
      </c>
      <c r="X1561" t="inlineStr">
        <is>
          <t>01</t>
        </is>
      </c>
      <c r="Y1561" t="inlineStr">
        <is>
          <t>2026-Q1</t>
        </is>
      </c>
    </row>
    <row r="1562" ht="38.25" customHeight="1">
      <c r="A1562" t="inlineStr">
        <is>
          <t>小学三年级上册语文学习资料电子版合集2</t>
        </is>
      </c>
      <c r="B1562" t="inlineStr">
        <is>
          <t>recv9twLyn5EBO.jpg</t>
        </is>
      </c>
      <c r="C1562" s="2" t="str">
        <f>=HYPERLINK("https://xhslink.com/m/4KFgvrrRNih", "https://xhslink.com/m/4KFgvrrRNih")</f>
        <v>https://xhslink.com/m/4KFgvrrRNih</v>
      </c>
      <c r="D1562"/>
      <c r="E1562">
        <v>803</v>
      </c>
      <c r="F1562">
        <v>19.9</v>
      </c>
      <c r="G1562"/>
      <c r="H1562"/>
      <c r="I1562">
        <v>500</v>
      </c>
      <c r="J1562"/>
      <c r="K1562" t="inlineStr">
        <is>
          <t>电子资料</t>
        </is>
      </c>
      <c r="L1562"/>
      <c r="M1562" t="inlineStr">
        <is>
          <t>妍妍爱学习（小学资料铺）的店</t>
        </is>
      </c>
      <c r="N1562">
        <v>2179</v>
      </c>
      <c r="O1562">
        <v>4.62</v>
      </c>
      <c r="P1562">
        <v>9244</v>
      </c>
      <c r="Q1562" t="inlineStr">
        <is>
          <t>6870945068b50f0001c601ce</t>
        </is>
      </c>
      <c r="R1562" t="inlineStr">
        <is>
          <t>🚫重复</t>
        </is>
      </c>
      <c r="S1562" t="inlineStr">
        <is>
          <t>中小学教辅/教材</t>
        </is>
      </c>
      <c r="T1562" t="inlineStr">
        <is>
          <t>0.37</t>
        </is>
      </c>
      <c r="U1562" s="3">
        <v>46112.78107638889</v>
      </c>
      <c r="V1562" t="inlineStr">
        <is>
          <t>虚拟产品</t>
        </is>
      </c>
      <c r="W1562" s="3">
        <v>46049</v>
      </c>
      <c r="X1562" t="inlineStr">
        <is>
          <t>01</t>
        </is>
      </c>
      <c r="Y1562" t="inlineStr">
        <is>
          <t>2026-Q1</t>
        </is>
      </c>
    </row>
    <row r="1563" ht="38.25" customHeight="1">
      <c r="A1563" t="inlineStr">
        <is>
          <t>自动秒发货！三上英语（新人教PEP版）PPT课件电子版+教学设计</t>
        </is>
      </c>
      <c r="B1563" t="inlineStr">
        <is>
          <t>recv9twLynUpyT.jpg</t>
        </is>
      </c>
      <c r="C1563" s="2" t="str">
        <f>=HYPERLINK("https://xhslink.com/m/2vihmp3g1tL", "https://xhslink.com/m/2vihmp3g1tL")</f>
        <v>https://xhslink.com/m/2vihmp3g1tL</v>
      </c>
      <c r="D1563"/>
      <c r="E1563">
        <v>741</v>
      </c>
      <c r="F1563">
        <v>69.9</v>
      </c>
      <c r="G1563"/>
      <c r="H1563"/>
      <c r="I1563">
        <v>200</v>
      </c>
      <c r="J1563"/>
      <c r="K1563" t="inlineStr">
        <is>
          <t>电子资料</t>
        </is>
      </c>
      <c r="L1563"/>
      <c r="M1563" t="inlineStr">
        <is>
          <t>皮卡素材资料库的店</t>
        </is>
      </c>
      <c r="N1563">
        <v>1074</v>
      </c>
      <c r="O1563">
        <v>4.4</v>
      </c>
      <c r="P1563">
        <v>24000</v>
      </c>
      <c r="Q1563" t="inlineStr">
        <is>
          <t>684aca9f57fa160001b54401</t>
        </is>
      </c>
      <c r="R1563" t="inlineStr">
        <is>
          <t>🚫重复</t>
        </is>
      </c>
      <c r="S1563" t="inlineStr">
        <is>
          <t>中小学教辅/教材</t>
        </is>
      </c>
      <c r="T1563" t="inlineStr">
        <is>
          <t>0.69</t>
        </is>
      </c>
      <c r="U1563" s="3">
        <v>46112.78107638889</v>
      </c>
      <c r="V1563" t="inlineStr">
        <is>
          <t>虚拟产品</t>
        </is>
      </c>
      <c r="W1563" s="3">
        <v>46049</v>
      </c>
      <c r="X1563" t="inlineStr">
        <is>
          <t>01</t>
        </is>
      </c>
      <c r="Y1563" t="inlineStr">
        <is>
          <t>2026-Q1</t>
        </is>
      </c>
    </row>
    <row r="1564" ht="38.25" customHeight="1">
      <c r="A1564" t="inlineStr">
        <is>
          <t>26考研英语高分作文模板+1对1定制+喂饭式整理（电子资料）</t>
        </is>
      </c>
      <c r="B1564" t="inlineStr">
        <is>
          <t>recv9twLynhU2R.jpg</t>
        </is>
      </c>
      <c r="C1564" s="2" t="str">
        <f>=HYPERLINK("https://xhslink.com/m/Am6te4ztiwG", "https://xhslink.com/m/Am6te4ztiwG")</f>
        <v>https://xhslink.com/m/Am6te4ztiwG</v>
      </c>
      <c r="D1564"/>
      <c r="E1564">
        <v>706</v>
      </c>
      <c r="F1564">
        <v>199</v>
      </c>
      <c r="G1564"/>
      <c r="H1564"/>
      <c r="I1564">
        <v>500</v>
      </c>
      <c r="J1564"/>
      <c r="K1564" t="inlineStr">
        <is>
          <t>电子资料</t>
        </is>
      </c>
      <c r="L1564"/>
      <c r="M1564" t="inlineStr">
        <is>
          <t>乖乖上岸(高分作文模板)的店</t>
        </is>
      </c>
      <c r="N1564">
        <v>14000</v>
      </c>
      <c r="O1564">
        <v>4.68</v>
      </c>
      <c r="P1564">
        <v>29000</v>
      </c>
      <c r="Q1564" t="inlineStr">
        <is>
          <t>68d7a49be0f3b20001bf2067</t>
        </is>
      </c>
      <c r="R1564" t="inlineStr">
        <is>
          <t>🚫重复</t>
        </is>
      </c>
      <c r="S1564" t="inlineStr">
        <is>
          <t>考研资料</t>
        </is>
      </c>
      <c r="T1564" t="inlineStr">
        <is>
          <t>0.05</t>
        </is>
      </c>
      <c r="U1564" s="3">
        <v>46112.78107638889</v>
      </c>
      <c r="V1564" t="inlineStr">
        <is>
          <t>虚拟产品</t>
        </is>
      </c>
      <c r="W1564" s="3">
        <v>46049</v>
      </c>
      <c r="X1564" t="inlineStr">
        <is>
          <t>01</t>
        </is>
      </c>
      <c r="Y1564" t="inlineStr">
        <is>
          <t>2026-Q1</t>
        </is>
      </c>
    </row>
    <row r="1565" ht="38.25" customHeight="1">
      <c r="A1565" t="inlineStr">
        <is>
          <t>社保规划咨询指导</t>
        </is>
      </c>
      <c r="B1565" t="inlineStr">
        <is>
          <t>recv9twLynb8rV.jpg</t>
        </is>
      </c>
      <c r="C1565" s="2" t="str">
        <f>=HYPERLINK("https://xhslink.com/m/54swPSPqBOQ", "https://xhslink.com/m/54swPSPqBOQ")</f>
        <v>https://xhslink.com/m/54swPSPqBOQ</v>
      </c>
      <c r="D1565"/>
      <c r="E1565">
        <v>637</v>
      </c>
      <c r="F1565">
        <v>99.9</v>
      </c>
      <c r="G1565"/>
      <c r="H1565"/>
      <c r="I1565">
        <v>300</v>
      </c>
      <c r="J1565"/>
      <c r="K1565" t="inlineStr">
        <is>
          <t>电子资料</t>
        </is>
      </c>
      <c r="L1565"/>
      <c r="M1565" t="inlineStr">
        <is>
          <t>海洋知道的店</t>
        </is>
      </c>
      <c r="N1565">
        <v>1538</v>
      </c>
      <c r="O1565">
        <v>4.33</v>
      </c>
      <c r="P1565">
        <v>17000</v>
      </c>
      <c r="Q1565" t="inlineStr">
        <is>
          <t>68c7717f581ea20015680adf</t>
        </is>
      </c>
      <c r="R1565"/>
      <c r="S1565" t="inlineStr">
        <is>
          <t>咨询服务</t>
        </is>
      </c>
      <c r="T1565" t="inlineStr">
        <is>
          <t>0.41</t>
        </is>
      </c>
      <c r="U1565" s="3">
        <v>46112.78107638889</v>
      </c>
      <c r="V1565" t="inlineStr">
        <is>
          <t>虚拟产品</t>
        </is>
      </c>
      <c r="W1565" s="3">
        <v>46049</v>
      </c>
      <c r="X1565" t="inlineStr">
        <is>
          <t>01</t>
        </is>
      </c>
      <c r="Y1565" t="inlineStr">
        <is>
          <t>2026-Q1</t>
        </is>
      </c>
    </row>
    <row r="1566" ht="38.25" customHeight="1">
      <c r="A1566" t="inlineStr">
        <is>
          <t>2026春季新版人教版初中英语789年级课件ppt教案资料电子版</t>
        </is>
      </c>
      <c r="B1566" t="inlineStr">
        <is>
          <t>recv9twLynAfV9.jpg</t>
        </is>
      </c>
      <c r="C1566" s="2" t="str">
        <f>=HYPERLINK("https://xhslink.com/m/3SsNQkp6nVr", "https://xhslink.com/m/3SsNQkp6nVr")</f>
        <v>https://xhslink.com/m/3SsNQkp6nVr</v>
      </c>
      <c r="D1566"/>
      <c r="E1566">
        <v>613</v>
      </c>
      <c r="F1566">
        <v>69.9</v>
      </c>
      <c r="G1566"/>
      <c r="H1566"/>
      <c r="I1566">
        <v>500</v>
      </c>
      <c r="J1566"/>
      <c r="K1566" t="inlineStr">
        <is>
          <t>电子资料</t>
        </is>
      </c>
      <c r="L1566"/>
      <c r="M1566" t="inlineStr">
        <is>
          <t>小谢老师的资料库的店</t>
        </is>
      </c>
      <c r="N1566">
        <v>2640</v>
      </c>
      <c r="O1566">
        <v>4.54</v>
      </c>
      <c r="P1566">
        <v>2020</v>
      </c>
      <c r="Q1566" t="inlineStr">
        <is>
          <t>68f51f787d3b3f00014bf0e2</t>
        </is>
      </c>
      <c r="R1566" t="inlineStr">
        <is>
          <t>🚫重复</t>
        </is>
      </c>
      <c r="S1566" t="inlineStr">
        <is>
          <t>中小学教辅/教材</t>
        </is>
      </c>
      <c r="T1566" t="inlineStr">
        <is>
          <t>0.23</t>
        </is>
      </c>
      <c r="U1566" s="3">
        <v>46112.78107638889</v>
      </c>
      <c r="V1566" t="inlineStr">
        <is>
          <t>虚拟产品</t>
        </is>
      </c>
      <c r="W1566" s="3">
        <v>46049</v>
      </c>
      <c r="X1566" t="inlineStr">
        <is>
          <t>01</t>
        </is>
      </c>
      <c r="Y1566" t="inlineStr">
        <is>
          <t>2026-Q1</t>
        </is>
      </c>
    </row>
    <row r="1567" ht="38.25" customHeight="1">
      <c r="A1567" t="inlineStr">
        <is>
          <t>北极星/斯多特/basi/美国bb四大体系学习教培资料·电子版</t>
        </is>
      </c>
      <c r="B1567" t="inlineStr">
        <is>
          <t>recv9twLyn0mxE.jpg</t>
        </is>
      </c>
      <c r="C1567" s="2" t="str">
        <f>=HYPERLINK("https://xhslink.com/m/2oaDz7FoTvV", "https://xhslink.com/m/2oaDz7FoTvV")</f>
        <v>https://xhslink.com/m/2oaDz7FoTvV</v>
      </c>
      <c r="D1567"/>
      <c r="E1567">
        <v>598</v>
      </c>
      <c r="F1567">
        <v>299</v>
      </c>
      <c r="G1567"/>
      <c r="H1567"/>
      <c r="I1567">
        <v>200</v>
      </c>
      <c r="J1567"/>
      <c r="K1567" t="inlineStr">
        <is>
          <t>电子资料</t>
        </is>
      </c>
      <c r="L1567"/>
      <c r="M1567" t="inlineStr">
        <is>
          <t>万卷一册馆的店</t>
        </is>
      </c>
      <c r="N1567">
        <v>1102</v>
      </c>
      <c r="O1567">
        <v>4.43</v>
      </c>
      <c r="P1567">
        <v>4579</v>
      </c>
      <c r="Q1567" t="inlineStr">
        <is>
          <t>68de615253446d0001c94165</t>
        </is>
      </c>
      <c r="R1567" t="inlineStr">
        <is>
          <t>🚫重复</t>
        </is>
      </c>
      <c r="S1567" t="inlineStr">
        <is>
          <t>无匹配类别</t>
        </is>
      </c>
      <c r="T1567" t="inlineStr">
        <is>
          <t>0.54</t>
        </is>
      </c>
      <c r="U1567" s="3">
        <v>46112.78107638889</v>
      </c>
      <c r="V1567" t="inlineStr">
        <is>
          <t>虚拟产品</t>
        </is>
      </c>
      <c r="W1567" s="3">
        <v>46049</v>
      </c>
      <c r="X1567" t="inlineStr">
        <is>
          <t>01</t>
        </is>
      </c>
      <c r="Y1567" t="inlineStr">
        <is>
          <t>2026-Q1</t>
        </is>
      </c>
    </row>
    <row r="1568" ht="38.25" customHeight="1">
      <c r="A1568" t="inlineStr">
        <is>
          <t>行测笔记 思维导图 夏知 2026省考国考 公考高分 公务员 状元笔记</t>
        </is>
      </c>
      <c r="B1568" t="inlineStr">
        <is>
          <t>recv9twLynxMms.jpg</t>
        </is>
      </c>
      <c r="C1568" s="2" t="str">
        <f>=HYPERLINK("https://xhslink.com/m/AAEtMdDNkKi", "https://xhslink.com/m/AAEtMdDNkKi")</f>
        <v>https://xhslink.com/m/AAEtMdDNkKi</v>
      </c>
      <c r="D1568"/>
      <c r="E1568">
        <v>361</v>
      </c>
      <c r="F1568">
        <v>65</v>
      </c>
      <c r="G1568"/>
      <c r="H1568"/>
      <c r="I1568">
        <v>200</v>
      </c>
      <c r="J1568"/>
      <c r="K1568" t="inlineStr">
        <is>
          <t>电子资料</t>
        </is>
      </c>
      <c r="L1568"/>
      <c r="M1568" t="inlineStr">
        <is>
          <t>夏知的公考笔记的店</t>
        </is>
      </c>
      <c r="N1568">
        <v>75000</v>
      </c>
      <c r="O1568">
        <v>4.8</v>
      </c>
      <c r="P1568">
        <v>14000</v>
      </c>
      <c r="Q1568" t="inlineStr">
        <is>
          <t>6884328c86c0df0001a9c4ef</t>
        </is>
      </c>
      <c r="R1568" t="inlineStr">
        <is>
          <t>🚫重复</t>
        </is>
      </c>
      <c r="S1568" t="inlineStr">
        <is>
          <t>考公资料</t>
        </is>
      </c>
      <c r="T1568" t="inlineStr">
        <is>
          <t>0.00</t>
        </is>
      </c>
      <c r="U1568" s="3">
        <v>46112.78107638889</v>
      </c>
      <c r="V1568" t="inlineStr">
        <is>
          <t>虚拟产品</t>
        </is>
      </c>
      <c r="W1568" s="3">
        <v>46049</v>
      </c>
      <c r="X1568" t="inlineStr">
        <is>
          <t>01</t>
        </is>
      </c>
      <c r="Y1568" t="inlineStr">
        <is>
          <t>2026-Q1</t>
        </is>
      </c>
    </row>
    <row r="1569" ht="38.25" customHeight="1">
      <c r="A1569" t="inlineStr">
        <is>
          <t>学丞 · 备考26年6月考试】刘晓艳四六级单词+专项技巧视频讲解四六级考试</t>
        </is>
      </c>
      <c r="B1569" t="inlineStr">
        <is>
          <t>recv9twLynD9ka.jpg</t>
        </is>
      </c>
      <c r="C1569" s="2" t="str">
        <f>=HYPERLINK("https://xhslink.com/m/5ZHd9a43Nbp", "https://xhslink.com/m/5ZHd9a43Nbp")</f>
        <v>https://xhslink.com/m/5ZHd9a43Nbp</v>
      </c>
      <c r="D1569"/>
      <c r="E1569">
        <v>14000</v>
      </c>
      <c r="F1569">
        <v>59.8</v>
      </c>
      <c r="G1569"/>
      <c r="H1569"/>
      <c r="I1569">
        <v>200</v>
      </c>
      <c r="J1569"/>
      <c r="K1569" t="inlineStr">
        <is>
          <t>四级</t>
        </is>
      </c>
      <c r="L1569"/>
      <c r="M1569" t="inlineStr">
        <is>
          <t>学丞旗舰店</t>
        </is>
      </c>
      <c r="N1569">
        <v>13000</v>
      </c>
      <c r="O1569">
        <v>4.67</v>
      </c>
      <c r="P1569">
        <v>42000</v>
      </c>
      <c r="Q1569" t="inlineStr">
        <is>
          <t>684d24876d19100001a185cf</t>
        </is>
      </c>
      <c r="R1569"/>
      <c r="S1569" t="inlineStr">
        <is>
          <t>英语资料</t>
        </is>
      </c>
      <c r="T1569" t="inlineStr">
        <is>
          <t>1.08</t>
        </is>
      </c>
      <c r="U1569" s="3">
        <v>46112.78107638889</v>
      </c>
      <c r="V1569" t="inlineStr">
        <is>
          <t>虚拟产品</t>
        </is>
      </c>
      <c r="W1569" s="3">
        <v>46049</v>
      </c>
      <c r="X1569" t="inlineStr">
        <is>
          <t>01</t>
        </is>
      </c>
      <c r="Y1569" t="inlineStr">
        <is>
          <t>2026-Q1</t>
        </is>
      </c>
    </row>
    <row r="1570" ht="38.25" customHeight="1">
      <c r="A1570" t="inlineStr">
        <is>
          <t>25年万能四级高分作文(议论文)模板AI打磨基础小众</t>
        </is>
      </c>
      <c r="B1570" t="inlineStr">
        <is>
          <t>recv9twLynrzZN.jpg</t>
        </is>
      </c>
      <c r="C1570" s="2" t="str">
        <f>=HYPERLINK("https://xhslink.com/m/7uDtjvumCGX", "https://xhslink.com/m/7uDtjvumCGX")</f>
        <v>https://xhslink.com/m/7uDtjvumCGX</v>
      </c>
      <c r="D1570"/>
      <c r="E1570">
        <v>13000</v>
      </c>
      <c r="F1570">
        <v>10</v>
      </c>
      <c r="G1570"/>
      <c r="H1570"/>
      <c r="I1570">
        <v>4000</v>
      </c>
      <c r="J1570"/>
      <c r="K1570" t="inlineStr">
        <is>
          <t>四级</t>
        </is>
      </c>
      <c r="L1570"/>
      <c r="M1570" t="inlineStr">
        <is>
          <t>TEGO的店</t>
        </is>
      </c>
      <c r="N1570">
        <v>6927</v>
      </c>
      <c r="O1570">
        <v>4.79</v>
      </c>
      <c r="P1570">
        <v>15000</v>
      </c>
      <c r="Q1570" t="inlineStr">
        <is>
          <t>67c0650949f1f1000183a979</t>
        </is>
      </c>
      <c r="R1570"/>
      <c r="S1570" t="inlineStr">
        <is>
          <t>英语资料</t>
        </is>
      </c>
      <c r="T1570" t="inlineStr">
        <is>
          <t>1.88</t>
        </is>
      </c>
      <c r="U1570" s="3">
        <v>46112.78107638889</v>
      </c>
      <c r="V1570" t="inlineStr">
        <is>
          <t>虚拟产品</t>
        </is>
      </c>
      <c r="W1570" s="3">
        <v>46049</v>
      </c>
      <c r="X1570" t="inlineStr">
        <is>
          <t>01</t>
        </is>
      </c>
      <c r="Y1570" t="inlineStr">
        <is>
          <t>2026-Q1</t>
        </is>
      </c>
    </row>
    <row r="1571" ht="38.25" customHeight="1">
      <c r="A1571" t="inlineStr">
        <is>
          <t>宝宝辅食跟我做0-3岁宝宝辅食书辅食营养餐做法 婴儿辅食宝宝脾胃</t>
        </is>
      </c>
      <c r="B1571" t="inlineStr">
        <is>
          <t>recv9twLynH70Z.jpg</t>
        </is>
      </c>
      <c r="C1571" s="2" t="str">
        <f>=HYPERLINK("https://xhslink.com/m/8BzF7ZxyN3z", "https://xhslink.com/m/8BzF7ZxyN3z")</f>
        <v>https://xhslink.com/m/8BzF7ZxyN3z</v>
      </c>
      <c r="D1571"/>
      <c r="E1571">
        <v>15000</v>
      </c>
      <c r="F1571">
        <v>209.9</v>
      </c>
      <c r="G1571"/>
      <c r="H1571"/>
      <c r="I1571">
        <v>400</v>
      </c>
      <c r="J1571"/>
      <c r="K1571" t="inlineStr">
        <is>
          <t>幼儿资料</t>
        </is>
      </c>
      <c r="L1571" t="inlineStr">
        <is>
          <t>🔥低粉爆款</t>
        </is>
      </c>
      <c r="M1571" t="inlineStr">
        <is>
          <t>Yx轌侥臻选育儿的店</t>
        </is>
      </c>
      <c r="N1571">
        <v>375</v>
      </c>
      <c r="O1571">
        <v>4.45</v>
      </c>
      <c r="P1571">
        <v>21000</v>
      </c>
      <c r="Q1571" t="inlineStr">
        <is>
          <t>66fbfffb75e23c000135dce5</t>
        </is>
      </c>
      <c r="R1571" t="inlineStr">
        <is>
          <t>🚫重复</t>
        </is>
      </c>
      <c r="S1571" t="inlineStr">
        <is>
          <t>无匹配类别</t>
        </is>
      </c>
      <c r="T1571" t="inlineStr">
        <is>
          <t>40.00</t>
        </is>
      </c>
      <c r="U1571" s="3">
        <v>46112.78107638889</v>
      </c>
      <c r="V1571" t="inlineStr">
        <is>
          <t>虚拟产品</t>
        </is>
      </c>
      <c r="W1571" s="3">
        <v>46049</v>
      </c>
      <c r="X1571" t="inlineStr">
        <is>
          <t>01</t>
        </is>
      </c>
      <c r="Y1571" t="inlineStr">
        <is>
          <t>2026-Q1</t>
        </is>
      </c>
    </row>
    <row r="1572" ht="38.25" customHeight="1">
      <c r="A1572" t="inlineStr">
        <is>
          <t>帮子成龙幼儿园数学启蒙教具十格阵玩具儿童益智思维数感游戏书</t>
        </is>
      </c>
      <c r="B1572" t="inlineStr">
        <is>
          <t>recv9twLynqQdK.jpg</t>
        </is>
      </c>
      <c r="C1572" s="2" t="str">
        <f>=HYPERLINK("https://xhslink.com/m/7loihGmPDI2", "https://xhslink.com/m/7loihGmPDI2")</f>
        <v>https://xhslink.com/m/7loihGmPDI2</v>
      </c>
      <c r="D1572"/>
      <c r="E1572">
        <v>6571</v>
      </c>
      <c r="F1572">
        <v>89</v>
      </c>
      <c r="G1572"/>
      <c r="H1572"/>
      <c r="I1572">
        <v>300</v>
      </c>
      <c r="J1572"/>
      <c r="K1572" t="inlineStr">
        <is>
          <t>幼儿资料</t>
        </is>
      </c>
      <c r="L1572"/>
      <c r="M1572" t="inlineStr">
        <is>
          <t>小瑜时光的店</t>
        </is>
      </c>
      <c r="N1572">
        <v>63000</v>
      </c>
      <c r="O1572">
        <v>4.63</v>
      </c>
      <c r="P1572">
        <v>16000</v>
      </c>
      <c r="Q1572" t="inlineStr">
        <is>
          <t>62f9b27efe4f020001edb429</t>
        </is>
      </c>
      <c r="R1572"/>
      <c r="S1572" t="inlineStr">
        <is>
          <t>幼教资料</t>
        </is>
      </c>
      <c r="T1572" t="inlineStr">
        <is>
          <t>0.10</t>
        </is>
      </c>
      <c r="U1572" s="3">
        <v>46112.78107638889</v>
      </c>
      <c r="V1572" t="inlineStr">
        <is>
          <t>虚拟产品</t>
        </is>
      </c>
      <c r="W1572" s="3">
        <v>46049</v>
      </c>
      <c r="X1572" t="inlineStr">
        <is>
          <t>01</t>
        </is>
      </c>
      <c r="Y1572" t="inlineStr">
        <is>
          <t>2026-Q1</t>
        </is>
      </c>
    </row>
    <row r="1573" ht="38.25" customHeight="1">
      <c r="A1573" t="inlineStr">
        <is>
          <t>精选幼儿园班本课程故事·下单时请备注名称</t>
        </is>
      </c>
      <c r="B1573" t="inlineStr">
        <is>
          <t>recv9twLynaYkE.jpg</t>
        </is>
      </c>
      <c r="C1573" s="2" t="str">
        <f>=HYPERLINK("https://xhslink.com/m/5oB9bTEUt1r", "https://xhslink.com/m/5oB9bTEUt1r")</f>
        <v>https://xhslink.com/m/5oB9bTEUt1r</v>
      </c>
      <c r="D1573"/>
      <c r="E1573">
        <v>1615</v>
      </c>
      <c r="F1573">
        <v>99</v>
      </c>
      <c r="G1573"/>
      <c r="H1573"/>
      <c r="I1573">
        <v>200</v>
      </c>
      <c r="J1573"/>
      <c r="K1573" t="inlineStr">
        <is>
          <t>幼儿资料</t>
        </is>
      </c>
      <c r="L1573"/>
      <c r="M1573" t="inlineStr">
        <is>
          <t>小芷老师的店</t>
        </is>
      </c>
      <c r="N1573">
        <v>10000</v>
      </c>
      <c r="O1573">
        <v>4.26</v>
      </c>
      <c r="P1573">
        <v>22000</v>
      </c>
      <c r="Q1573" t="inlineStr">
        <is>
          <t>65e6968e506b400001c00909</t>
        </is>
      </c>
      <c r="R1573"/>
      <c r="S1573" t="inlineStr">
        <is>
          <t>幼教资料</t>
        </is>
      </c>
      <c r="T1573" t="inlineStr">
        <is>
          <t>0.16</t>
        </is>
      </c>
      <c r="U1573" s="3">
        <v>46112.78107638889</v>
      </c>
      <c r="V1573" t="inlineStr">
        <is>
          <t>虚拟产品</t>
        </is>
      </c>
      <c r="W1573" s="3">
        <v>46049</v>
      </c>
      <c r="X1573" t="inlineStr">
        <is>
          <t>01</t>
        </is>
      </c>
      <c r="Y1573" t="inlineStr">
        <is>
          <t>2026-Q1</t>
        </is>
      </c>
    </row>
    <row r="1574" ht="38.25" customHeight="1">
      <c r="A1574" t="inlineStr">
        <is>
          <t>中小学主题班会PPT（拍下秒发！详见订单发货内容</t>
        </is>
      </c>
      <c r="B1574" t="inlineStr">
        <is>
          <t>recv9tJYUhB3US.jpg</t>
        </is>
      </c>
      <c r="C1574" s="2" t="str">
        <f>=HYPERLINK("https://xhslink.com/m/8qozDRzvMZi", "https://xhslink.com/m/8qozDRzvMZi")</f>
        <v>https://xhslink.com/m/8qozDRzvMZi</v>
      </c>
      <c r="D1574"/>
      <c r="E1574">
        <v>5604</v>
      </c>
      <c r="F1574">
        <v>19.9</v>
      </c>
      <c r="G1574"/>
      <c r="H1574"/>
      <c r="I1574">
        <v>2000</v>
      </c>
      <c r="J1574"/>
      <c r="K1574" t="inlineStr">
        <is>
          <t>班会</t>
        </is>
      </c>
      <c r="L1574" t="inlineStr">
        <is>
          <t>🔥低粉爆款</t>
        </is>
      </c>
      <c r="M1574" t="inlineStr">
        <is>
          <t>多多老师的店</t>
        </is>
      </c>
      <c r="N1574">
        <v>978</v>
      </c>
      <c r="O1574">
        <v>4.48</v>
      </c>
      <c r="P1574">
        <v>8280</v>
      </c>
      <c r="Q1574" t="inlineStr">
        <is>
          <t>68adb5b1ec7fed0001ef3628</t>
        </is>
      </c>
      <c r="R1574" t="inlineStr">
        <is>
          <t>🚫重复</t>
        </is>
      </c>
      <c r="S1574" t="inlineStr">
        <is>
          <t>PPT模板</t>
        </is>
      </c>
      <c r="T1574" t="inlineStr">
        <is>
          <t>5.73</t>
        </is>
      </c>
      <c r="U1574" s="3">
        <v>46112.78107638889</v>
      </c>
      <c r="V1574" t="inlineStr">
        <is>
          <t>虚拟产品</t>
        </is>
      </c>
      <c r="W1574" s="3">
        <v>46049</v>
      </c>
      <c r="X1574" t="inlineStr">
        <is>
          <t>01</t>
        </is>
      </c>
      <c r="Y1574" t="inlineStr">
        <is>
          <t>2026-Q1</t>
        </is>
      </c>
    </row>
    <row r="1575" ht="38.25" customHeight="1">
      <c r="A1575" t="inlineStr">
        <is>
          <t>初高中主题班会课件|持续更新</t>
        </is>
      </c>
      <c r="B1575" t="inlineStr">
        <is>
          <t>recv9tJZt4yxh8.jpg</t>
        </is>
      </c>
      <c r="C1575" s="2" t="str">
        <f>=HYPERLINK("https://xhslink.com/m/2B2sQqKWYqS", "https://xhslink.com/m/2B2sQqKWYqS")</f>
        <v>https://xhslink.com/m/2B2sQqKWYqS</v>
      </c>
      <c r="D1575"/>
      <c r="E1575">
        <v>6020</v>
      </c>
      <c r="F1575">
        <v>8.8</v>
      </c>
      <c r="G1575"/>
      <c r="H1575"/>
      <c r="I1575">
        <v>2000</v>
      </c>
      <c r="J1575"/>
      <c r="K1575" t="inlineStr">
        <is>
          <t>班会</t>
        </is>
      </c>
      <c r="L1575" t="inlineStr">
        <is>
          <t>🔥低粉爆款</t>
        </is>
      </c>
      <c r="M1575" t="inlineStr">
        <is>
          <t>Amy老师的资料库的店</t>
        </is>
      </c>
      <c r="N1575">
        <v>1579</v>
      </c>
      <c r="O1575">
        <v>4.56</v>
      </c>
      <c r="P1575">
        <v>13000</v>
      </c>
      <c r="Q1575" t="inlineStr">
        <is>
          <t>68d11d962dc6d0000130fcb8</t>
        </is>
      </c>
      <c r="R1575" t="inlineStr">
        <is>
          <t>🚫重复</t>
        </is>
      </c>
      <c r="S1575" t="inlineStr">
        <is>
          <t>中小学教辅/教材</t>
        </is>
      </c>
      <c r="T1575" t="inlineStr">
        <is>
          <t>3.81</t>
        </is>
      </c>
      <c r="U1575" s="3">
        <v>46112.78107638889</v>
      </c>
      <c r="V1575" t="inlineStr">
        <is>
          <t>虚拟产品</t>
        </is>
      </c>
      <c r="W1575" s="3">
        <v>46049</v>
      </c>
      <c r="X1575" t="inlineStr">
        <is>
          <t>01</t>
        </is>
      </c>
      <c r="Y1575" t="inlineStr">
        <is>
          <t>2026-Q1</t>
        </is>
      </c>
    </row>
    <row r="1576" ht="38.25" customHeight="1">
      <c r="A1576" t="inlineStr">
        <is>
          <t>ppt一套/下单备注序号</t>
        </is>
      </c>
      <c r="B1576" t="inlineStr">
        <is>
          <t>recv9tJZt4x2jS.jpg</t>
        </is>
      </c>
      <c r="C1576" s="2" t="str">
        <f>=HYPERLINK("https://xhslink.com/m/10nTcwnQJYw", "https://xhslink.com/m/10nTcwnQJYw")</f>
        <v>https://xhslink.com/m/10nTcwnQJYw</v>
      </c>
      <c r="D1576"/>
      <c r="E1576">
        <v>3236</v>
      </c>
      <c r="F1576">
        <v>19.99</v>
      </c>
      <c r="G1576"/>
      <c r="H1576"/>
      <c r="I1576">
        <v>500</v>
      </c>
      <c r="J1576"/>
      <c r="K1576" t="inlineStr">
        <is>
          <t>班会</t>
        </is>
      </c>
      <c r="L1576"/>
      <c r="M1576" t="inlineStr">
        <is>
          <t>亚亚子ppt的店</t>
        </is>
      </c>
      <c r="N1576">
        <v>10000</v>
      </c>
      <c r="O1576">
        <v>4.25</v>
      </c>
      <c r="P1576">
        <v>9165</v>
      </c>
      <c r="Q1576" t="inlineStr">
        <is>
          <t>675125f353c11d0001b1a0c4</t>
        </is>
      </c>
      <c r="R1576"/>
      <c r="S1576" t="inlineStr">
        <is>
          <t>PPT模板</t>
        </is>
      </c>
      <c r="T1576" t="inlineStr">
        <is>
          <t>0.32</t>
        </is>
      </c>
      <c r="U1576" s="3">
        <v>46112.78107638889</v>
      </c>
      <c r="V1576" t="inlineStr">
        <is>
          <t>虚拟产品</t>
        </is>
      </c>
      <c r="W1576" s="3">
        <v>46049</v>
      </c>
      <c r="X1576" t="inlineStr">
        <is>
          <t>01</t>
        </is>
      </c>
      <c r="Y1576" t="inlineStr">
        <is>
          <t>2026-Q1</t>
        </is>
      </c>
    </row>
    <row r="1577" ht="38.25" customHeight="1">
      <c r="A1577" t="inlineStr">
        <is>
          <t>【限时8.8】中小学主题班会ppt【拍下即发】</t>
        </is>
      </c>
      <c r="B1577" t="inlineStr">
        <is>
          <t>recv9tJZt4wTcu.jpg</t>
        </is>
      </c>
      <c r="C1577" s="2" t="str">
        <f>=HYPERLINK("https://xhslink.com/m/5Tavhjl2Bn9", "https://xhslink.com/m/5Tavhjl2Bn9")</f>
        <v>https://xhslink.com/m/5Tavhjl2Bn9</v>
      </c>
      <c r="D1577"/>
      <c r="E1577">
        <v>1811</v>
      </c>
      <c r="F1577">
        <v>49.9</v>
      </c>
      <c r="G1577"/>
      <c r="H1577"/>
      <c r="I1577">
        <v>800</v>
      </c>
      <c r="J1577"/>
      <c r="K1577" t="inlineStr">
        <is>
          <t>班会</t>
        </is>
      </c>
      <c r="L1577"/>
      <c r="M1577" t="inlineStr">
        <is>
          <t>初春老师的店</t>
        </is>
      </c>
      <c r="N1577">
        <v>1584</v>
      </c>
      <c r="O1577">
        <v>4.47</v>
      </c>
      <c r="P1577">
        <v>12000</v>
      </c>
      <c r="Q1577" t="inlineStr">
        <is>
          <t>68b6b257f38f970001f7d7ec</t>
        </is>
      </c>
      <c r="R1577" t="inlineStr">
        <is>
          <t>🚫重复</t>
        </is>
      </c>
      <c r="S1577" t="inlineStr">
        <is>
          <t>PPT模板</t>
        </is>
      </c>
      <c r="T1577" t="inlineStr">
        <is>
          <t>1.14</t>
        </is>
      </c>
      <c r="U1577" s="3">
        <v>46112.78107638889</v>
      </c>
      <c r="V1577" t="inlineStr">
        <is>
          <t>虚拟产品</t>
        </is>
      </c>
      <c r="W1577" s="3">
        <v>46049</v>
      </c>
      <c r="X1577" t="inlineStr">
        <is>
          <t>01</t>
        </is>
      </c>
      <c r="Y1577" t="inlineStr">
        <is>
          <t>2026-Q1</t>
        </is>
      </c>
    </row>
    <row r="1578" ht="38.25" customHeight="1">
      <c r="A1578" t="inlineStr">
        <is>
          <t>目标管理（超燃励志主题班会）我有一个大学梦</t>
        </is>
      </c>
      <c r="B1578" t="inlineStr">
        <is>
          <t>recv9tJZt4mAcw.jpg</t>
        </is>
      </c>
      <c r="C1578" s="2" t="str">
        <f>=HYPERLINK("https://xhslink.com/m/9oVaWmaCcoD", "https://xhslink.com/m/9oVaWmaCcoD")</f>
        <v>https://xhslink.com/m/9oVaWmaCcoD</v>
      </c>
      <c r="D1578"/>
      <c r="E1578">
        <v>1732</v>
      </c>
      <c r="F1578">
        <v>8</v>
      </c>
      <c r="G1578"/>
      <c r="H1578"/>
      <c r="I1578">
        <v>200</v>
      </c>
      <c r="J1578"/>
      <c r="K1578" t="inlineStr">
        <is>
          <t>班会</t>
        </is>
      </c>
      <c r="L1578"/>
      <c r="M1578" t="inlineStr">
        <is>
          <t>一周心理课的店</t>
        </is>
      </c>
      <c r="N1578">
        <v>10000</v>
      </c>
      <c r="O1578">
        <v>4.26</v>
      </c>
      <c r="P1578">
        <v>35000</v>
      </c>
      <c r="Q1578" t="inlineStr">
        <is>
          <t>656ef325dfda360001566c63</t>
        </is>
      </c>
      <c r="R1578"/>
      <c r="S1578" t="inlineStr">
        <is>
          <t>大学资料</t>
        </is>
      </c>
      <c r="T1578" t="inlineStr">
        <is>
          <t>0.17</t>
        </is>
      </c>
      <c r="U1578" s="3">
        <v>46112.78107638889</v>
      </c>
      <c r="V1578" t="inlineStr">
        <is>
          <t>虚拟产品</t>
        </is>
      </c>
      <c r="W1578" s="3">
        <v>46049</v>
      </c>
      <c r="X1578" t="inlineStr">
        <is>
          <t>01</t>
        </is>
      </c>
      <c r="Y1578" t="inlineStr">
        <is>
          <t>2026-Q1</t>
        </is>
      </c>
    </row>
    <row r="1579" ht="38.25" customHeight="1">
      <c r="A1579" t="inlineStr">
        <is>
          <t>【9.9一份】拍下带作品截图发客服</t>
        </is>
      </c>
      <c r="B1579" t="inlineStr">
        <is>
          <t>recv9tJZt46eA3.jpg</t>
        </is>
      </c>
      <c r="C1579" s="2" t="str">
        <f>=HYPERLINK("https://xhslink.com/m/9YKsvE3EdO6", "https://xhslink.com/m/9YKsvE3EdO6")</f>
        <v>https://xhslink.com/m/9YKsvE3EdO6</v>
      </c>
      <c r="D1579"/>
      <c r="E1579">
        <v>1956</v>
      </c>
      <c r="F1579">
        <v>77</v>
      </c>
      <c r="G1579"/>
      <c r="H1579"/>
      <c r="I1579">
        <v>400</v>
      </c>
      <c r="J1579"/>
      <c r="K1579" t="inlineStr">
        <is>
          <t>班会</t>
        </is>
      </c>
      <c r="L1579"/>
      <c r="M1579" t="inlineStr">
        <is>
          <t>十二点半吖的店</t>
        </is>
      </c>
      <c r="N1579">
        <v>4830</v>
      </c>
      <c r="O1579">
        <v>4.34</v>
      </c>
      <c r="P1579">
        <v>6385</v>
      </c>
      <c r="Q1579" t="inlineStr">
        <is>
          <t>682330bd11665d000198493f</t>
        </is>
      </c>
      <c r="R1579"/>
      <c r="S1579" t="inlineStr">
        <is>
          <t>生活成长</t>
        </is>
      </c>
      <c r="T1579" t="inlineStr">
        <is>
          <t>0.40</t>
        </is>
      </c>
      <c r="U1579" s="3">
        <v>46112.78107638889</v>
      </c>
      <c r="V1579" t="inlineStr">
        <is>
          <t>虚拟产品</t>
        </is>
      </c>
      <c r="W1579" s="3">
        <v>46049</v>
      </c>
      <c r="X1579" t="inlineStr">
        <is>
          <t>01</t>
        </is>
      </c>
      <c r="Y1579" t="inlineStr">
        <is>
          <t>2026-Q1</t>
        </is>
      </c>
    </row>
    <row r="1580" ht="38.25" customHeight="1">
      <c r="A1580" t="inlineStr">
        <is>
          <t>是ta先骂我的是ta先动手的维护良好同学关系主题班会配套教案</t>
        </is>
      </c>
      <c r="B1580" t="inlineStr">
        <is>
          <t>recv9tJZt4DyAq.jpg</t>
        </is>
      </c>
      <c r="C1580" s="2" t="str">
        <f>=HYPERLINK("https://xhslink.com/m/66ptFwytDKG", "https://xhslink.com/m/66ptFwytDKG")</f>
        <v>https://xhslink.com/m/66ptFwytDKG</v>
      </c>
      <c r="D1580"/>
      <c r="E1580">
        <v>980</v>
      </c>
      <c r="F1580">
        <v>7.99</v>
      </c>
      <c r="G1580"/>
      <c r="H1580"/>
      <c r="I1580">
        <v>900</v>
      </c>
      <c r="J1580"/>
      <c r="K1580" t="inlineStr">
        <is>
          <t>班会</t>
        </is>
      </c>
      <c r="L1580"/>
      <c r="M1580" t="inlineStr">
        <is>
          <t>Cici老师爱学习（收徒）的店</t>
        </is>
      </c>
      <c r="N1580">
        <v>737</v>
      </c>
      <c r="O1580">
        <v>4.42</v>
      </c>
      <c r="P1580">
        <v>4376</v>
      </c>
      <c r="Q1580" t="inlineStr">
        <is>
          <t>69363edcc84a160001605d57</t>
        </is>
      </c>
      <c r="R1580" t="inlineStr">
        <is>
          <t>🚫重复</t>
        </is>
      </c>
      <c r="S1580" t="inlineStr">
        <is>
          <t>老师资料</t>
        </is>
      </c>
      <c r="T1580" t="inlineStr">
        <is>
          <t>1.33</t>
        </is>
      </c>
      <c r="U1580" s="3">
        <v>46112.78107638889</v>
      </c>
      <c r="V1580" t="inlineStr">
        <is>
          <t>虚拟产品</t>
        </is>
      </c>
      <c r="W1580" s="3">
        <v>46049</v>
      </c>
      <c r="X1580" t="inlineStr">
        <is>
          <t>01</t>
        </is>
      </c>
      <c r="Y1580" t="inlineStr">
        <is>
          <t>2026-Q1</t>
        </is>
      </c>
    </row>
    <row r="1581" ht="38.25" customHeight="1">
      <c r="A1581" t="inlineStr">
        <is>
          <t>中小学主题班会PPT【自选主题秒发】</t>
        </is>
      </c>
      <c r="B1581" t="inlineStr">
        <is>
          <t>recv9tJZt4o2sb.jpg</t>
        </is>
      </c>
      <c r="C1581" s="2" t="str">
        <f>=HYPERLINK("https://xhslink.com/m/Mml3HccH9G", "https://xhslink.com/m/Mml3HccH9G")</f>
        <v>https://xhslink.com/m/Mml3HccH9G</v>
      </c>
      <c r="D1581"/>
      <c r="E1581">
        <v>997</v>
      </c>
      <c r="F1581">
        <v>9.8</v>
      </c>
      <c r="G1581"/>
      <c r="H1581"/>
      <c r="I1581">
        <v>900</v>
      </c>
      <c r="J1581"/>
      <c r="K1581" t="inlineStr">
        <is>
          <t>班会</t>
        </is>
      </c>
      <c r="L1581" t="inlineStr">
        <is>
          <t>🔥低粉爆款</t>
        </is>
      </c>
      <c r="M1581" t="inlineStr">
        <is>
          <t>赵老师教务PPT的店</t>
        </is>
      </c>
      <c r="N1581">
        <v>329</v>
      </c>
      <c r="O1581">
        <v>4.43</v>
      </c>
      <c r="P1581">
        <v>1686</v>
      </c>
      <c r="Q1581" t="inlineStr">
        <is>
          <t>6936681f83efdb0001e5812b</t>
        </is>
      </c>
      <c r="R1581" t="inlineStr">
        <is>
          <t>🚫重复</t>
        </is>
      </c>
      <c r="S1581" t="inlineStr">
        <is>
          <t>PPT模板</t>
        </is>
      </c>
      <c r="T1581" t="inlineStr">
        <is>
          <t>3.03</t>
        </is>
      </c>
      <c r="U1581" s="3">
        <v>46112.78107638889</v>
      </c>
      <c r="V1581" t="inlineStr">
        <is>
          <t>虚拟产品</t>
        </is>
      </c>
      <c r="W1581" s="3">
        <v>46049</v>
      </c>
      <c r="X1581" t="inlineStr">
        <is>
          <t>01</t>
        </is>
      </c>
      <c r="Y1581" t="inlineStr">
        <is>
          <t>2026-Q1</t>
        </is>
      </c>
    </row>
    <row r="1582" ht="38.25" customHeight="1">
      <c r="A1582" t="inlineStr">
        <is>
          <t>B022|感恩教育主题班会PPT课件+教案+逐字稿丨心怀感恩 与爱同行</t>
        </is>
      </c>
      <c r="B1582" t="inlineStr">
        <is>
          <t>recv9tJZt4c6hB.jpg</t>
        </is>
      </c>
      <c r="C1582" s="2" t="str">
        <f>=HYPERLINK("https://xhslink.com/m/52UrWo3YA0F", "https://xhslink.com/m/52UrWo3YA0F")</f>
        <v>https://xhslink.com/m/52UrWo3YA0F</v>
      </c>
      <c r="D1582"/>
      <c r="E1582">
        <v>903</v>
      </c>
      <c r="F1582">
        <v>9.9</v>
      </c>
      <c r="G1582"/>
      <c r="H1582"/>
      <c r="I1582">
        <v>200</v>
      </c>
      <c r="J1582"/>
      <c r="K1582" t="inlineStr">
        <is>
          <t>班会</t>
        </is>
      </c>
      <c r="L1582"/>
      <c r="M1582" t="inlineStr">
        <is>
          <t>小月老师课件的店</t>
        </is>
      </c>
      <c r="N1582">
        <v>3489</v>
      </c>
      <c r="O1582">
        <v>4.65</v>
      </c>
      <c r="P1582">
        <v>28000</v>
      </c>
      <c r="Q1582" t="inlineStr">
        <is>
          <t>67ec5230d2d8180001d29236</t>
        </is>
      </c>
      <c r="R1582"/>
      <c r="S1582" t="inlineStr">
        <is>
          <t>PPT模板</t>
        </is>
      </c>
      <c r="T1582" t="inlineStr">
        <is>
          <t>0.26</t>
        </is>
      </c>
      <c r="U1582" s="3">
        <v>46112.78107638889</v>
      </c>
      <c r="V1582" t="inlineStr">
        <is>
          <t>虚拟产品</t>
        </is>
      </c>
      <c r="W1582" s="3">
        <v>46049</v>
      </c>
      <c r="X1582" t="inlineStr">
        <is>
          <t>01</t>
        </is>
      </c>
      <c r="Y1582" t="inlineStr">
        <is>
          <t>2026-Q1</t>
        </is>
      </c>
    </row>
    <row r="1583" ht="38.25" customHeight="1">
      <c r="A1583" t="inlineStr">
        <is>
          <t>玩笑有度主题班会-人际交往类班会课件ppt（配教案、逐字稿）</t>
        </is>
      </c>
      <c r="B1583" t="inlineStr">
        <is>
          <t>recv9tJZt44iBM.jpg</t>
        </is>
      </c>
      <c r="C1583" s="2" t="str">
        <f>=HYPERLINK("https://xhslink.com/m/8rEuizPpkzO", "https://xhslink.com/m/8rEuizPpkzO")</f>
        <v>https://xhslink.com/m/8rEuizPpkzO</v>
      </c>
      <c r="D1583"/>
      <c r="E1583">
        <v>893</v>
      </c>
      <c r="F1583">
        <v>9.99</v>
      </c>
      <c r="G1583"/>
      <c r="H1583"/>
      <c r="I1583">
        <v>700</v>
      </c>
      <c r="J1583"/>
      <c r="K1583" t="inlineStr">
        <is>
          <t>班会</t>
        </is>
      </c>
      <c r="L1583"/>
      <c r="M1583" t="inlineStr">
        <is>
          <t>新星老师PPT的店</t>
        </is>
      </c>
      <c r="N1583">
        <v>1142</v>
      </c>
      <c r="O1583">
        <v>4.59</v>
      </c>
      <c r="P1583">
        <v>6192</v>
      </c>
      <c r="Q1583" t="inlineStr">
        <is>
          <t>68df81203f37a900011425d3</t>
        </is>
      </c>
      <c r="R1583" t="inlineStr">
        <is>
          <t>🚫重复</t>
        </is>
      </c>
      <c r="S1583" t="inlineStr">
        <is>
          <t>PPT模板</t>
        </is>
      </c>
      <c r="T1583" t="inlineStr">
        <is>
          <t>0.78</t>
        </is>
      </c>
      <c r="U1583" s="3">
        <v>46112.78107638889</v>
      </c>
      <c r="V1583" t="inlineStr">
        <is>
          <t>虚拟产品</t>
        </is>
      </c>
      <c r="W1583" s="3">
        <v>46049</v>
      </c>
      <c r="X1583" t="inlineStr">
        <is>
          <t>01</t>
        </is>
      </c>
      <c r="Y1583" t="inlineStr">
        <is>
          <t>2026-Q1</t>
        </is>
      </c>
    </row>
    <row r="1584" ht="38.25" customHeight="1">
      <c r="A1584" t="inlineStr">
        <is>
          <t>中小学生主题班会PPT课件资料——优质课件可编辑可修改</t>
        </is>
      </c>
      <c r="B1584" t="inlineStr">
        <is>
          <t>recv9tJZt4qcn8.jpg</t>
        </is>
      </c>
      <c r="C1584" s="2" t="str">
        <f>=HYPERLINK("https://xhslink.com/m/4c0Sgl2A59C", "https://xhslink.com/m/4c0Sgl2A59C")</f>
        <v>https://xhslink.com/m/4c0Sgl2A59C</v>
      </c>
      <c r="D1584"/>
      <c r="E1584">
        <v>741</v>
      </c>
      <c r="F1584">
        <v>29.9</v>
      </c>
      <c r="G1584"/>
      <c r="H1584"/>
      <c r="I1584">
        <v>700</v>
      </c>
      <c r="J1584"/>
      <c r="K1584" t="inlineStr">
        <is>
          <t>班会</t>
        </is>
      </c>
      <c r="L1584"/>
      <c r="M1584" t="inlineStr">
        <is>
          <t>365days、的店</t>
        </is>
      </c>
      <c r="N1584">
        <v>1063</v>
      </c>
      <c r="O1584">
        <v>4.52</v>
      </c>
      <c r="P1584">
        <v>10000</v>
      </c>
      <c r="Q1584" t="inlineStr">
        <is>
          <t>691c4bf501312b0001cbd9b0</t>
        </is>
      </c>
      <c r="R1584" t="inlineStr">
        <is>
          <t>🚫重复</t>
        </is>
      </c>
      <c r="S1584" t="inlineStr">
        <is>
          <t>中小学教辅/教材</t>
        </is>
      </c>
      <c r="T1584" t="inlineStr">
        <is>
          <t>0.70</t>
        </is>
      </c>
      <c r="U1584" s="3">
        <v>46112.78107638889</v>
      </c>
      <c r="V1584" t="inlineStr">
        <is>
          <t>虚拟产品</t>
        </is>
      </c>
      <c r="W1584" s="3">
        <v>46049</v>
      </c>
      <c r="X1584" t="inlineStr">
        <is>
          <t>01</t>
        </is>
      </c>
      <c r="Y1584" t="inlineStr">
        <is>
          <t>2026-Q1</t>
        </is>
      </c>
    </row>
    <row r="1585" ht="38.25" customHeight="1">
      <c r="A1585" t="inlineStr">
        <is>
          <t>中小学主题班会课件ppt+逐字稿</t>
        </is>
      </c>
      <c r="B1585" t="inlineStr">
        <is>
          <t>recv9tJZt4wb5Q.jpg</t>
        </is>
      </c>
      <c r="C1585" s="2" t="str">
        <f>=HYPERLINK("https://xhslink.com/m/4OCGrb5iG5P", "https://xhslink.com/m/4OCGrb5iG5P")</f>
        <v>https://xhslink.com/m/4OCGrb5iG5P</v>
      </c>
      <c r="D1585"/>
      <c r="E1585">
        <v>741</v>
      </c>
      <c r="F1585">
        <v>39.9</v>
      </c>
      <c r="G1585"/>
      <c r="H1585"/>
      <c r="I1585">
        <v>500</v>
      </c>
      <c r="J1585"/>
      <c r="K1585" t="inlineStr">
        <is>
          <t>班会</t>
        </is>
      </c>
      <c r="L1585"/>
      <c r="M1585" t="inlineStr">
        <is>
          <t>努力的小秋的店</t>
        </is>
      </c>
      <c r="N1585">
        <v>1247</v>
      </c>
      <c r="O1585">
        <v>4.46</v>
      </c>
      <c r="P1585">
        <v>4333</v>
      </c>
      <c r="Q1585" t="inlineStr">
        <is>
          <t>68bfe27e24d64a0001d28b66</t>
        </is>
      </c>
      <c r="R1585" t="inlineStr">
        <is>
          <t>🚫重复</t>
        </is>
      </c>
      <c r="S1585" t="inlineStr">
        <is>
          <t>中小学教辅/教材</t>
        </is>
      </c>
      <c r="T1585" t="inlineStr">
        <is>
          <t>0.59</t>
        </is>
      </c>
      <c r="U1585" s="3">
        <v>46112.78107638889</v>
      </c>
      <c r="V1585" t="inlineStr">
        <is>
          <t>虚拟产品</t>
        </is>
      </c>
      <c r="W1585" s="3">
        <v>46049</v>
      </c>
      <c r="X1585" t="inlineStr">
        <is>
          <t>01</t>
        </is>
      </c>
      <c r="Y1585" t="inlineStr">
        <is>
          <t>2026-Q1</t>
        </is>
      </c>
    </row>
    <row r="1586" ht="38.25" customHeight="1">
      <c r="A1586" t="inlineStr">
        <is>
          <t>班会课件-考前解压班会课（游戏班会课）</t>
        </is>
      </c>
      <c r="B1586" t="inlineStr">
        <is>
          <t>recv9tJZt4lrmw.jpg</t>
        </is>
      </c>
      <c r="C1586" s="2" t="str">
        <f>=HYPERLINK("https://xhslink.com/m/ACLSuHfSl0f", "https://xhslink.com/m/ACLSuHfSl0f")</f>
        <v>https://xhslink.com/m/ACLSuHfSl0f</v>
      </c>
      <c r="D1586"/>
      <c r="E1586">
        <v>696</v>
      </c>
      <c r="F1586">
        <v>3.88</v>
      </c>
      <c r="G1586"/>
      <c r="H1586"/>
      <c r="I1586">
        <v>200</v>
      </c>
      <c r="J1586"/>
      <c r="K1586" t="inlineStr">
        <is>
          <t>班会</t>
        </is>
      </c>
      <c r="L1586"/>
      <c r="M1586" t="inlineStr">
        <is>
          <t>地理班主任CC老师的店</t>
        </is>
      </c>
      <c r="N1586">
        <v>3466</v>
      </c>
      <c r="O1586">
        <v>4.37</v>
      </c>
      <c r="P1586">
        <v>7944</v>
      </c>
      <c r="Q1586" t="inlineStr">
        <is>
          <t>67e90ee150201700019b9a94</t>
        </is>
      </c>
      <c r="R1586"/>
      <c r="S1586" t="inlineStr">
        <is>
          <t>中小学教辅/教材</t>
        </is>
      </c>
      <c r="T1586" t="inlineStr">
        <is>
          <t>0.20</t>
        </is>
      </c>
      <c r="U1586" s="3">
        <v>46112.78107638889</v>
      </c>
      <c r="V1586" t="inlineStr">
        <is>
          <t>虚拟产品</t>
        </is>
      </c>
      <c r="W1586" s="3">
        <v>46049</v>
      </c>
      <c r="X1586" t="inlineStr">
        <is>
          <t>01</t>
        </is>
      </c>
      <c r="Y1586" t="inlineStr">
        <is>
          <t>2026-Q1</t>
        </is>
      </c>
    </row>
    <row r="1587" ht="38.25" customHeight="1">
      <c r="A1587" t="inlineStr">
        <is>
          <t>行为规范 人际交往 学生矛盾 主题班会ppt</t>
        </is>
      </c>
      <c r="B1587" t="inlineStr">
        <is>
          <t>recv9tJZt4fNll.jpg</t>
        </is>
      </c>
      <c r="C1587" s="2" t="str">
        <f>=HYPERLINK("https://xhslink.com/m/6ZXENABfquE", "https://xhslink.com/m/6ZXENABfquE")</f>
        <v>https://xhslink.com/m/6ZXENABfquE</v>
      </c>
      <c r="D1587"/>
      <c r="E1587">
        <v>482</v>
      </c>
      <c r="F1587">
        <v>8.8</v>
      </c>
      <c r="G1587"/>
      <c r="H1587"/>
      <c r="I1587">
        <v>400</v>
      </c>
      <c r="J1587"/>
      <c r="K1587" t="inlineStr">
        <is>
          <t>班会</t>
        </is>
      </c>
      <c r="L1587"/>
      <c r="M1587" t="inlineStr">
        <is>
          <t>ZL设计的店</t>
        </is>
      </c>
      <c r="N1587">
        <v>223</v>
      </c>
      <c r="O1587">
        <v>4.58</v>
      </c>
      <c r="P1587">
        <v>2289</v>
      </c>
      <c r="Q1587" t="inlineStr">
        <is>
          <t>6917de97390e4c00018136ec</t>
        </is>
      </c>
      <c r="R1587"/>
      <c r="S1587" t="inlineStr">
        <is>
          <t>PPT模板</t>
        </is>
      </c>
      <c r="T1587" t="inlineStr">
        <is>
          <t>2.16</t>
        </is>
      </c>
      <c r="U1587" s="3">
        <v>46112.78107638889</v>
      </c>
      <c r="V1587" t="inlineStr">
        <is>
          <t>虚拟产品</t>
        </is>
      </c>
      <c r="W1587" s="3">
        <v>46049</v>
      </c>
      <c r="X1587" t="inlineStr">
        <is>
          <t>01</t>
        </is>
      </c>
      <c r="Y1587" t="inlineStr">
        <is>
          <t>2026-Q1</t>
        </is>
      </c>
    </row>
    <row r="1588" ht="38.25" customHeight="1">
      <c r="A1588" t="inlineStr">
        <is>
          <t>骐骥驰骋2026马年元旦联欢游戏元旦班会年会PPTby修</t>
        </is>
      </c>
      <c r="B1588" t="inlineStr">
        <is>
          <t>recv9tJZt4fQeH.jpg</t>
        </is>
      </c>
      <c r="C1588" s="2" t="str">
        <f>=HYPERLINK("https://xhslink.com/m/7rxzFPmpBTl", "https://xhslink.com/m/7rxzFPmpBTl")</f>
        <v>https://xhslink.com/m/7rxzFPmpBTl</v>
      </c>
      <c r="D1588"/>
      <c r="E1588">
        <v>473</v>
      </c>
      <c r="F1588">
        <v>19.99</v>
      </c>
      <c r="G1588"/>
      <c r="H1588"/>
      <c r="I1588">
        <v>400</v>
      </c>
      <c r="J1588"/>
      <c r="K1588" t="inlineStr">
        <is>
          <t>班会</t>
        </is>
      </c>
      <c r="L1588"/>
      <c r="M1588" t="inlineStr">
        <is>
          <t>修张原创PPT的店</t>
        </is>
      </c>
      <c r="N1588">
        <v>18000</v>
      </c>
      <c r="O1588">
        <v>4.49</v>
      </c>
      <c r="P1588">
        <v>26000</v>
      </c>
      <c r="Q1588" t="inlineStr">
        <is>
          <t>694cae46b1e6660001aaefe3</t>
        </is>
      </c>
      <c r="R1588" t="inlineStr">
        <is>
          <t>🚫重复</t>
        </is>
      </c>
      <c r="S1588" t="inlineStr">
        <is>
          <t>PPT模板</t>
        </is>
      </c>
      <c r="T1588" t="inlineStr">
        <is>
          <t>0.03</t>
        </is>
      </c>
      <c r="U1588" s="3">
        <v>46112.78107638889</v>
      </c>
      <c r="V1588" t="inlineStr">
        <is>
          <t>虚拟产品</t>
        </is>
      </c>
      <c r="W1588" s="3">
        <v>46049</v>
      </c>
      <c r="X1588" t="inlineStr">
        <is>
          <t>01</t>
        </is>
      </c>
      <c r="Y1588" t="inlineStr">
        <is>
          <t>2026-Q1</t>
        </is>
      </c>
    </row>
    <row r="1589" ht="38.25" customHeight="1">
      <c r="A1589" t="inlineStr">
        <is>
          <t>2026年元旦联欢班会课件</t>
        </is>
      </c>
      <c r="B1589" t="inlineStr">
        <is>
          <t>recv9tJZt48qxW.jpg</t>
        </is>
      </c>
      <c r="C1589" s="2" t="str">
        <f>=HYPERLINK("https://xhslink.com/m/4ktbpjC9Fhn", "https://xhslink.com/m/4ktbpjC9Fhn")</f>
        <v>https://xhslink.com/m/4ktbpjC9Fhn</v>
      </c>
      <c r="D1589"/>
      <c r="E1589">
        <v>407</v>
      </c>
      <c r="F1589">
        <v>29.9</v>
      </c>
      <c r="G1589"/>
      <c r="H1589"/>
      <c r="I1589">
        <v>300</v>
      </c>
      <c r="J1589"/>
      <c r="K1589" t="inlineStr">
        <is>
          <t>班会</t>
        </is>
      </c>
      <c r="L1589"/>
      <c r="M1589" t="inlineStr">
        <is>
          <t>管班驿站的店</t>
        </is>
      </c>
      <c r="N1589">
        <v>3194</v>
      </c>
      <c r="O1589">
        <v>4.34</v>
      </c>
      <c r="P1589">
        <v>4799</v>
      </c>
      <c r="Q1589" t="inlineStr">
        <is>
          <t>694a5e9894f9dc0001f48840</t>
        </is>
      </c>
      <c r="R1589"/>
      <c r="S1589" t="inlineStr">
        <is>
          <t>中小学教辅/教材</t>
        </is>
      </c>
      <c r="T1589" t="inlineStr">
        <is>
          <t>0.13</t>
        </is>
      </c>
      <c r="U1589" s="3">
        <v>46112.78107638889</v>
      </c>
      <c r="V1589" t="inlineStr">
        <is>
          <t>虚拟产品</t>
        </is>
      </c>
      <c r="W1589" s="3">
        <v>46049</v>
      </c>
      <c r="X1589" t="inlineStr">
        <is>
          <t>01</t>
        </is>
      </c>
      <c r="Y1589" t="inlineStr">
        <is>
          <t>2026-Q1</t>
        </is>
      </c>
    </row>
    <row r="1590" ht="38.25" customHeight="1">
      <c r="A1590" t="inlineStr">
        <is>
          <t>主题班会（自选主题）</t>
        </is>
      </c>
      <c r="B1590" t="inlineStr">
        <is>
          <t>recv9tJZt4xpUn.jpg</t>
        </is>
      </c>
      <c r="C1590" s="2" t="str">
        <f>=HYPERLINK("https://xhslink.com/m/7CYnPHEZs5Q", "https://xhslink.com/m/7CYnPHEZs5Q")</f>
        <v>https://xhslink.com/m/7CYnPHEZs5Q</v>
      </c>
      <c r="D1590"/>
      <c r="E1590">
        <v>376</v>
      </c>
      <c r="F1590">
        <v>9.9</v>
      </c>
      <c r="G1590"/>
      <c r="H1590"/>
      <c r="I1590">
        <v>300</v>
      </c>
      <c r="J1590"/>
      <c r="K1590" t="inlineStr">
        <is>
          <t>班会</t>
        </is>
      </c>
      <c r="L1590"/>
      <c r="M1590" t="inlineStr">
        <is>
          <t>豆仙儿me的店</t>
        </is>
      </c>
      <c r="N1590">
        <v>218</v>
      </c>
      <c r="O1590">
        <v>4.38</v>
      </c>
      <c r="P1590">
        <v>1371</v>
      </c>
      <c r="Q1590" t="inlineStr">
        <is>
          <t>693e6f854f2ba20001fb93c4</t>
        </is>
      </c>
      <c r="R1590"/>
      <c r="S1590" t="inlineStr">
        <is>
          <t>老师资料</t>
        </is>
      </c>
      <c r="T1590" t="inlineStr">
        <is>
          <t>1.72</t>
        </is>
      </c>
      <c r="U1590" s="3">
        <v>46112.78107638889</v>
      </c>
      <c r="V1590" t="inlineStr">
        <is>
          <t>虚拟产品</t>
        </is>
      </c>
      <c r="W1590" s="3">
        <v>46049</v>
      </c>
      <c r="X1590" t="inlineStr">
        <is>
          <t>01</t>
        </is>
      </c>
      <c r="Y1590" t="inlineStr">
        <is>
          <t>2026-Q1</t>
        </is>
      </c>
    </row>
    <row r="1591" ht="38.25" customHeight="1">
      <c r="A1591" t="inlineStr">
        <is>
          <t>【限时8.8】中小学主题班会通用PPT模板 · 含各年级班会课件合集~</t>
        </is>
      </c>
      <c r="B1591" t="inlineStr">
        <is>
          <t>recv9tJZt4PX1s.jpg</t>
        </is>
      </c>
      <c r="C1591" s="2" t="str">
        <f>=HYPERLINK("https://xhslink.com/m/1O8LjZNe5IU", "https://xhslink.com/m/1O8LjZNe5IU")</f>
        <v>https://xhslink.com/m/1O8LjZNe5IU</v>
      </c>
      <c r="D1591"/>
      <c r="E1591">
        <v>377</v>
      </c>
      <c r="F1591">
        <v>49.9</v>
      </c>
      <c r="G1591"/>
      <c r="H1591"/>
      <c r="I1591">
        <v>300</v>
      </c>
      <c r="J1591"/>
      <c r="K1591" t="inlineStr">
        <is>
          <t>班会</t>
        </is>
      </c>
      <c r="L1591"/>
      <c r="M1591" t="inlineStr">
        <is>
          <t>小月老师吖的店</t>
        </is>
      </c>
      <c r="N1591">
        <v>132</v>
      </c>
      <c r="O1591">
        <v>4.37</v>
      </c>
      <c r="P1591">
        <v>1399</v>
      </c>
      <c r="Q1591" t="inlineStr">
        <is>
          <t>693cd3d8d1d80b00016bf7f2</t>
        </is>
      </c>
      <c r="R1591" t="inlineStr">
        <is>
          <t>🚫重复</t>
        </is>
      </c>
      <c r="S1591" t="inlineStr">
        <is>
          <t>PPT模板</t>
        </is>
      </c>
      <c r="T1591" t="inlineStr">
        <is>
          <t>2.86</t>
        </is>
      </c>
      <c r="U1591" s="3">
        <v>46112.78107638889</v>
      </c>
      <c r="V1591" t="inlineStr">
        <is>
          <t>虚拟产品</t>
        </is>
      </c>
      <c r="W1591" s="3">
        <v>46049</v>
      </c>
      <c r="X1591" t="inlineStr">
        <is>
          <t>01</t>
        </is>
      </c>
      <c r="Y1591" t="inlineStr">
        <is>
          <t>2026-Q1</t>
        </is>
      </c>
    </row>
    <row r="1592" ht="38.25" customHeight="1">
      <c r="A1592" t="inlineStr">
        <is>
          <t>【限时6.9】人际交往班会课件—配套对应逐字稿（疯狂动物城版）</t>
        </is>
      </c>
      <c r="B1592" t="inlineStr">
        <is>
          <t>recv9tJZt4LB62.jpg</t>
        </is>
      </c>
      <c r="C1592" s="2" t="str">
        <f>=HYPERLINK("https://xhslink.com/m/yRkGK1dqdh", "https://xhslink.com/m/yRkGK1dqdh")</f>
        <v>https://xhslink.com/m/yRkGK1dqdh</v>
      </c>
      <c r="D1592"/>
      <c r="E1592">
        <v>375</v>
      </c>
      <c r="F1592">
        <v>49.9</v>
      </c>
      <c r="G1592"/>
      <c r="H1592"/>
      <c r="I1592">
        <v>300</v>
      </c>
      <c r="J1592"/>
      <c r="K1592" t="inlineStr">
        <is>
          <t>班会</t>
        </is>
      </c>
      <c r="L1592"/>
      <c r="M1592" t="inlineStr">
        <is>
          <t>初春老师的店</t>
        </is>
      </c>
      <c r="N1592">
        <v>1584</v>
      </c>
      <c r="O1592">
        <v>4.47</v>
      </c>
      <c r="P1592">
        <v>12000</v>
      </c>
      <c r="Q1592" t="inlineStr">
        <is>
          <t>693bf90a51b8c0000151ed3c</t>
        </is>
      </c>
      <c r="R1592" t="inlineStr">
        <is>
          <t>🚫重复</t>
        </is>
      </c>
      <c r="S1592" t="inlineStr">
        <is>
          <t>中小学教辅/教材</t>
        </is>
      </c>
      <c r="T1592" t="inlineStr">
        <is>
          <t>0.24</t>
        </is>
      </c>
      <c r="U1592" s="3">
        <v>46112.78107638889</v>
      </c>
      <c r="V1592" t="inlineStr">
        <is>
          <t>虚拟产品</t>
        </is>
      </c>
      <c r="W1592" s="3">
        <v>46049</v>
      </c>
      <c r="X1592" t="inlineStr">
        <is>
          <t>01</t>
        </is>
      </c>
      <c r="Y1592" t="inlineStr">
        <is>
          <t>2026-Q1</t>
        </is>
      </c>
    </row>
    <row r="1593" ht="38.25" customHeight="1">
      <c r="A1593" t="inlineStr">
        <is>
          <t>2026小学初中高中主题班会课件PPT模板实时更新</t>
        </is>
      </c>
      <c r="B1593" t="inlineStr">
        <is>
          <t>recv9tJZt4RJP3.jpg</t>
        </is>
      </c>
      <c r="C1593" s="2" t="str">
        <f>=HYPERLINK("https://xhslink.com/m/45ei1VKTnR7", "https://xhslink.com/m/45ei1VKTnR7")</f>
        <v>https://xhslink.com/m/45ei1VKTnR7</v>
      </c>
      <c r="D1593"/>
      <c r="E1593">
        <v>309</v>
      </c>
      <c r="F1593">
        <v>29.9</v>
      </c>
      <c r="G1593"/>
      <c r="H1593"/>
      <c r="I1593">
        <v>200</v>
      </c>
      <c r="J1593"/>
      <c r="K1593" t="inlineStr">
        <is>
          <t>班会</t>
        </is>
      </c>
      <c r="L1593" t="inlineStr">
        <is>
          <t>🔥低粉爆款</t>
        </is>
      </c>
      <c r="M1593" t="inlineStr">
        <is>
          <t>桃子教案集🍑的店</t>
        </is>
      </c>
      <c r="N1593">
        <v>100</v>
      </c>
      <c r="O1593">
        <v>4.5</v>
      </c>
      <c r="P1593">
        <v>536</v>
      </c>
      <c r="Q1593" t="inlineStr">
        <is>
          <t>68f215a60dfa750001a0a8bb</t>
        </is>
      </c>
      <c r="R1593" t="inlineStr">
        <is>
          <t>🚫重复</t>
        </is>
      </c>
      <c r="S1593" t="inlineStr">
        <is>
          <t>PPT模板</t>
        </is>
      </c>
      <c r="T1593" t="inlineStr">
        <is>
          <t>3.09</t>
        </is>
      </c>
      <c r="U1593" s="3">
        <v>46112.78107638889</v>
      </c>
      <c r="V1593" t="inlineStr">
        <is>
          <t>虚拟产品</t>
        </is>
      </c>
      <c r="W1593" s="3">
        <v>46049</v>
      </c>
      <c r="X1593" t="inlineStr">
        <is>
          <t>01</t>
        </is>
      </c>
      <c r="Y1593" t="inlineStr">
        <is>
          <t>2026-Q1</t>
        </is>
      </c>
    </row>
    <row r="1594" ht="38.25" customHeight="1">
      <c r="A1594" t="inlineStr">
        <is>
          <t>26上中小幼教资笔试题库APP/精讲网课/配套讲义</t>
        </is>
      </c>
      <c r="B1594" t="inlineStr">
        <is>
          <t>recv9tJZt4vuLV.jpg</t>
        </is>
      </c>
      <c r="C1594" s="2" t="str">
        <f>=HYPERLINK("https://xhslink.com/m/7vblg0J7oYC", "https://xhslink.com/m/7vblg0J7oYC")</f>
        <v>https://xhslink.com/m/7vblg0J7oYC</v>
      </c>
      <c r="D1594"/>
      <c r="E1594">
        <v>5561</v>
      </c>
      <c r="F1594">
        <v>12.9</v>
      </c>
      <c r="G1594"/>
      <c r="H1594"/>
      <c r="I1594">
        <v>500</v>
      </c>
      <c r="J1594"/>
      <c r="K1594" t="inlineStr">
        <is>
          <t>教师资格证</t>
        </is>
      </c>
      <c r="L1594"/>
      <c r="M1594" t="inlineStr">
        <is>
          <t>新城的日落的店</t>
        </is>
      </c>
      <c r="N1594">
        <v>2175</v>
      </c>
      <c r="O1594">
        <v>4.58</v>
      </c>
      <c r="P1594">
        <v>10000</v>
      </c>
      <c r="Q1594" t="inlineStr">
        <is>
          <t>68229a0481f9bc00018ce898</t>
        </is>
      </c>
      <c r="R1594" t="inlineStr">
        <is>
          <t>🚫重复</t>
        </is>
      </c>
      <c r="S1594" t="inlineStr">
        <is>
          <t>教资资料</t>
        </is>
      </c>
      <c r="T1594" t="inlineStr">
        <is>
          <t>2.56</t>
        </is>
      </c>
      <c r="U1594" s="3">
        <v>46112.78107638889</v>
      </c>
      <c r="V1594" t="inlineStr">
        <is>
          <t>虚拟产品</t>
        </is>
      </c>
      <c r="W1594" s="3">
        <v>46049</v>
      </c>
      <c r="X1594" t="inlineStr">
        <is>
          <t>01</t>
        </is>
      </c>
      <c r="Y1594" t="inlineStr">
        <is>
          <t>2026-Q1</t>
        </is>
      </c>
    </row>
    <row r="1595" ht="38.25" customHeight="1">
      <c r="A1595" t="inlineStr">
        <is>
          <t>上岸熊 · 26上教师资格证笔试幼儿园小学初高中职科一二三视频网课笔记资料</t>
        </is>
      </c>
      <c r="B1595" t="inlineStr">
        <is>
          <t>recv9tJZt4vxne.jpg</t>
        </is>
      </c>
      <c r="C1595" s="2" t="str">
        <f>=HYPERLINK("https://xhslink.com/m/3Gi6XAp9Duz", "https://xhslink.com/m/3Gi6XAp9Duz")</f>
        <v>https://xhslink.com/m/3Gi6XAp9Duz</v>
      </c>
      <c r="D1595"/>
      <c r="E1595">
        <v>6689</v>
      </c>
      <c r="F1595">
        <v>5</v>
      </c>
      <c r="G1595"/>
      <c r="H1595"/>
      <c r="I1595">
        <v>400</v>
      </c>
      <c r="J1595"/>
      <c r="K1595" t="inlineStr">
        <is>
          <t>教师资格证</t>
        </is>
      </c>
      <c r="L1595"/>
      <c r="M1595" t="inlineStr">
        <is>
          <t>小星星放光芒的店</t>
        </is>
      </c>
      <c r="N1595">
        <v>2586</v>
      </c>
      <c r="O1595">
        <v>4.15</v>
      </c>
      <c r="P1595">
        <v>14000</v>
      </c>
      <c r="Q1595" t="inlineStr">
        <is>
          <t>6697bfd94895030001575248</t>
        </is>
      </c>
      <c r="R1595"/>
      <c r="S1595" t="inlineStr">
        <is>
          <t>教资资料</t>
        </is>
      </c>
      <c r="T1595" t="inlineStr">
        <is>
          <t>2.59</t>
        </is>
      </c>
      <c r="U1595" s="3">
        <v>46112.78107638889</v>
      </c>
      <c r="V1595" t="inlineStr">
        <is>
          <t>虚拟产品</t>
        </is>
      </c>
      <c r="W1595" s="3">
        <v>46049</v>
      </c>
      <c r="X1595" t="inlineStr">
        <is>
          <t>01</t>
        </is>
      </c>
      <c r="Y1595" t="inlineStr">
        <is>
          <t>2026-Q1</t>
        </is>
      </c>
    </row>
    <row r="1596" ht="38.25" customHeight="1">
      <c r="A1596" t="inlineStr">
        <is>
          <t>26年中小幼教资笔试-app题库 教资题库app  中小幼教师资格证笔试</t>
        </is>
      </c>
      <c r="B1596" t="inlineStr">
        <is>
          <t>recv9tJZt4zyUZ.jpg</t>
        </is>
      </c>
      <c r="C1596" s="2" t="str">
        <f>=HYPERLINK("https://xhslink.com/m/9K2nutuiGsw", "https://xhslink.com/m/9K2nutuiGsw")</f>
        <v>https://xhslink.com/m/9K2nutuiGsw</v>
      </c>
      <c r="D1596"/>
      <c r="E1596">
        <v>5288</v>
      </c>
      <c r="F1596">
        <v>12.9</v>
      </c>
      <c r="G1596"/>
      <c r="H1596"/>
      <c r="I1596">
        <v>1000</v>
      </c>
      <c r="J1596"/>
      <c r="K1596" t="inlineStr">
        <is>
          <t>教师资格证</t>
        </is>
      </c>
      <c r="L1596"/>
      <c r="M1596" t="inlineStr">
        <is>
          <t>晨露老师的店</t>
        </is>
      </c>
      <c r="N1596">
        <v>16000</v>
      </c>
      <c r="O1596">
        <v>4.32</v>
      </c>
      <c r="P1596">
        <v>34000</v>
      </c>
      <c r="Q1596" t="inlineStr">
        <is>
          <t>679337fd75ca3a000141bf63</t>
        </is>
      </c>
      <c r="R1596" t="inlineStr">
        <is>
          <t>🚫重复</t>
        </is>
      </c>
      <c r="S1596" t="inlineStr">
        <is>
          <t>教资资料</t>
        </is>
      </c>
      <c r="T1596" t="inlineStr">
        <is>
          <t>0.33</t>
        </is>
      </c>
      <c r="U1596" s="3">
        <v>46112.78107638889</v>
      </c>
      <c r="V1596" t="inlineStr">
        <is>
          <t>虚拟产品</t>
        </is>
      </c>
      <c r="W1596" s="3">
        <v>46049</v>
      </c>
      <c r="X1596" t="inlineStr">
        <is>
          <t>01</t>
        </is>
      </c>
      <c r="Y1596" t="inlineStr">
        <is>
          <t>2026-Q1</t>
        </is>
      </c>
    </row>
    <row r="1597" ht="38.25" customHeight="1">
      <c r="A1597" t="inlineStr">
        <is>
          <t>教资备考2026考试笔试网课幼儿小学初高中历年真题电子版讲义题库</t>
        </is>
      </c>
      <c r="B1597" t="inlineStr">
        <is>
          <t>recv9tJZt4pnxx.jpg</t>
        </is>
      </c>
      <c r="C1597" s="2" t="str">
        <f>=HYPERLINK("https://xhslink.com/m/2HO4laHV2DL", "https://xhslink.com/m/2HO4laHV2DL")</f>
        <v>https://xhslink.com/m/2HO4laHV2DL</v>
      </c>
      <c r="D1597"/>
      <c r="E1597">
        <v>2438</v>
      </c>
      <c r="F1597">
        <v>20</v>
      </c>
      <c r="G1597"/>
      <c r="H1597"/>
      <c r="I1597">
        <v>500</v>
      </c>
      <c r="J1597"/>
      <c r="K1597" t="inlineStr">
        <is>
          <t>教师资格证</t>
        </is>
      </c>
      <c r="L1597" t="inlineStr">
        <is>
          <t>🔥低粉爆款</t>
        </is>
      </c>
      <c r="M1597" t="inlineStr">
        <is>
          <t>知一学姐的店</t>
        </is>
      </c>
      <c r="N1597">
        <v>269</v>
      </c>
      <c r="O1597">
        <v>4.48</v>
      </c>
      <c r="P1597">
        <v>6275</v>
      </c>
      <c r="Q1597" t="inlineStr">
        <is>
          <t>680681b1382e1700010aeb2f</t>
        </is>
      </c>
      <c r="R1597" t="inlineStr">
        <is>
          <t>🚫重复</t>
        </is>
      </c>
      <c r="S1597" t="inlineStr">
        <is>
          <t>教资资料</t>
        </is>
      </c>
      <c r="T1597" t="inlineStr">
        <is>
          <t>9.06</t>
        </is>
      </c>
      <c r="U1597" s="3">
        <v>46112.78107638889</v>
      </c>
      <c r="V1597" t="inlineStr">
        <is>
          <t>虚拟产品</t>
        </is>
      </c>
      <c r="W1597" s="3">
        <v>46049</v>
      </c>
      <c r="X1597" t="inlineStr">
        <is>
          <t>01</t>
        </is>
      </c>
      <c r="Y1597" t="inlineStr">
        <is>
          <t>2026-Q1</t>
        </is>
      </c>
    </row>
    <row r="1598" ht="38.25" customHeight="1">
      <c r="A1598" t="inlineStr">
        <is>
          <t>26上教资笔试资料包【重点笔记+往年真题+作文模版+思维导图】</t>
        </is>
      </c>
      <c r="B1598" t="inlineStr">
        <is>
          <t>recv9tJZt4lnmA.jpg</t>
        </is>
      </c>
      <c r="C1598" s="2" t="str">
        <f>=HYPERLINK("https://xhslink.com/m/2O0kuFLSCS6", "https://xhslink.com/m/2O0kuFLSCS6")</f>
        <v>https://xhslink.com/m/2O0kuFLSCS6</v>
      </c>
      <c r="D1598"/>
      <c r="E1598">
        <v>3386</v>
      </c>
      <c r="F1598">
        <v>5.5</v>
      </c>
      <c r="G1598"/>
      <c r="H1598"/>
      <c r="I1598">
        <v>3000</v>
      </c>
      <c r="J1598"/>
      <c r="K1598" t="inlineStr">
        <is>
          <t>教师资格证</t>
        </is>
      </c>
      <c r="L1598" t="inlineStr">
        <is>
          <t>🔥低粉爆款</t>
        </is>
      </c>
      <c r="M1598" t="inlineStr">
        <is>
          <t>爱学习的婷学姐的店</t>
        </is>
      </c>
      <c r="N1598">
        <v>486</v>
      </c>
      <c r="O1598">
        <v>4.54</v>
      </c>
      <c r="P1598">
        <v>3339</v>
      </c>
      <c r="Q1598" t="inlineStr">
        <is>
          <t>693834e051b8c000010b9cd3</t>
        </is>
      </c>
      <c r="R1598" t="inlineStr">
        <is>
          <t>🚫重复</t>
        </is>
      </c>
      <c r="S1598" t="inlineStr">
        <is>
          <t>教资资料</t>
        </is>
      </c>
      <c r="T1598" t="inlineStr">
        <is>
          <t>6.97</t>
        </is>
      </c>
      <c r="U1598" s="3">
        <v>46112.78107638889</v>
      </c>
      <c r="V1598" t="inlineStr">
        <is>
          <t>虚拟产品</t>
        </is>
      </c>
      <c r="W1598" s="3">
        <v>46049</v>
      </c>
      <c r="X1598" t="inlineStr">
        <is>
          <t>01</t>
        </is>
      </c>
      <c r="Y1598" t="inlineStr">
        <is>
          <t>2026-Q1</t>
        </is>
      </c>
    </row>
    <row r="1599" ht="38.25" customHeight="1">
      <c r="A1599" t="inlineStr">
        <is>
          <t>初学者钢琴电子版教材小汤拜厄车尔尼哈农完整版高清资料</t>
        </is>
      </c>
      <c r="B1599" t="inlineStr">
        <is>
          <t>recv9zc5UTejFn.jpg</t>
        </is>
      </c>
      <c r="C1599" s="2" t="str">
        <f>=HYPERLINK("https://xhslink.com/m/3Bcx5NyGhpH", "https://xhslink.com/m/3Bcx5NyGhpH")</f>
        <v>https://xhslink.com/m/3Bcx5NyGhpH</v>
      </c>
      <c r="D1599"/>
      <c r="E1599">
        <v>1374</v>
      </c>
      <c r="F1599">
        <v>6.88</v>
      </c>
      <c r="G1599"/>
      <c r="H1599"/>
      <c r="I1599">
        <v>400</v>
      </c>
      <c r="J1599"/>
      <c r="K1599" t="inlineStr">
        <is>
          <t>钢琴入门教程</t>
        </is>
      </c>
      <c r="L1599" t="inlineStr">
        <is>
          <t>🔥低粉爆款</t>
        </is>
      </c>
      <c r="M1599" t="inlineStr">
        <is>
          <t>优选好物的店</t>
        </is>
      </c>
      <c r="N1599">
        <v>166</v>
      </c>
      <c r="O1599">
        <v>4.54</v>
      </c>
      <c r="P1599">
        <v>1376</v>
      </c>
      <c r="Q1599" t="inlineStr">
        <is>
          <t>683b02f22b69e800013c0a13</t>
        </is>
      </c>
      <c r="R1599"/>
      <c r="S1599" t="inlineStr">
        <is>
          <t>中小学教辅/教材</t>
        </is>
      </c>
      <c r="T1599" t="inlineStr">
        <is>
          <t>8.28</t>
        </is>
      </c>
      <c r="U1599" s="3">
        <v>46112.78107638889</v>
      </c>
      <c r="V1599" t="inlineStr">
        <is>
          <t>虚拟产品</t>
        </is>
      </c>
      <c r="W1599" s="3">
        <v>46050</v>
      </c>
      <c r="X1599" t="inlineStr">
        <is>
          <t>01</t>
        </is>
      </c>
      <c r="Y1599" t="inlineStr">
        <is>
          <t>2026-Q1</t>
        </is>
      </c>
    </row>
    <row r="1600" ht="38.25" customHeight="1">
      <c r="A1600" t="inlineStr">
        <is>
          <t>Notion模版｜2026年度计划体系·无使用时间限制·目标拆解电脑最佳</t>
        </is>
      </c>
      <c r="B1600" t="inlineStr">
        <is>
          <t>recv9zc5UTqen7.jpg</t>
        </is>
      </c>
      <c r="C1600" s="2" t="str">
        <f>=HYPERLINK("https://xhslink.com/m/aeeXLyL9Ey", "https://xhslink.com/m/aeeXLyL9Ey")</f>
        <v>https://xhslink.com/m/aeeXLyL9Ey</v>
      </c>
      <c r="D1600"/>
      <c r="E1600">
        <v>582</v>
      </c>
      <c r="F1600">
        <v>25.9</v>
      </c>
      <c r="G1600"/>
      <c r="H1600"/>
      <c r="I1600">
        <v>500</v>
      </c>
      <c r="J1600"/>
      <c r="K1600" t="inlineStr">
        <is>
          <t>Notion</t>
        </is>
      </c>
      <c r="L1600"/>
      <c r="M1600" t="inlineStr">
        <is>
          <t>肥汪卷的店</t>
        </is>
      </c>
      <c r="N1600">
        <v>34000</v>
      </c>
      <c r="O1600">
        <v>4.55</v>
      </c>
      <c r="P1600">
        <v>15000</v>
      </c>
      <c r="Q1600" t="inlineStr">
        <is>
          <t>6936902014f9d8000180d40c</t>
        </is>
      </c>
      <c r="R1600" t="inlineStr">
        <is>
          <t>🚫重复</t>
        </is>
      </c>
      <c r="S1600" t="inlineStr">
        <is>
          <t>无匹配类别</t>
        </is>
      </c>
      <c r="T1600" t="inlineStr">
        <is>
          <t>0.02</t>
        </is>
      </c>
      <c r="U1600" s="3">
        <v>46112.78107638889</v>
      </c>
      <c r="V1600" t="inlineStr">
        <is>
          <t>虚拟产品</t>
        </is>
      </c>
      <c r="W1600" s="3">
        <v>46050</v>
      </c>
      <c r="X1600" t="inlineStr">
        <is>
          <t>01</t>
        </is>
      </c>
      <c r="Y1600" t="inlineStr">
        <is>
          <t>2026-Q1</t>
        </is>
      </c>
    </row>
    <row r="1601" ht="38.25" customHeight="1">
      <c r="A1601" t="inlineStr">
        <is>
          <t>2026马年年会活动策划PPT含主持词发言稿游戏节目</t>
        </is>
      </c>
      <c r="B1601" t="inlineStr">
        <is>
          <t>recv9zc5UT1M5X.jpg</t>
        </is>
      </c>
      <c r="C1601" s="2" t="str">
        <f>=HYPERLINK("https://xhslink.com/m/fjQ17JGpMq", "https://xhslink.com/m/fjQ17JGpMq")</f>
        <v>https://xhslink.com/m/fjQ17JGpMq</v>
      </c>
      <c r="D1601"/>
      <c r="E1601">
        <v>499</v>
      </c>
      <c r="F1601">
        <v>17.9</v>
      </c>
      <c r="G1601"/>
      <c r="H1601"/>
      <c r="I1601">
        <v>400</v>
      </c>
      <c r="J1601"/>
      <c r="K1601" t="inlineStr">
        <is>
          <t>马年年会资料包</t>
        </is>
      </c>
      <c r="L1601"/>
      <c r="M1601" t="inlineStr">
        <is>
          <t>小宇宙的店</t>
        </is>
      </c>
      <c r="N1601">
        <v>263</v>
      </c>
      <c r="O1601">
        <v>4.52</v>
      </c>
      <c r="P1601">
        <v>1657</v>
      </c>
      <c r="Q1601" t="inlineStr">
        <is>
          <t>6928435018096d0001c9f605</t>
        </is>
      </c>
      <c r="R1601" t="inlineStr">
        <is>
          <t>🚫重复</t>
        </is>
      </c>
      <c r="S1601" t="inlineStr">
        <is>
          <t>PPT模板</t>
        </is>
      </c>
      <c r="T1601" t="inlineStr">
        <is>
          <t>1.90</t>
        </is>
      </c>
      <c r="U1601" s="3">
        <v>46112.78107638889</v>
      </c>
      <c r="V1601" t="inlineStr">
        <is>
          <t>虚拟产品</t>
        </is>
      </c>
      <c r="W1601" s="3">
        <v>46050</v>
      </c>
      <c r="X1601" t="inlineStr">
        <is>
          <t>01</t>
        </is>
      </c>
      <c r="Y1601" t="inlineStr">
        <is>
          <t>2026-Q1</t>
        </is>
      </c>
    </row>
    <row r="1602" ht="38.25" customHeight="1">
      <c r="A1602" t="inlineStr">
        <is>
          <t>2026马年年会活动策划PPT含主持词发言稿游戏节目</t>
        </is>
      </c>
      <c r="B1602" t="inlineStr">
        <is>
          <t>recv9zc5UTBS8u.jpg</t>
        </is>
      </c>
      <c r="C1602" s="2" t="str">
        <f>=HYPERLINK("https://xhslink.com/m/A8YZu2K22HX", "https://xhslink.com/m/A8YZu2K22HX")</f>
        <v>https://xhslink.com/m/A8YZu2K22HX</v>
      </c>
      <c r="D1602"/>
      <c r="E1602">
        <v>499</v>
      </c>
      <c r="F1602">
        <v>9.9</v>
      </c>
      <c r="G1602"/>
      <c r="H1602"/>
      <c r="I1602">
        <v>400</v>
      </c>
      <c r="J1602"/>
      <c r="K1602" t="inlineStr">
        <is>
          <t>马年年会背景音乐</t>
        </is>
      </c>
      <c r="L1602"/>
      <c r="M1602" t="inlineStr">
        <is>
          <t>小宇宙的店</t>
        </is>
      </c>
      <c r="N1602">
        <v>263</v>
      </c>
      <c r="O1602">
        <v>4.52</v>
      </c>
      <c r="P1602">
        <v>1657</v>
      </c>
      <c r="Q1602" t="inlineStr">
        <is>
          <t>69413220ab7cc40001cae298</t>
        </is>
      </c>
      <c r="R1602" t="inlineStr">
        <is>
          <t>🚫重复</t>
        </is>
      </c>
      <c r="S1602" t="inlineStr">
        <is>
          <t>PPT模板</t>
        </is>
      </c>
      <c r="T1602" t="inlineStr">
        <is>
          <t>1.90</t>
        </is>
      </c>
      <c r="U1602" s="3">
        <v>46112.78107638889</v>
      </c>
      <c r="V1602" t="inlineStr">
        <is>
          <t>虚拟产品</t>
        </is>
      </c>
      <c r="W1602" s="3">
        <v>46050</v>
      </c>
      <c r="X1602" t="inlineStr">
        <is>
          <t>01</t>
        </is>
      </c>
      <c r="Y1602" t="inlineStr">
        <is>
          <t>2026-Q1</t>
        </is>
      </c>
    </row>
    <row r="1603" ht="38.25" customHeight="1">
      <c r="A1603" t="inlineStr">
        <is>
          <t>【秒发网盘】马年笔记同款学校企业元旦晚会年会游戏节目单PPT</t>
        </is>
      </c>
      <c r="B1603" t="inlineStr">
        <is>
          <t>recv9zc5UTrEzQ.jpg</t>
        </is>
      </c>
      <c r="C1603" s="2" t="str">
        <f>=HYPERLINK("https://xhslink.com/m/8rr7hQMrlHP", "https://xhslink.com/m/8rr7hQMrlHP")</f>
        <v>https://xhslink.com/m/8rr7hQMrlHP</v>
      </c>
      <c r="D1603"/>
      <c r="E1603">
        <v>10000</v>
      </c>
      <c r="F1603">
        <v>5.98</v>
      </c>
      <c r="G1603"/>
      <c r="H1603"/>
      <c r="I1603">
        <v>200</v>
      </c>
      <c r="J1603"/>
      <c r="K1603" t="inlineStr">
        <is>
          <t>马年年会策划PPT</t>
        </is>
      </c>
      <c r="L1603"/>
      <c r="M1603" t="inlineStr">
        <is>
          <t>金老师PPT的店</t>
        </is>
      </c>
      <c r="N1603">
        <v>11000</v>
      </c>
      <c r="O1603">
        <v>4.63</v>
      </c>
      <c r="P1603">
        <v>53000</v>
      </c>
      <c r="Q1603" t="inlineStr">
        <is>
          <t>690d9e78f73ffe00019f2415</t>
        </is>
      </c>
      <c r="R1603" t="inlineStr">
        <is>
          <t>🚫重复</t>
        </is>
      </c>
      <c r="S1603" t="inlineStr">
        <is>
          <t>PPT模板</t>
        </is>
      </c>
      <c r="T1603" t="inlineStr">
        <is>
          <t>0.91</t>
        </is>
      </c>
      <c r="U1603" s="3">
        <v>46112.78107638889</v>
      </c>
      <c r="V1603" t="inlineStr">
        <is>
          <t>虚拟产品</t>
        </is>
      </c>
      <c r="W1603" s="3">
        <v>46050</v>
      </c>
      <c r="X1603" t="inlineStr">
        <is>
          <t>01</t>
        </is>
      </c>
      <c r="Y1603" t="inlineStr">
        <is>
          <t>2026-Q1</t>
        </is>
      </c>
    </row>
    <row r="1604" ht="38.25" customHeight="1">
      <c r="A1604" t="inlineStr">
        <is>
          <t>【马年】晚会年会搞笑开场快闪PPT模板/emoji猜成语/谐音等游戏</t>
        </is>
      </c>
      <c r="B1604" t="inlineStr">
        <is>
          <t>recv9zc5UTtXzS.jpg</t>
        </is>
      </c>
      <c r="C1604" s="2" t="str">
        <f>=HYPERLINK("https://xhslink.com/m/1E2lyj3Gvst", "https://xhslink.com/m/1E2lyj3Gvst")</f>
        <v>https://xhslink.com/m/1E2lyj3Gvst</v>
      </c>
      <c r="D1604"/>
      <c r="E1604">
        <v>2601</v>
      </c>
      <c r="F1604">
        <v>19.5</v>
      </c>
      <c r="G1604"/>
      <c r="H1604"/>
      <c r="I1604">
        <v>2000</v>
      </c>
      <c r="J1604"/>
      <c r="K1604" t="inlineStr">
        <is>
          <t>马年年会策划PPT</t>
        </is>
      </c>
      <c r="L1604"/>
      <c r="M1604" t="inlineStr">
        <is>
          <t>金老师PPT的店</t>
        </is>
      </c>
      <c r="N1604">
        <v>11000</v>
      </c>
      <c r="O1604">
        <v>4.63</v>
      </c>
      <c r="P1604">
        <v>53000</v>
      </c>
      <c r="Q1604" t="inlineStr">
        <is>
          <t>6940ecfa4d11d70001336e26</t>
        </is>
      </c>
      <c r="R1604" t="inlineStr">
        <is>
          <t>🚫重复</t>
        </is>
      </c>
      <c r="S1604" t="inlineStr">
        <is>
          <t>PPT模板</t>
        </is>
      </c>
      <c r="T1604" t="inlineStr">
        <is>
          <t>0.24</t>
        </is>
      </c>
      <c r="U1604" s="3">
        <v>46112.78107638889</v>
      </c>
      <c r="V1604" t="inlineStr">
        <is>
          <t>虚拟产品</t>
        </is>
      </c>
      <c r="W1604" s="3">
        <v>46050</v>
      </c>
      <c r="X1604" t="inlineStr">
        <is>
          <t>01</t>
        </is>
      </c>
      <c r="Y1604" t="inlineStr">
        <is>
          <t>2026-Q1</t>
        </is>
      </c>
    </row>
    <row r="1605" ht="38.25" customHeight="1">
      <c r="A1605" t="inlineStr">
        <is>
          <t>自动发货-2026马年相关相关PPT模板（详情看主页笔记图文）</t>
        </is>
      </c>
      <c r="B1605" t="inlineStr">
        <is>
          <t>recv9zc5UTNzBb.jpg</t>
        </is>
      </c>
      <c r="C1605" s="2" t="str">
        <f>=HYPERLINK("https://xhslink.com/m/87FpHEEVR7B", "https://xhslink.com/m/87FpHEEVR7B")</f>
        <v>https://xhslink.com/m/87FpHEEVR7B</v>
      </c>
      <c r="D1605"/>
      <c r="E1605">
        <v>703</v>
      </c>
      <c r="F1605">
        <v>6.68</v>
      </c>
      <c r="G1605"/>
      <c r="H1605"/>
      <c r="I1605">
        <v>600</v>
      </c>
      <c r="J1605"/>
      <c r="K1605" t="inlineStr">
        <is>
          <t>马年年会策划PPT</t>
        </is>
      </c>
      <c r="L1605"/>
      <c r="M1605" t="inlineStr">
        <is>
          <t>糖宝ppt的店</t>
        </is>
      </c>
      <c r="N1605">
        <v>888</v>
      </c>
      <c r="O1605">
        <v>4.43</v>
      </c>
      <c r="P1605">
        <v>3768</v>
      </c>
      <c r="Q1605" t="inlineStr">
        <is>
          <t>69415d4cae586c0001a1c79d</t>
        </is>
      </c>
      <c r="R1605" t="inlineStr">
        <is>
          <t>🚫重复</t>
        </is>
      </c>
      <c r="S1605" t="inlineStr">
        <is>
          <t>PPT模板</t>
        </is>
      </c>
      <c r="T1605" t="inlineStr">
        <is>
          <t>0.79</t>
        </is>
      </c>
      <c r="U1605" s="3">
        <v>46112.78107638889</v>
      </c>
      <c r="V1605" t="inlineStr">
        <is>
          <t>虚拟产品</t>
        </is>
      </c>
      <c r="W1605" s="3">
        <v>46050</v>
      </c>
      <c r="X1605" t="inlineStr">
        <is>
          <t>01</t>
        </is>
      </c>
      <c r="Y1605" t="inlineStr">
        <is>
          <t>2026-Q1</t>
        </is>
      </c>
    </row>
    <row r="1606" ht="38.25" customHeight="1">
      <c r="A1606" t="inlineStr">
        <is>
          <t>2026企业公司马年年会颁奖庆典活动方案PPT模板60001</t>
        </is>
      </c>
      <c r="B1606" t="inlineStr">
        <is>
          <t>recv9zc5UT3B1F.jpg</t>
        </is>
      </c>
      <c r="C1606" s="2" t="str">
        <f>=HYPERLINK("https://xhslink.com/m/7Yxv2L57buX", "https://xhslink.com/m/7Yxv2L57buX")</f>
        <v>https://xhslink.com/m/7Yxv2L57buX</v>
      </c>
      <c r="D1606"/>
      <c r="E1606">
        <v>213</v>
      </c>
      <c r="F1606">
        <v>12.9</v>
      </c>
      <c r="G1606"/>
      <c r="H1606"/>
      <c r="I1606">
        <v>200</v>
      </c>
      <c r="J1606"/>
      <c r="K1606" t="inlineStr">
        <is>
          <t>年会PPT</t>
        </is>
      </c>
      <c r="L1606"/>
      <c r="M1606" t="inlineStr">
        <is>
          <t>无界活动策划的店</t>
        </is>
      </c>
      <c r="N1606">
        <v>2578</v>
      </c>
      <c r="O1606">
        <v>4.51</v>
      </c>
      <c r="P1606">
        <v>6154</v>
      </c>
      <c r="Q1606" t="inlineStr">
        <is>
          <t>69121e014a25b70001493679</t>
        </is>
      </c>
      <c r="R1606"/>
      <c r="S1606" t="inlineStr">
        <is>
          <t>PPT模板</t>
        </is>
      </c>
      <c r="T1606" t="inlineStr">
        <is>
          <t>0.08</t>
        </is>
      </c>
      <c r="U1606" s="3">
        <v>46112.78107638889</v>
      </c>
      <c r="V1606" t="inlineStr">
        <is>
          <t>虚拟产品</t>
        </is>
      </c>
      <c r="W1606" s="3">
        <v>46050</v>
      </c>
      <c r="X1606" t="inlineStr">
        <is>
          <t>01</t>
        </is>
      </c>
      <c r="Y1606" t="inlineStr">
        <is>
          <t>2026-Q1</t>
        </is>
      </c>
    </row>
    <row r="1607" ht="38.25" customHeight="1">
      <c r="A1607" t="inlineStr">
        <is>
          <t>【限时8.8】幼儿园班主任个人工作述职报告ppt</t>
        </is>
      </c>
      <c r="B1607" t="inlineStr">
        <is>
          <t>recv9zc5UTF954.jpg</t>
        </is>
      </c>
      <c r="C1607" s="2" t="str">
        <f>=HYPERLINK("https://xhslink.com/m/7EV0dkDkHf7", "https://xhslink.com/m/7EV0dkDkHf7")</f>
        <v>https://xhslink.com/m/7EV0dkDkHf7</v>
      </c>
      <c r="D1607"/>
      <c r="E1607">
        <v>543</v>
      </c>
      <c r="F1607">
        <v>69.9</v>
      </c>
      <c r="G1607"/>
      <c r="H1607"/>
      <c r="I1607"/>
      <c r="J1607"/>
      <c r="K1607" t="inlineStr">
        <is>
          <t>述职报告</t>
        </is>
      </c>
      <c r="L1607"/>
      <c r="M1607" t="inlineStr">
        <is>
          <t>一小只晨晨咨询的店</t>
        </is>
      </c>
      <c r="N1607">
        <v>3434</v>
      </c>
      <c r="O1607">
        <v>4.57</v>
      </c>
      <c r="P1607">
        <v>36000</v>
      </c>
      <c r="Q1607" t="inlineStr">
        <is>
          <t>6937e2180d758900010e2d5b</t>
        </is>
      </c>
      <c r="R1607" t="inlineStr">
        <is>
          <t>🚫重复</t>
        </is>
      </c>
      <c r="S1607" t="inlineStr">
        <is>
          <t>PPT模板</t>
        </is>
      </c>
      <c r="T1607" t="inlineStr">
        <is>
          <t>0.16</t>
        </is>
      </c>
      <c r="U1607" s="3">
        <v>46112.78107638889</v>
      </c>
      <c r="V1607" t="inlineStr">
        <is>
          <t>虚拟产品</t>
        </is>
      </c>
      <c r="W1607" s="3">
        <v>46050</v>
      </c>
      <c r="X1607" t="inlineStr">
        <is>
          <t>01</t>
        </is>
      </c>
      <c r="Y1607" t="inlineStr">
        <is>
          <t>2026-Q1</t>
        </is>
      </c>
    </row>
    <row r="1608" ht="38.25" customHeight="1">
      <c r="A1608" t="inlineStr">
        <is>
          <t>40页原创工作汇报ppt模板述职年终总结PPT模板（赠同款动态版本）</t>
        </is>
      </c>
      <c r="B1608" t="inlineStr">
        <is>
          <t>recv9zc5UTaSgA.jpg</t>
        </is>
      </c>
      <c r="C1608" s="2" t="str">
        <f>=HYPERLINK("https://xhslink.com/m/5ElYINm1In5", "https://xhslink.com/m/5ElYINm1In5")</f>
        <v>https://xhslink.com/m/5ElYINm1In5</v>
      </c>
      <c r="D1608"/>
      <c r="E1608">
        <v>375</v>
      </c>
      <c r="F1608">
        <v>39.9</v>
      </c>
      <c r="G1608"/>
      <c r="H1608"/>
      <c r="I1608">
        <v>200</v>
      </c>
      <c r="J1608"/>
      <c r="K1608" t="inlineStr">
        <is>
          <t>述职报告</t>
        </is>
      </c>
      <c r="L1608"/>
      <c r="M1608" t="inlineStr">
        <is>
          <t>青山PPT努力版的店</t>
        </is>
      </c>
      <c r="N1608">
        <v>17000</v>
      </c>
      <c r="O1608">
        <v>4.52</v>
      </c>
      <c r="P1608">
        <v>6897</v>
      </c>
      <c r="Q1608" t="inlineStr">
        <is>
          <t>689a97f50be0ca0001f17289</t>
        </is>
      </c>
      <c r="R1608"/>
      <c r="S1608" t="inlineStr">
        <is>
          <t>PPT模板</t>
        </is>
      </c>
      <c r="T1608" t="inlineStr">
        <is>
          <t>0.02</t>
        </is>
      </c>
      <c r="U1608" s="3">
        <v>46112.78107638889</v>
      </c>
      <c r="V1608" t="inlineStr">
        <is>
          <t>虚拟产品</t>
        </is>
      </c>
      <c r="W1608" s="3">
        <v>46050</v>
      </c>
      <c r="X1608" t="inlineStr">
        <is>
          <t>01</t>
        </is>
      </c>
      <c r="Y1608" t="inlineStr">
        <is>
          <t>2026-Q1</t>
        </is>
      </c>
    </row>
    <row r="1609" ht="38.25" customHeight="1">
      <c r="A1609" t="inlineStr">
        <is>
          <t>【图片版】生日浪漫代码电子贺卡电子生日蛋糕小众创意祝福</t>
        </is>
      </c>
      <c r="B1609" t="inlineStr">
        <is>
          <t>recv9zc5UTlMYd.jpg</t>
        </is>
      </c>
      <c r="C1609" s="2" t="str">
        <f>=HYPERLINK("https://xhslink.com/m/4hUhDgj8PHp", "https://xhslink.com/m/4hUhDgj8PHp")</f>
        <v>https://xhslink.com/m/4hUhDgj8PHp</v>
      </c>
      <c r="D1609"/>
      <c r="E1609">
        <v>1350</v>
      </c>
      <c r="F1609">
        <v>9.99</v>
      </c>
      <c r="G1609"/>
      <c r="H1609"/>
      <c r="I1609">
        <v>800</v>
      </c>
      <c r="J1609"/>
      <c r="K1609" t="inlineStr">
        <is>
          <t>电子贺卡</t>
        </is>
      </c>
      <c r="L1609"/>
      <c r="M1609" t="inlineStr">
        <is>
          <t>数字糖果铺🍬的店</t>
        </is>
      </c>
      <c r="N1609">
        <v>607</v>
      </c>
      <c r="O1609">
        <v>4.61</v>
      </c>
      <c r="P1609">
        <v>2272</v>
      </c>
      <c r="Q1609" t="inlineStr">
        <is>
          <t>688a28d2e08d4d0001af317f</t>
        </is>
      </c>
      <c r="R1609"/>
      <c r="S1609" t="inlineStr">
        <is>
          <t>设计素材</t>
        </is>
      </c>
      <c r="T1609" t="inlineStr">
        <is>
          <t>2.22</t>
        </is>
      </c>
      <c r="U1609" s="3">
        <v>46112.78107638889</v>
      </c>
      <c r="V1609" t="inlineStr">
        <is>
          <t>虚拟产品</t>
        </is>
      </c>
      <c r="W1609" s="3">
        <v>46050</v>
      </c>
      <c r="X1609" t="inlineStr">
        <is>
          <t>01</t>
        </is>
      </c>
      <c r="Y1609" t="inlineStr">
        <is>
          <t>2026-Q1</t>
        </is>
      </c>
    </row>
    <row r="1610" ht="38.25" customHeight="1">
      <c r="A1610" t="inlineStr">
        <is>
          <t>2026马年创意期末评语多款可选古风可爱风特色期末评语中小学word</t>
        </is>
      </c>
      <c r="B1610" t="inlineStr">
        <is>
          <t>recv9zc5UTKIqg.jpg</t>
        </is>
      </c>
      <c r="C1610" s="2" t="str">
        <f>=HYPERLINK("https://xhslink.com/m/2MXXOvvUKO7", "https://xhslink.com/m/2MXXOvvUKO7")</f>
        <v>https://xhslink.com/m/2MXXOvvUKO7</v>
      </c>
      <c r="D1610"/>
      <c r="E1610">
        <v>3370</v>
      </c>
      <c r="F1610">
        <v>8.8</v>
      </c>
      <c r="G1610"/>
      <c r="H1610"/>
      <c r="I1610">
        <v>1000</v>
      </c>
      <c r="J1610"/>
      <c r="K1610" t="inlineStr">
        <is>
          <t>期末评语</t>
        </is>
      </c>
      <c r="L1610"/>
      <c r="M1610" t="inlineStr">
        <is>
          <t>小橙夏天的店</t>
        </is>
      </c>
      <c r="N1610">
        <v>9684</v>
      </c>
      <c r="O1610">
        <v>4.61</v>
      </c>
      <c r="P1610">
        <v>36000</v>
      </c>
      <c r="Q1610" t="inlineStr">
        <is>
          <t>69414a73b049690001c17e7b</t>
        </is>
      </c>
      <c r="R1610" t="inlineStr">
        <is>
          <t>🚫重复</t>
        </is>
      </c>
      <c r="S1610" t="inlineStr">
        <is>
          <t>中小学教辅/教材</t>
        </is>
      </c>
      <c r="T1610" t="inlineStr">
        <is>
          <t>0.35</t>
        </is>
      </c>
      <c r="U1610" s="3">
        <v>46112.78107638889</v>
      </c>
      <c r="V1610" t="inlineStr">
        <is>
          <t>虚拟产品</t>
        </is>
      </c>
      <c r="W1610" s="3">
        <v>46050</v>
      </c>
      <c r="X1610" t="inlineStr">
        <is>
          <t>01</t>
        </is>
      </c>
      <c r="Y1610" t="inlineStr">
        <is>
          <t>2026-Q1</t>
        </is>
      </c>
    </row>
    <row r="1611" ht="38.25" customHeight="1">
      <c r="A1611" t="inlineStr">
        <is>
          <t>班主任工作资料（精品评语、工作手册）</t>
        </is>
      </c>
      <c r="B1611" t="inlineStr">
        <is>
          <t>recv9zc5UTGjL9.jpg</t>
        </is>
      </c>
      <c r="C1611" s="2" t="str">
        <f>=HYPERLINK("https://xhslink.com/m/57gPoYzGUBR", "https://xhslink.com/m/57gPoYzGUBR")</f>
        <v>https://xhslink.com/m/57gPoYzGUBR</v>
      </c>
      <c r="D1611"/>
      <c r="E1611">
        <v>718</v>
      </c>
      <c r="F1611">
        <v>9.9</v>
      </c>
      <c r="G1611"/>
      <c r="H1611"/>
      <c r="I1611">
        <v>200</v>
      </c>
      <c r="J1611"/>
      <c r="K1611" t="inlineStr">
        <is>
          <t>期末评语</t>
        </is>
      </c>
      <c r="L1611"/>
      <c r="M1611" t="inlineStr">
        <is>
          <t>做班主任的音乐老师的店</t>
        </is>
      </c>
      <c r="N1611">
        <v>27000</v>
      </c>
      <c r="O1611">
        <v>4.45</v>
      </c>
      <c r="P1611">
        <v>3826</v>
      </c>
      <c r="Q1611" t="inlineStr">
        <is>
          <t>692403eb55b7d6000182b979</t>
        </is>
      </c>
      <c r="R1611" t="inlineStr">
        <is>
          <t>🚫重复</t>
        </is>
      </c>
      <c r="S1611" t="inlineStr">
        <is>
          <t>老师资料</t>
        </is>
      </c>
      <c r="T1611" t="inlineStr">
        <is>
          <t>0.03</t>
        </is>
      </c>
      <c r="U1611" s="3">
        <v>46112.78107638889</v>
      </c>
      <c r="V1611" t="inlineStr">
        <is>
          <t>虚拟产品</t>
        </is>
      </c>
      <c r="W1611" s="3">
        <v>46050</v>
      </c>
      <c r="X1611" t="inlineStr">
        <is>
          <t>01</t>
        </is>
      </c>
      <c r="Y1611" t="inlineStr">
        <is>
          <t>2026-Q1</t>
        </is>
      </c>
    </row>
    <row r="1612" ht="38.25" customHeight="1">
      <c r="A1612" t="inlineStr">
        <is>
          <t>AI期末评语一键生成幼儿园版 小学版 初高中版 可修改 加标签打印</t>
        </is>
      </c>
      <c r="B1612" t="inlineStr">
        <is>
          <t>recv9zc5UTTZSA.jpg</t>
        </is>
      </c>
      <c r="C1612" s="2" t="str">
        <f>=HYPERLINK("https://xhslink.com/m/5IkIeGXhjCL", "https://xhslink.com/m/5IkIeGXhjCL")</f>
        <v>https://xhslink.com/m/5IkIeGXhjCL</v>
      </c>
      <c r="D1612"/>
      <c r="E1612">
        <v>230</v>
      </c>
      <c r="F1612">
        <v>14.9</v>
      </c>
      <c r="G1612"/>
      <c r="H1612"/>
      <c r="I1612">
        <v>200</v>
      </c>
      <c r="J1612"/>
      <c r="K1612" t="inlineStr">
        <is>
          <t>期末评语</t>
        </is>
      </c>
      <c r="L1612"/>
      <c r="M1612" t="inlineStr">
        <is>
          <t>清清老师的高效资料馆的店</t>
        </is>
      </c>
      <c r="N1612">
        <v>185</v>
      </c>
      <c r="O1612">
        <v>4.51</v>
      </c>
      <c r="P1612">
        <v>3136</v>
      </c>
      <c r="Q1612" t="inlineStr">
        <is>
          <t>695f20c3d0c58a00016c4e6f</t>
        </is>
      </c>
      <c r="R1612" t="inlineStr">
        <is>
          <t>🚫重复</t>
        </is>
      </c>
      <c r="S1612" t="inlineStr">
        <is>
          <t>AI</t>
        </is>
      </c>
      <c r="T1612" t="inlineStr">
        <is>
          <t>1.24</t>
        </is>
      </c>
      <c r="U1612" s="3">
        <v>46112.78107638889</v>
      </c>
      <c r="V1612" t="inlineStr">
        <is>
          <t>虚拟产品</t>
        </is>
      </c>
      <c r="W1612" s="3">
        <v>46050</v>
      </c>
      <c r="X1612" t="inlineStr">
        <is>
          <t>01</t>
        </is>
      </c>
      <c r="Y1612" t="inlineStr">
        <is>
          <t>2026-Q1</t>
        </is>
      </c>
    </row>
    <row r="1613" ht="38.25" customHeight="1">
      <c r="A1613" t="inlineStr">
        <is>
          <t>春雨教育 · 2026小学实验班提优训练寒假衔接预习知识点</t>
        </is>
      </c>
      <c r="B1613" t="inlineStr">
        <is>
          <t>recv9zc5UTvUDR.jpg</t>
        </is>
      </c>
      <c r="C1613" s="2" t="str">
        <f>=HYPERLINK("https://xhslink.com/m/2coo2GU6D2n", "https://xhslink.com/m/2coo2GU6D2n")</f>
        <v>https://xhslink.com/m/2coo2GU6D2n</v>
      </c>
      <c r="D1613"/>
      <c r="E1613">
        <v>275</v>
      </c>
      <c r="F1613">
        <v>53.4</v>
      </c>
      <c r="G1613"/>
      <c r="H1613"/>
      <c r="I1613">
        <v>200</v>
      </c>
      <c r="J1613"/>
      <c r="K1613" t="inlineStr">
        <is>
          <t>寒假衔接</t>
        </is>
      </c>
      <c r="L1613"/>
      <c r="M1613" t="inlineStr">
        <is>
          <t>春雨教育旗舰店</t>
        </is>
      </c>
      <c r="N1613">
        <v>9647</v>
      </c>
      <c r="O1613">
        <v>4.66</v>
      </c>
      <c r="P1613">
        <v>31000</v>
      </c>
      <c r="Q1613" t="inlineStr">
        <is>
          <t>6923b57d6ea74e0001cb1dc6</t>
        </is>
      </c>
      <c r="R1613"/>
      <c r="S1613" t="inlineStr">
        <is>
          <t>中小学教辅/教材</t>
        </is>
      </c>
      <c r="T1613" t="inlineStr">
        <is>
          <t>0.03</t>
        </is>
      </c>
      <c r="U1613" s="3">
        <v>46112.78107638889</v>
      </c>
      <c r="V1613" t="inlineStr">
        <is>
          <t>虚拟产品</t>
        </is>
      </c>
      <c r="W1613" s="3">
        <v>46050</v>
      </c>
      <c r="X1613" t="inlineStr">
        <is>
          <t>01</t>
        </is>
      </c>
      <c r="Y1613" t="inlineStr">
        <is>
          <t>2026-Q1</t>
        </is>
      </c>
    </row>
    <row r="1614" ht="38.25" customHeight="1">
      <c r="A1614" t="inlineStr">
        <is>
          <t>2026执业药师网课中药西药师姜雅刘丹仇牧韩旭正版书视频课件题库</t>
        </is>
      </c>
      <c r="B1614" t="inlineStr">
        <is>
          <t>recv9zc5UTqqeK.jpg</t>
        </is>
      </c>
      <c r="C1614" s="2" t="str">
        <f>=HYPERLINK("https://xhslink.com/m/8a2uwkkYEl7", "https://xhslink.com/m/8a2uwkkYEl7")</f>
        <v>https://xhslink.com/m/8a2uwkkYEl7</v>
      </c>
      <c r="D1614"/>
      <c r="E1614">
        <v>2209</v>
      </c>
      <c r="F1614">
        <v>299</v>
      </c>
      <c r="G1614"/>
      <c r="H1614"/>
      <c r="I1614">
        <v>200</v>
      </c>
      <c r="J1614"/>
      <c r="K1614" t="inlineStr">
        <is>
          <t>医学</t>
        </is>
      </c>
      <c r="L1614" t="inlineStr">
        <is>
          <t>🔥低粉爆款</t>
        </is>
      </c>
      <c r="M1614" t="inlineStr">
        <is>
          <t>萌萌超人的店</t>
        </is>
      </c>
      <c r="N1614">
        <v>391</v>
      </c>
      <c r="O1614">
        <v>4.53</v>
      </c>
      <c r="P1614">
        <v>8675</v>
      </c>
      <c r="Q1614" t="inlineStr">
        <is>
          <t>67f3eabcf0efe50001b5fcad</t>
        </is>
      </c>
      <c r="R1614" t="inlineStr">
        <is>
          <t>🚫重复</t>
        </is>
      </c>
      <c r="S1614" t="inlineStr">
        <is>
          <t>生活成长</t>
        </is>
      </c>
      <c r="T1614" t="inlineStr">
        <is>
          <t>5.65</t>
        </is>
      </c>
      <c r="U1614" s="3">
        <v>46112.78107638889</v>
      </c>
      <c r="V1614" t="inlineStr">
        <is>
          <t>虚拟产品</t>
        </is>
      </c>
      <c r="W1614" s="3">
        <v>46050</v>
      </c>
      <c r="X1614" t="inlineStr">
        <is>
          <t>01</t>
        </is>
      </c>
      <c r="Y1614" t="inlineStr">
        <is>
          <t>2026-Q1</t>
        </is>
      </c>
    </row>
    <row r="1615" ht="38.25" customHeight="1">
      <c r="A1615" t="inlineStr">
        <is>
          <t>医学基础知识1000题含答案解析</t>
        </is>
      </c>
      <c r="B1615" t="inlineStr">
        <is>
          <t>recv9zc5UT3j55.jpg</t>
        </is>
      </c>
      <c r="C1615" s="2" t="str">
        <f>=HYPERLINK("https://xhslink.com/m/4TPRg6IEJPz", "https://xhslink.com/m/4TPRg6IEJPz")</f>
        <v>https://xhslink.com/m/4TPRg6IEJPz</v>
      </c>
      <c r="D1615"/>
      <c r="E1615">
        <v>379</v>
      </c>
      <c r="F1615">
        <v>2.99</v>
      </c>
      <c r="G1615"/>
      <c r="H1615"/>
      <c r="I1615">
        <v>200</v>
      </c>
      <c r="J1615"/>
      <c r="K1615" t="inlineStr">
        <is>
          <t>医学</t>
        </is>
      </c>
      <c r="L1615"/>
      <c r="M1615" t="inlineStr">
        <is>
          <t>小野超棒耶的店</t>
        </is>
      </c>
      <c r="N1615">
        <v>292</v>
      </c>
      <c r="O1615">
        <v>4.47</v>
      </c>
      <c r="P1615">
        <v>1067</v>
      </c>
      <c r="Q1615" t="inlineStr">
        <is>
          <t>6888ce96e58d0700014b3940</t>
        </is>
      </c>
      <c r="R1615"/>
      <c r="S1615" t="inlineStr">
        <is>
          <t>无匹配类别</t>
        </is>
      </c>
      <c r="T1615" t="inlineStr">
        <is>
          <t>1.30</t>
        </is>
      </c>
      <c r="U1615" s="3">
        <v>46112.78107638889</v>
      </c>
      <c r="V1615" t="inlineStr">
        <is>
          <t>虚拟产品</t>
        </is>
      </c>
      <c r="W1615" s="3">
        <v>46050</v>
      </c>
      <c r="X1615" t="inlineStr">
        <is>
          <t>01</t>
        </is>
      </c>
      <c r="Y1615" t="inlineStr">
        <is>
          <t>2026-Q1</t>
        </is>
      </c>
    </row>
    <row r="1616" ht="38.25" customHeight="1">
      <c r="A1616" t="inlineStr">
        <is>
          <t>2.5pro  3.0pro api 中转学习资料</t>
        </is>
      </c>
      <c r="B1616" t="inlineStr">
        <is>
          <t>recv9Fi6Xd3EUF.jpg</t>
        </is>
      </c>
      <c r="C1616" s="2" t="str">
        <f>=HYPERLINK("https://xhslink.com/m/1MdO2KEJRwa", "https://xhslink.com/m/1MdO2KEJRwa")</f>
        <v>https://xhslink.com/m/1MdO2KEJRwa</v>
      </c>
      <c r="D1616"/>
      <c r="E1616">
        <v>6756</v>
      </c>
      <c r="F1616">
        <v>95.9</v>
      </c>
      <c r="G1616"/>
      <c r="H1616"/>
      <c r="I1616">
        <v>3000</v>
      </c>
      <c r="J1616"/>
      <c r="K1616" t="inlineStr">
        <is>
          <t>电子版</t>
        </is>
      </c>
      <c r="L1616" t="inlineStr">
        <is>
          <t>🔥低粉爆款</t>
        </is>
      </c>
      <c r="M1616" t="inlineStr">
        <is>
          <t>api key 中转api 稳定源头供应的店</t>
        </is>
      </c>
      <c r="N1616">
        <v>330</v>
      </c>
      <c r="O1616">
        <v>4.67</v>
      </c>
      <c r="P1616">
        <v>7359</v>
      </c>
      <c r="Q1616" t="inlineStr">
        <is>
          <t>6943dfa4d96c450001214d9d</t>
        </is>
      </c>
      <c r="R1616"/>
      <c r="S1616" t="inlineStr">
        <is>
          <t>AI</t>
        </is>
      </c>
      <c r="T1616" t="inlineStr">
        <is>
          <t>20.47</t>
        </is>
      </c>
      <c r="U1616" s="3">
        <v>46112.78107638889</v>
      </c>
      <c r="V1616" t="inlineStr">
        <is>
          <t>虚拟产品</t>
        </is>
      </c>
      <c r="W1616" s="3">
        <v>46051</v>
      </c>
      <c r="X1616" t="inlineStr">
        <is>
          <t>01</t>
        </is>
      </c>
      <c r="Y1616" t="inlineStr">
        <is>
          <t>2026-Q1</t>
        </is>
      </c>
    </row>
    <row r="1617" ht="38.25" customHeight="1">
      <c r="A1617" t="inlineStr">
        <is>
          <t>「最新九年级」全套pdf电子版</t>
        </is>
      </c>
      <c r="B1617" t="inlineStr">
        <is>
          <t>recv9Fi6XddfUH.jpg</t>
        </is>
      </c>
      <c r="C1617" s="2" t="str">
        <f>=HYPERLINK("https://xhslink.com/m/8nfItt324dg", "https://xhslink.com/m/8nfItt324dg")</f>
        <v>https://xhslink.com/m/8nfItt324dg</v>
      </c>
      <c r="D1617"/>
      <c r="E1617">
        <v>1863</v>
      </c>
      <c r="F1617">
        <v>150</v>
      </c>
      <c r="G1617"/>
      <c r="H1617"/>
      <c r="I1617">
        <v>200</v>
      </c>
      <c r="J1617"/>
      <c r="K1617" t="inlineStr">
        <is>
          <t>电子版</t>
        </is>
      </c>
      <c r="L1617"/>
      <c r="M1617" t="inlineStr">
        <is>
          <t>是旺旺碎冰冰的强项的店</t>
        </is>
      </c>
      <c r="N1617">
        <v>57000</v>
      </c>
      <c r="O1617">
        <v>4.35</v>
      </c>
      <c r="P1617">
        <v>27000</v>
      </c>
      <c r="Q1617" t="inlineStr">
        <is>
          <t>65255ef9ebfe220001555df5</t>
        </is>
      </c>
      <c r="R1617"/>
      <c r="S1617" t="inlineStr">
        <is>
          <t>中小学教辅/教材</t>
        </is>
      </c>
      <c r="T1617" t="inlineStr">
        <is>
          <t>0.03</t>
        </is>
      </c>
      <c r="U1617" s="3">
        <v>46112.78107638889</v>
      </c>
      <c r="V1617" t="inlineStr">
        <is>
          <t>虚拟产品</t>
        </is>
      </c>
      <c r="W1617" s="3">
        <v>46051</v>
      </c>
      <c r="X1617" t="inlineStr">
        <is>
          <t>01</t>
        </is>
      </c>
      <c r="Y1617" t="inlineStr">
        <is>
          <t>2026-Q1</t>
        </is>
      </c>
    </row>
    <row r="1618" ht="38.25" customHeight="1">
      <c r="A1618" t="inlineStr">
        <is>
          <t>医学基础知识-E类事业编-重点必背（电子版）</t>
        </is>
      </c>
      <c r="B1618" t="inlineStr">
        <is>
          <t>recv9Fi6XdiqxO.jpg</t>
        </is>
      </c>
      <c r="C1618" s="2" t="str">
        <f>=HYPERLINK("https://xhslink.com/m/2XJE3wKNT8", "https://xhslink.com/m/2XJE3wKNT8")</f>
        <v>https://xhslink.com/m/2XJE3wKNT8</v>
      </c>
      <c r="D1618"/>
      <c r="E1618">
        <v>1115</v>
      </c>
      <c r="F1618">
        <v>9.9</v>
      </c>
      <c r="G1618"/>
      <c r="H1618"/>
      <c r="I1618">
        <v>200</v>
      </c>
      <c r="J1618"/>
      <c r="K1618" t="inlineStr">
        <is>
          <t>电子版</t>
        </is>
      </c>
      <c r="L1618"/>
      <c r="M1618" t="inlineStr">
        <is>
          <t>是圈圈的店</t>
        </is>
      </c>
      <c r="N1618">
        <v>1131</v>
      </c>
      <c r="O1618">
        <v>4.33</v>
      </c>
      <c r="P1618">
        <v>3912</v>
      </c>
      <c r="Q1618" t="inlineStr">
        <is>
          <t>680f4f804dac330001de0897</t>
        </is>
      </c>
      <c r="R1618"/>
      <c r="S1618" t="inlineStr">
        <is>
          <t>求职面试/职场</t>
        </is>
      </c>
      <c r="T1618" t="inlineStr">
        <is>
          <t>0.99</t>
        </is>
      </c>
      <c r="U1618" s="3">
        <v>46112.78107638889</v>
      </c>
      <c r="V1618" t="inlineStr">
        <is>
          <t>虚拟产品</t>
        </is>
      </c>
      <c r="W1618" s="3">
        <v>46051</v>
      </c>
      <c r="X1618" t="inlineStr">
        <is>
          <t>01</t>
        </is>
      </c>
      <c r="Y1618" t="inlineStr">
        <is>
          <t>2026-Q1</t>
        </is>
      </c>
    </row>
    <row r="1619" ht="38.25" customHeight="1">
      <c r="A1619" t="inlineStr">
        <is>
          <t>B061-2-6年级上册语文基础提优选择题专项练习</t>
        </is>
      </c>
      <c r="B1619" t="inlineStr">
        <is>
          <t>recv9Fi6Xdxk1c.jpg</t>
        </is>
      </c>
      <c r="C1619" s="2" t="str">
        <f>=HYPERLINK("https://xhslink.com/m/1qBmo20ujYH", "https://xhslink.com/m/1qBmo20ujYH")</f>
        <v>https://xhslink.com/m/1qBmo20ujYH</v>
      </c>
      <c r="D1619"/>
      <c r="E1619">
        <v>829</v>
      </c>
      <c r="F1619">
        <v>9.8</v>
      </c>
      <c r="G1619"/>
      <c r="H1619"/>
      <c r="I1619">
        <v>700</v>
      </c>
      <c r="J1619"/>
      <c r="K1619" t="inlineStr">
        <is>
          <t>电子版</t>
        </is>
      </c>
      <c r="L1619"/>
      <c r="M1619" t="inlineStr">
        <is>
          <t>小宋宋Nice的店</t>
        </is>
      </c>
      <c r="N1619">
        <v>10000</v>
      </c>
      <c r="O1619">
        <v>4.5</v>
      </c>
      <c r="P1619">
        <v>42000</v>
      </c>
      <c r="Q1619" t="inlineStr">
        <is>
          <t>690d7f3574195c0001ab2f61</t>
        </is>
      </c>
      <c r="R1619" t="inlineStr">
        <is>
          <t>🚫重复</t>
        </is>
      </c>
      <c r="S1619" t="inlineStr">
        <is>
          <t>中小学教辅/教材</t>
        </is>
      </c>
      <c r="T1619" t="inlineStr">
        <is>
          <t>0.08</t>
        </is>
      </c>
      <c r="U1619" s="3">
        <v>46112.78107638889</v>
      </c>
      <c r="V1619" t="inlineStr">
        <is>
          <t>虚拟产品</t>
        </is>
      </c>
      <c r="W1619" s="3">
        <v>46051</v>
      </c>
      <c r="X1619" t="inlineStr">
        <is>
          <t>01</t>
        </is>
      </c>
      <c r="Y1619" t="inlineStr">
        <is>
          <t>2026-Q1</t>
        </is>
      </c>
    </row>
    <row r="1620" ht="38.25" customHeight="1">
      <c r="A1620" t="inlineStr">
        <is>
          <t>普通教师的顺心指南 【16万字加75主题】（高品质）电子版</t>
        </is>
      </c>
      <c r="B1620" t="inlineStr">
        <is>
          <t>recv9Fi6XdtpZC.jpg</t>
        </is>
      </c>
      <c r="C1620" s="2" t="str">
        <f>=HYPERLINK("https://xhslink.com/m/1HMUhlzgfDv", "https://xhslink.com/m/1HMUhlzgfDv")</f>
        <v>https://xhslink.com/m/1HMUhlzgfDv</v>
      </c>
      <c r="D1620"/>
      <c r="E1620">
        <v>747</v>
      </c>
      <c r="F1620">
        <v>69.99</v>
      </c>
      <c r="G1620"/>
      <c r="H1620"/>
      <c r="I1620">
        <v>200</v>
      </c>
      <c r="J1620"/>
      <c r="K1620" t="inlineStr">
        <is>
          <t>电子版</t>
        </is>
      </c>
      <c r="L1620"/>
      <c r="M1620" t="inlineStr">
        <is>
          <t>一二二在教书的店</t>
        </is>
      </c>
      <c r="N1620">
        <v>766</v>
      </c>
      <c r="O1620">
        <v>4.38</v>
      </c>
      <c r="P1620">
        <v>1008</v>
      </c>
      <c r="Q1620" t="inlineStr">
        <is>
          <t>689b2568015b440001e9c6bf</t>
        </is>
      </c>
      <c r="R1620"/>
      <c r="S1620" t="inlineStr">
        <is>
          <t>老师资料</t>
        </is>
      </c>
      <c r="T1620" t="inlineStr">
        <is>
          <t>0.98</t>
        </is>
      </c>
      <c r="U1620" s="3">
        <v>46112.78107638889</v>
      </c>
      <c r="V1620" t="inlineStr">
        <is>
          <t>虚拟产品</t>
        </is>
      </c>
      <c r="W1620" s="3">
        <v>46051</v>
      </c>
      <c r="X1620" t="inlineStr">
        <is>
          <t>01</t>
        </is>
      </c>
      <c r="Y1620" t="inlineStr">
        <is>
          <t>2026-Q1</t>
        </is>
      </c>
    </row>
    <row r="1621" ht="38.25" customHeight="1">
      <c r="A1621" t="inlineStr">
        <is>
          <t>（无实物，请核对好数量再下单）卜卜电子笔记本</t>
        </is>
      </c>
      <c r="B1621" t="inlineStr">
        <is>
          <t>recv9Fi6Xd5gKR.jpg</t>
        </is>
      </c>
      <c r="C1621" s="2" t="str">
        <f>=HYPERLINK("https://xhslink.com/m/3T0UoUZfgZC", "https://xhslink.com/m/3T0UoUZfgZC")</f>
        <v>https://xhslink.com/m/3T0UoUZfgZC</v>
      </c>
      <c r="D1621"/>
      <c r="E1621">
        <v>729</v>
      </c>
      <c r="F1621">
        <v>0.1</v>
      </c>
      <c r="G1621"/>
      <c r="H1621"/>
      <c r="I1621">
        <v>600</v>
      </c>
      <c r="J1621"/>
      <c r="K1621" t="inlineStr">
        <is>
          <t>电子版</t>
        </is>
      </c>
      <c r="L1621"/>
      <c r="M1621" t="inlineStr">
        <is>
          <t>🍒樱桃小羊的店</t>
        </is>
      </c>
      <c r="N1621">
        <v>363</v>
      </c>
      <c r="O1621">
        <v>4.51</v>
      </c>
      <c r="P1621">
        <v>1007</v>
      </c>
      <c r="Q1621" t="inlineStr">
        <is>
          <t>6934ff283753f700018cb1de</t>
        </is>
      </c>
      <c r="R1621"/>
      <c r="S1621" t="inlineStr">
        <is>
          <t>PPT模板</t>
        </is>
      </c>
      <c r="T1621" t="inlineStr">
        <is>
          <t>2.01</t>
        </is>
      </c>
      <c r="U1621" s="3">
        <v>46112.78107638889</v>
      </c>
      <c r="V1621" t="inlineStr">
        <is>
          <t>虚拟产品</t>
        </is>
      </c>
      <c r="W1621" s="3">
        <v>46051</v>
      </c>
      <c r="X1621" t="inlineStr">
        <is>
          <t>01</t>
        </is>
      </c>
      <c r="Y1621" t="inlineStr">
        <is>
          <t>2026-Q1</t>
        </is>
      </c>
    </row>
    <row r="1622" ht="38.25" customHeight="1">
      <c r="A1622" t="inlineStr">
        <is>
          <t>【电子版图解】原创『黑猫不NG』系列&amp;圣诞特别版</t>
        </is>
      </c>
      <c r="B1622" t="inlineStr">
        <is>
          <t>recv9Fi6XdCRnH.jpg</t>
        </is>
      </c>
      <c r="C1622" s="2" t="str">
        <f>=HYPERLINK("https://xhslink.com/m/cHTfKSA3rP", "https://xhslink.com/m/cHTfKSA3rP")</f>
        <v>https://xhslink.com/m/cHTfKSA3rP</v>
      </c>
      <c r="D1622"/>
      <c r="E1622">
        <v>666</v>
      </c>
      <c r="F1622">
        <v>28</v>
      </c>
      <c r="G1622"/>
      <c r="H1622"/>
      <c r="I1622">
        <v>300</v>
      </c>
      <c r="J1622"/>
      <c r="K1622" t="inlineStr">
        <is>
          <t>电子版</t>
        </is>
      </c>
      <c r="L1622"/>
      <c r="M1622" t="inlineStr">
        <is>
          <t>陌离先生的店</t>
        </is>
      </c>
      <c r="N1622">
        <v>37000</v>
      </c>
      <c r="O1622">
        <v>4.42</v>
      </c>
      <c r="P1622">
        <v>2200</v>
      </c>
      <c r="Q1622" t="inlineStr">
        <is>
          <t>690577b7c091e300013dbe76</t>
        </is>
      </c>
      <c r="R1622"/>
      <c r="S1622" t="inlineStr">
        <is>
          <t>PPT模板</t>
        </is>
      </c>
      <c r="T1622" t="inlineStr">
        <is>
          <t>0.02</t>
        </is>
      </c>
      <c r="U1622" s="3">
        <v>46112.78107638889</v>
      </c>
      <c r="V1622" t="inlineStr">
        <is>
          <t>虚拟产品</t>
        </is>
      </c>
      <c r="W1622" s="3">
        <v>46051</v>
      </c>
      <c r="X1622" t="inlineStr">
        <is>
          <t>01</t>
        </is>
      </c>
      <c r="Y1622" t="inlineStr">
        <is>
          <t>2026-Q1</t>
        </is>
      </c>
    </row>
    <row r="1623" ht="38.25" customHeight="1">
      <c r="A1623" t="inlineStr">
        <is>
          <t>北极星/斯多特/basi/美国bb四大体系学习教培资料·电子版</t>
        </is>
      </c>
      <c r="B1623" t="inlineStr">
        <is>
          <t>recv9Fi6XdwQgm.jpg</t>
        </is>
      </c>
      <c r="C1623" s="2" t="str">
        <f>=HYPERLINK("https://xhslink.com/m/7ZPeVR1DxW5", "https://xhslink.com/m/7ZPeVR1DxW5")</f>
        <v>https://xhslink.com/m/7ZPeVR1DxW5</v>
      </c>
      <c r="D1623"/>
      <c r="E1623">
        <v>599</v>
      </c>
      <c r="F1623">
        <v>299</v>
      </c>
      <c r="G1623"/>
      <c r="H1623"/>
      <c r="I1623">
        <v>200</v>
      </c>
      <c r="J1623"/>
      <c r="K1623" t="inlineStr">
        <is>
          <t>电子版</t>
        </is>
      </c>
      <c r="L1623"/>
      <c r="M1623" t="inlineStr">
        <is>
          <t>万卷一册馆的店</t>
        </is>
      </c>
      <c r="N1623">
        <v>1105</v>
      </c>
      <c r="O1623">
        <v>4.41</v>
      </c>
      <c r="P1623">
        <v>4593</v>
      </c>
      <c r="Q1623" t="inlineStr">
        <is>
          <t>68a08ed77313330001b54361</t>
        </is>
      </c>
      <c r="R1623" t="inlineStr">
        <is>
          <t>🚫重复</t>
        </is>
      </c>
      <c r="S1623" t="inlineStr">
        <is>
          <t>无匹配类别</t>
        </is>
      </c>
      <c r="T1623" t="inlineStr">
        <is>
          <t>0.54</t>
        </is>
      </c>
      <c r="U1623" s="3">
        <v>46112.78107638889</v>
      </c>
      <c r="V1623" t="inlineStr">
        <is>
          <t>虚拟产品</t>
        </is>
      </c>
      <c r="W1623" s="3">
        <v>46051</v>
      </c>
      <c r="X1623" t="inlineStr">
        <is>
          <t>01</t>
        </is>
      </c>
      <c r="Y1623" t="inlineStr">
        <is>
          <t>2026-Q1</t>
        </is>
      </c>
    </row>
    <row r="1624" ht="38.25" customHeight="1">
      <c r="A1624" t="inlineStr">
        <is>
          <t>2025年春版人教版初中寒假衔接讲义提前预习复习电子版</t>
        </is>
      </c>
      <c r="B1624" t="inlineStr">
        <is>
          <t>recv9Fi6XdJ32o.jpg</t>
        </is>
      </c>
      <c r="C1624" s="2" t="str">
        <f>=HYPERLINK("https://xhslink.com/m/28KNH0lhAMs", "https://xhslink.com/m/28KNH0lhAMs")</f>
        <v>https://xhslink.com/m/28KNH0lhAMs</v>
      </c>
      <c r="D1624"/>
      <c r="E1624">
        <v>601</v>
      </c>
      <c r="F1624">
        <v>12.9</v>
      </c>
      <c r="G1624"/>
      <c r="H1624"/>
      <c r="I1624">
        <v>200</v>
      </c>
      <c r="J1624"/>
      <c r="K1624" t="inlineStr">
        <is>
          <t>电子版</t>
        </is>
      </c>
      <c r="L1624"/>
      <c r="M1624" t="inlineStr">
        <is>
          <t>中考提分宝库的店</t>
        </is>
      </c>
      <c r="N1624">
        <v>22000</v>
      </c>
      <c r="O1624">
        <v>4.4</v>
      </c>
      <c r="P1624">
        <v>75000</v>
      </c>
      <c r="Q1624" t="inlineStr">
        <is>
          <t>678e091cf4d65700017a06c1</t>
        </is>
      </c>
      <c r="R1624" t="inlineStr">
        <is>
          <t>🚫重复</t>
        </is>
      </c>
      <c r="S1624" t="inlineStr">
        <is>
          <t>中小学教辅/教材</t>
        </is>
      </c>
      <c r="T1624" t="inlineStr">
        <is>
          <t>0.03</t>
        </is>
      </c>
      <c r="U1624" s="3">
        <v>46112.78107638889</v>
      </c>
      <c r="V1624" t="inlineStr">
        <is>
          <t>虚拟产品</t>
        </is>
      </c>
      <c r="W1624" s="3">
        <v>46051</v>
      </c>
      <c r="X1624" t="inlineStr">
        <is>
          <t>01</t>
        </is>
      </c>
      <c r="Y1624" t="inlineStr">
        <is>
          <t>2026-Q1</t>
        </is>
      </c>
    </row>
    <row r="1625" ht="38.25" customHeight="1">
      <c r="A1625" t="inlineStr">
        <is>
          <t>蔡文姬结构化面试话术素材开挂手册PDF电子版</t>
        </is>
      </c>
      <c r="B1625" t="inlineStr">
        <is>
          <t>recv9Fi6XdfRYl.jpg</t>
        </is>
      </c>
      <c r="C1625" s="2" t="str">
        <f>=HYPERLINK("https://xhslink.com/m/88LTlMgMYYS", "https://xhslink.com/m/88LTlMgMYYS")</f>
        <v>https://xhslink.com/m/88LTlMgMYYS</v>
      </c>
      <c r="D1625"/>
      <c r="E1625">
        <v>438</v>
      </c>
      <c r="F1625">
        <v>75.9</v>
      </c>
      <c r="G1625"/>
      <c r="H1625"/>
      <c r="I1625">
        <v>400</v>
      </c>
      <c r="J1625"/>
      <c r="K1625" t="inlineStr">
        <is>
          <t>电子版</t>
        </is>
      </c>
      <c r="L1625"/>
      <c r="M1625" t="inlineStr">
        <is>
          <t>公考蔡文姬·面试的店</t>
        </is>
      </c>
      <c r="N1625">
        <v>1464</v>
      </c>
      <c r="O1625">
        <v>4.32</v>
      </c>
      <c r="P1625">
        <v>473</v>
      </c>
      <c r="Q1625" t="inlineStr">
        <is>
          <t>690c1ad87071920001c7a9c9</t>
        </is>
      </c>
      <c r="R1625"/>
      <c r="S1625" t="inlineStr">
        <is>
          <t>求职面试/职场</t>
        </is>
      </c>
      <c r="T1625" t="inlineStr">
        <is>
          <t>0.30</t>
        </is>
      </c>
      <c r="U1625" s="3">
        <v>46112.78107638889</v>
      </c>
      <c r="V1625" t="inlineStr">
        <is>
          <t>虚拟产品</t>
        </is>
      </c>
      <c r="W1625" s="3">
        <v>46051</v>
      </c>
      <c r="X1625" t="inlineStr">
        <is>
          <t>01</t>
        </is>
      </c>
      <c r="Y1625" t="inlineStr">
        <is>
          <t>2026-Q1</t>
        </is>
      </c>
    </row>
    <row r="1626" ht="38.25" customHeight="1">
      <c r="A1626" t="inlineStr">
        <is>
          <t>【电子版】必修上高中语文教学设计（讲义+预习作业+PPT</t>
        </is>
      </c>
      <c r="B1626" t="inlineStr">
        <is>
          <t>recv9Fi6Xdf046.jpg</t>
        </is>
      </c>
      <c r="C1626" s="2" t="str">
        <f>=HYPERLINK("https://xhslink.com/m/8Ho1oOlhpWc", "https://xhslink.com/m/8Ho1oOlhpWc")</f>
        <v>https://xhslink.com/m/8Ho1oOlhpWc</v>
      </c>
      <c r="D1626"/>
      <c r="E1626">
        <v>390</v>
      </c>
      <c r="F1626">
        <v>79.9</v>
      </c>
      <c r="G1626"/>
      <c r="H1626"/>
      <c r="I1626">
        <v>200</v>
      </c>
      <c r="J1626"/>
      <c r="K1626" t="inlineStr">
        <is>
          <t>电子版</t>
        </is>
      </c>
      <c r="L1626"/>
      <c r="M1626" t="inlineStr">
        <is>
          <t>猪皮卷小小王（高考复习版）的店</t>
        </is>
      </c>
      <c r="N1626">
        <v>583</v>
      </c>
      <c r="O1626">
        <v>4.53</v>
      </c>
      <c r="P1626">
        <v>1346</v>
      </c>
      <c r="Q1626" t="inlineStr">
        <is>
          <t>68da4e61c630ec0001e0c43d</t>
        </is>
      </c>
      <c r="R1626"/>
      <c r="S1626" t="inlineStr">
        <is>
          <t>高中/高考资料</t>
        </is>
      </c>
      <c r="T1626" t="inlineStr">
        <is>
          <t>0.67</t>
        </is>
      </c>
      <c r="U1626" s="3">
        <v>46112.78107638889</v>
      </c>
      <c r="V1626" t="inlineStr">
        <is>
          <t>虚拟产品</t>
        </is>
      </c>
      <c r="W1626" s="3">
        <v>46051</v>
      </c>
      <c r="X1626" t="inlineStr">
        <is>
          <t>01</t>
        </is>
      </c>
      <c r="Y1626" t="inlineStr">
        <is>
          <t>2026-Q1</t>
        </is>
      </c>
    </row>
    <row r="1627" ht="38.25" customHeight="1">
      <c r="A1627" t="inlineStr">
        <is>
          <t>【电子版】新年贺卡（电子版）素材</t>
        </is>
      </c>
      <c r="B1627" t="inlineStr">
        <is>
          <t>recv9Fi6XdDJWg.jpg</t>
        </is>
      </c>
      <c r="C1627" s="2" t="str">
        <f>=HYPERLINK("https://xhslink.com/m/71uwi9c0yrw", "https://xhslink.com/m/71uwi9c0yrw")</f>
        <v>https://xhslink.com/m/71uwi9c0yrw</v>
      </c>
      <c r="D1627"/>
      <c r="E1627">
        <v>381</v>
      </c>
      <c r="F1627">
        <v>5.99</v>
      </c>
      <c r="G1627"/>
      <c r="H1627"/>
      <c r="I1627">
        <v>300</v>
      </c>
      <c r="J1627"/>
      <c r="K1627" t="inlineStr">
        <is>
          <t>电子版</t>
        </is>
      </c>
      <c r="L1627"/>
      <c r="M1627" t="inlineStr">
        <is>
          <t>比比猫手抄报的店</t>
        </is>
      </c>
      <c r="N1627">
        <v>1945</v>
      </c>
      <c r="O1627">
        <v>4.59</v>
      </c>
      <c r="P1627">
        <v>8316</v>
      </c>
      <c r="Q1627" t="inlineStr">
        <is>
          <t>694ceb836fadb7000117cd3a</t>
        </is>
      </c>
      <c r="R1627"/>
      <c r="S1627" t="inlineStr">
        <is>
          <t>设计素材</t>
        </is>
      </c>
      <c r="T1627" t="inlineStr">
        <is>
          <t>0.20</t>
        </is>
      </c>
      <c r="U1627" s="3">
        <v>46112.78107638889</v>
      </c>
      <c r="V1627" t="inlineStr">
        <is>
          <t>虚拟产品</t>
        </is>
      </c>
      <c r="W1627" s="3">
        <v>46051</v>
      </c>
      <c r="X1627" t="inlineStr">
        <is>
          <t>01</t>
        </is>
      </c>
      <c r="Y1627" t="inlineStr">
        <is>
          <t>2026-Q1</t>
        </is>
      </c>
    </row>
    <row r="1628" ht="38.25" customHeight="1">
      <c r="A1628" t="inlineStr">
        <is>
          <t>沉浸式翻译Pro会员 AI翻译PDF翻译网页翻译插件 论文文献文档翻译</t>
        </is>
      </c>
      <c r="B1628" t="inlineStr">
        <is>
          <t>recv9Fi6Xd2m60.jpg</t>
        </is>
      </c>
      <c r="C1628" s="2" t="str">
        <f>=HYPERLINK("https://xhslink.com/m/kbqS5xZc6r", "https://xhslink.com/m/kbqS5xZc6r")</f>
        <v>https://xhslink.com/m/kbqS5xZc6r</v>
      </c>
      <c r="D1628"/>
      <c r="E1628">
        <v>6161</v>
      </c>
      <c r="F1628">
        <v>579.6</v>
      </c>
      <c r="G1628"/>
      <c r="H1628"/>
      <c r="I1628">
        <v>1000</v>
      </c>
      <c r="J1628"/>
      <c r="K1628" t="inlineStr">
        <is>
          <t>pdf</t>
        </is>
      </c>
      <c r="L1628"/>
      <c r="M1628" t="inlineStr">
        <is>
          <t>沉浸式翻译的店</t>
        </is>
      </c>
      <c r="N1628">
        <v>35000</v>
      </c>
      <c r="O1628">
        <v>4.42</v>
      </c>
      <c r="P1628">
        <v>6907</v>
      </c>
      <c r="Q1628" t="inlineStr">
        <is>
          <t>677e294f041cf30001dd1b25</t>
        </is>
      </c>
      <c r="R1628" t="inlineStr">
        <is>
          <t>🚫重复</t>
        </is>
      </c>
      <c r="S1628" t="inlineStr">
        <is>
          <t>软件应用</t>
        </is>
      </c>
      <c r="T1628" t="inlineStr">
        <is>
          <t>0.18</t>
        </is>
      </c>
      <c r="U1628" s="3">
        <v>46112.78107638889</v>
      </c>
      <c r="V1628" t="inlineStr">
        <is>
          <t>虚拟产品</t>
        </is>
      </c>
      <c r="W1628" s="3">
        <v>46051</v>
      </c>
      <c r="X1628" t="inlineStr">
        <is>
          <t>01</t>
        </is>
      </c>
      <c r="Y1628" t="inlineStr">
        <is>
          <t>2026-Q1</t>
        </is>
      </c>
    </row>
    <row r="1629" ht="38.25" customHeight="1">
      <c r="A1629" t="inlineStr">
        <is>
          <t>WPS · 年货节-超级会员4年卡 pdf编辑扫描转格式 表格ppt简历稻壳模板</t>
        </is>
      </c>
      <c r="B1629" t="inlineStr">
        <is>
          <t>recv9Fi6Xdl5IL.jpg</t>
        </is>
      </c>
      <c r="C1629" s="2" t="str">
        <f>=HYPERLINK("https://xhslink.com/m/5tOlQo0p7pj", "https://xhslink.com/m/5tOlQo0p7pj")</f>
        <v>https://xhslink.com/m/5tOlQo0p7pj</v>
      </c>
      <c r="D1629"/>
      <c r="E1629">
        <v>1331</v>
      </c>
      <c r="F1629">
        <v>398</v>
      </c>
      <c r="G1629"/>
      <c r="H1629"/>
      <c r="I1629">
        <v>1000</v>
      </c>
      <c r="J1629"/>
      <c r="K1629" t="inlineStr">
        <is>
          <t>pdf</t>
        </is>
      </c>
      <c r="L1629"/>
      <c r="M1629" t="inlineStr">
        <is>
          <t>WPS超级会员旗舰店</t>
        </is>
      </c>
      <c r="N1629">
        <v>52000</v>
      </c>
      <c r="O1629">
        <v>4.61</v>
      </c>
      <c r="P1629">
        <v>4488</v>
      </c>
      <c r="Q1629" t="inlineStr">
        <is>
          <t>68f24965b8a4f6000185b014</t>
        </is>
      </c>
      <c r="R1629"/>
      <c r="S1629" t="inlineStr">
        <is>
          <t>PPT模板</t>
        </is>
      </c>
      <c r="T1629" t="inlineStr">
        <is>
          <t>0.03</t>
        </is>
      </c>
      <c r="U1629" s="3">
        <v>46112.78107638889</v>
      </c>
      <c r="V1629" t="inlineStr">
        <is>
          <t>虚拟产品</t>
        </is>
      </c>
      <c r="W1629" s="3">
        <v>46051</v>
      </c>
      <c r="X1629" t="inlineStr">
        <is>
          <t>01</t>
        </is>
      </c>
      <c r="Y1629" t="inlineStr">
        <is>
          <t>2026-Q1</t>
        </is>
      </c>
    </row>
    <row r="1630" ht="38.25" customHeight="1">
      <c r="A1630" t="inlineStr">
        <is>
          <t>高考懒人急救大礼包PDF版（26春季高考版），惊喜不断~</t>
        </is>
      </c>
      <c r="B1630" t="inlineStr">
        <is>
          <t>recv9Fi6Xd8bRo.jpg</t>
        </is>
      </c>
      <c r="C1630" s="2" t="str">
        <f>=HYPERLINK("https://xhslink.com/m/3jOvVBzeOYF", "https://xhslink.com/m/3jOvVBzeOYF")</f>
        <v>https://xhslink.com/m/3jOvVBzeOYF</v>
      </c>
      <c r="D1630"/>
      <c r="E1630">
        <v>757</v>
      </c>
      <c r="F1630">
        <v>99</v>
      </c>
      <c r="G1630"/>
      <c r="H1630"/>
      <c r="I1630"/>
      <c r="J1630"/>
      <c r="K1630" t="inlineStr">
        <is>
          <t>pdf</t>
        </is>
      </c>
      <c r="L1630"/>
      <c r="M1630" t="inlineStr">
        <is>
          <t>上海英语房老师的店</t>
        </is>
      </c>
      <c r="N1630">
        <v>33000</v>
      </c>
      <c r="O1630">
        <v>4.56</v>
      </c>
      <c r="P1630">
        <v>2330</v>
      </c>
      <c r="Q1630" t="inlineStr">
        <is>
          <t>680e22c5f8bbf80001cc81a8</t>
        </is>
      </c>
      <c r="R1630"/>
      <c r="S1630" t="inlineStr">
        <is>
          <t>高中/高考资料</t>
        </is>
      </c>
      <c r="T1630" t="inlineStr">
        <is>
          <t>0.02</t>
        </is>
      </c>
      <c r="U1630" s="3">
        <v>46112.78107638889</v>
      </c>
      <c r="V1630" t="inlineStr">
        <is>
          <t>虚拟产品</t>
        </is>
      </c>
      <c r="W1630" s="3">
        <v>46051</v>
      </c>
      <c r="X1630" t="inlineStr">
        <is>
          <t>01</t>
        </is>
      </c>
      <c r="Y1630" t="inlineStr">
        <is>
          <t>2026-Q1</t>
        </is>
      </c>
    </row>
    <row r="1631" ht="38.25" customHeight="1">
      <c r="A1631" t="inlineStr">
        <is>
          <t>外企职场必备 | How to Say It 系列9册 PDF/EPUB</t>
        </is>
      </c>
      <c r="B1631" t="inlineStr">
        <is>
          <t>recv9Fi6XdpziP.jpg</t>
        </is>
      </c>
      <c r="C1631" s="2" t="str">
        <f>=HYPERLINK("https://xhslink.com/m/7GbtmhI9VxA", "https://xhslink.com/m/7GbtmhI9VxA")</f>
        <v>https://xhslink.com/m/7GbtmhI9VxA</v>
      </c>
      <c r="D1631"/>
      <c r="E1631">
        <v>389</v>
      </c>
      <c r="F1631">
        <v>29.9</v>
      </c>
      <c r="G1631"/>
      <c r="H1631"/>
      <c r="I1631">
        <v>300</v>
      </c>
      <c r="J1631"/>
      <c r="K1631" t="inlineStr">
        <is>
          <t>pdf</t>
        </is>
      </c>
      <c r="L1631"/>
      <c r="M1631" t="inlineStr">
        <is>
          <t>WorkWander的店</t>
        </is>
      </c>
      <c r="N1631">
        <v>731</v>
      </c>
      <c r="O1631">
        <v>4.44</v>
      </c>
      <c r="P1631">
        <v>585</v>
      </c>
      <c r="Q1631" t="inlineStr">
        <is>
          <t>690a7d6a5c4f1900019c39ab</t>
        </is>
      </c>
      <c r="R1631"/>
      <c r="S1631" t="inlineStr">
        <is>
          <t>求职面试/职场</t>
        </is>
      </c>
      <c r="T1631" t="inlineStr">
        <is>
          <t>0.53</t>
        </is>
      </c>
      <c r="U1631" s="3">
        <v>46112.78107638889</v>
      </c>
      <c r="V1631" t="inlineStr">
        <is>
          <t>虚拟产品</t>
        </is>
      </c>
      <c r="W1631" s="3">
        <v>46051</v>
      </c>
      <c r="X1631" t="inlineStr">
        <is>
          <t>01</t>
        </is>
      </c>
      <c r="Y1631" t="inlineStr">
        <is>
          <t>2026-Q1</t>
        </is>
      </c>
    </row>
    <row r="1632" ht="38.25" customHeight="1">
      <c r="A1632" t="inlineStr">
        <is>
          <t>113+48支双色边框字素图案装饰procreate笔刷可商用ins日韩系素材</t>
        </is>
      </c>
      <c r="B1632" t="inlineStr">
        <is>
          <t>recv9Fi6XdU2do.jpg</t>
        </is>
      </c>
      <c r="C1632" s="2" t="str">
        <f>=HYPERLINK("https://xhslink.com/m/19R1u4Nfs8N", "https://xhslink.com/m/19R1u4Nfs8N")</f>
        <v>https://xhslink.com/m/19R1u4Nfs8N</v>
      </c>
      <c r="D1632"/>
      <c r="E1632">
        <v>3986</v>
      </c>
      <c r="F1632">
        <v>12.98</v>
      </c>
      <c r="G1632"/>
      <c r="H1632"/>
      <c r="I1632">
        <v>600</v>
      </c>
      <c r="J1632"/>
      <c r="K1632" t="inlineStr">
        <is>
          <t>素材</t>
        </is>
      </c>
      <c r="L1632"/>
      <c r="M1632" t="inlineStr">
        <is>
          <t>白日梦搜集专员的店</t>
        </is>
      </c>
      <c r="N1632">
        <v>10000</v>
      </c>
      <c r="O1632">
        <v>4.57</v>
      </c>
      <c r="P1632">
        <v>19000</v>
      </c>
      <c r="Q1632" t="inlineStr">
        <is>
          <t>682061c738a9a60001b38256</t>
        </is>
      </c>
      <c r="R1632" t="inlineStr">
        <is>
          <t>🚫重复</t>
        </is>
      </c>
      <c r="S1632" t="inlineStr">
        <is>
          <t>设计素材</t>
        </is>
      </c>
      <c r="T1632" t="inlineStr">
        <is>
          <t>0.40</t>
        </is>
      </c>
      <c r="U1632" s="3">
        <v>46112.78107638889</v>
      </c>
      <c r="V1632" t="inlineStr">
        <is>
          <t>虚拟产品</t>
        </is>
      </c>
      <c r="W1632" s="3">
        <v>46051</v>
      </c>
      <c r="X1632" t="inlineStr">
        <is>
          <t>01</t>
        </is>
      </c>
      <c r="Y1632" t="inlineStr">
        <is>
          <t>2026-Q1</t>
        </is>
      </c>
    </row>
    <row r="1633" ht="38.25" customHeight="1">
      <c r="A1633" t="inlineStr">
        <is>
          <t>112张不重复ins风拼贴手帐礼物韩系素材m5硫酸纸手账背景打底纸</t>
        </is>
      </c>
      <c r="B1633" t="inlineStr">
        <is>
          <t>recv9Fi6XdT9eA.jpg</t>
        </is>
      </c>
      <c r="C1633" s="2" t="str">
        <f>=HYPERLINK("https://xhslink.com/m/A5b5jeOzE2g", "https://xhslink.com/m/A5b5jeOzE2g")</f>
        <v>https://xhslink.com/m/A5b5jeOzE2g</v>
      </c>
      <c r="D1633"/>
      <c r="E1633">
        <v>3402</v>
      </c>
      <c r="F1633">
        <v>7.9</v>
      </c>
      <c r="G1633"/>
      <c r="H1633"/>
      <c r="I1633">
        <v>1000</v>
      </c>
      <c r="J1633"/>
      <c r="K1633" t="inlineStr">
        <is>
          <t>素材</t>
        </is>
      </c>
      <c r="L1633"/>
      <c r="M1633" t="inlineStr">
        <is>
          <t>小兽星二号的店</t>
        </is>
      </c>
      <c r="N1633">
        <v>261000</v>
      </c>
      <c r="O1633">
        <v>4.48</v>
      </c>
      <c r="P1633">
        <v>816000</v>
      </c>
      <c r="Q1633" t="inlineStr">
        <is>
          <t>68ce9ca1ec5b430015879066</t>
        </is>
      </c>
      <c r="R1633" t="inlineStr">
        <is>
          <t>🚫重复</t>
        </is>
      </c>
      <c r="S1633" t="inlineStr">
        <is>
          <t>设计素材</t>
        </is>
      </c>
      <c r="T1633" t="inlineStr">
        <is>
          <t>0.01</t>
        </is>
      </c>
      <c r="U1633" s="3">
        <v>46112.78107638889</v>
      </c>
      <c r="V1633" t="inlineStr">
        <is>
          <t>虚拟产品</t>
        </is>
      </c>
      <c r="W1633" s="3">
        <v>46051</v>
      </c>
      <c r="X1633" t="inlineStr">
        <is>
          <t>01</t>
        </is>
      </c>
      <c r="Y1633" t="inlineStr">
        <is>
          <t>2026-Q1</t>
        </is>
      </c>
    </row>
    <row r="1634" ht="38.25" customHeight="1">
      <c r="A1634" t="inlineStr">
        <is>
          <t>黑白波点无属美工set l 饭圈美工 美工素材 无属性边框 模板分享</t>
        </is>
      </c>
      <c r="B1634" t="inlineStr">
        <is>
          <t>recv9Fi6XdmbBR.jpg</t>
        </is>
      </c>
      <c r="C1634" s="2" t="str">
        <f>=HYPERLINK("https://xhslink.com/m/A3UE8dYeAO", "https://xhslink.com/m/A3UE8dYeAO")</f>
        <v>https://xhslink.com/m/A3UE8dYeAO</v>
      </c>
      <c r="D1634"/>
      <c r="E1634">
        <v>1341</v>
      </c>
      <c r="F1634">
        <v>520</v>
      </c>
      <c r="G1634"/>
      <c r="H1634"/>
      <c r="I1634">
        <v>800</v>
      </c>
      <c r="J1634"/>
      <c r="K1634" t="inlineStr">
        <is>
          <t>电子稿</t>
        </is>
      </c>
      <c r="L1634"/>
      <c r="M1634" t="inlineStr">
        <is>
          <t>恋馒小厨的店</t>
        </is>
      </c>
      <c r="N1634">
        <v>6773</v>
      </c>
      <c r="O1634">
        <v>4.56</v>
      </c>
      <c r="P1634">
        <v>12000</v>
      </c>
      <c r="Q1634" t="inlineStr">
        <is>
          <t>68d25ce1ce362f0001024971</t>
        </is>
      </c>
      <c r="R1634" t="inlineStr">
        <is>
          <t>🚫重复</t>
        </is>
      </c>
      <c r="S1634" t="inlineStr">
        <is>
          <t>设计素材</t>
        </is>
      </c>
      <c r="T1634" t="inlineStr">
        <is>
          <t>0.20</t>
        </is>
      </c>
      <c r="U1634" s="3">
        <v>46112.78107638889</v>
      </c>
      <c r="V1634" t="inlineStr">
        <is>
          <t>虚拟产品</t>
        </is>
      </c>
      <c r="W1634" s="3">
        <v>46051</v>
      </c>
      <c r="X1634" t="inlineStr">
        <is>
          <t>01</t>
        </is>
      </c>
      <c r="Y1634" t="inlineStr">
        <is>
          <t>2026-Q1</t>
        </is>
      </c>
    </row>
    <row r="1635" ht="38.25" customHeight="1">
      <c r="A1635" t="inlineStr">
        <is>
          <t>『水果大杂烩』I 无属性吧唧模板素材 饭圈美工设计 吧唧素材</t>
        </is>
      </c>
      <c r="B1635" t="inlineStr">
        <is>
          <t>recv9Fi6XdMtAp.jpg</t>
        </is>
      </c>
      <c r="C1635" s="2" t="str">
        <f>=HYPERLINK("https://xhslink.com/m/4uRzD2elrI", "https://xhslink.com/m/4uRzD2elrI")</f>
        <v>https://xhslink.com/m/4uRzD2elrI</v>
      </c>
      <c r="D1635"/>
      <c r="E1635">
        <v>800</v>
      </c>
      <c r="F1635">
        <v>520</v>
      </c>
      <c r="G1635"/>
      <c r="H1635"/>
      <c r="I1635">
        <v>200</v>
      </c>
      <c r="J1635"/>
      <c r="K1635" t="inlineStr">
        <is>
          <t>电子稿</t>
        </is>
      </c>
      <c r="L1635"/>
      <c r="M1635" t="inlineStr">
        <is>
          <t>恋馒小厨的店</t>
        </is>
      </c>
      <c r="N1635">
        <v>6773</v>
      </c>
      <c r="O1635">
        <v>4.56</v>
      </c>
      <c r="P1635">
        <v>12000</v>
      </c>
      <c r="Q1635" t="inlineStr">
        <is>
          <t>68b706e53e7f30000181b02a</t>
        </is>
      </c>
      <c r="R1635" t="inlineStr">
        <is>
          <t>🚫重复</t>
        </is>
      </c>
      <c r="S1635" t="inlineStr">
        <is>
          <t>设计素材</t>
        </is>
      </c>
      <c r="T1635" t="inlineStr">
        <is>
          <t>0.12</t>
        </is>
      </c>
      <c r="U1635" s="3">
        <v>46112.78107638889</v>
      </c>
      <c r="V1635" t="inlineStr">
        <is>
          <t>虚拟产品</t>
        </is>
      </c>
      <c r="W1635" s="3">
        <v>46051</v>
      </c>
      <c r="X1635" t="inlineStr">
        <is>
          <t>01</t>
        </is>
      </c>
      <c r="Y1635" t="inlineStr">
        <is>
          <t>2026-Q1</t>
        </is>
      </c>
    </row>
    <row r="1636" ht="38.25" customHeight="1">
      <c r="A1636" t="inlineStr">
        <is>
          <t>4000fo浮 I 红苹果 无属美工素材模板set</t>
        </is>
      </c>
      <c r="B1636" t="inlineStr">
        <is>
          <t>recv9Fi6XdMLEi.jpg</t>
        </is>
      </c>
      <c r="C1636" s="2" t="str">
        <f>=HYPERLINK("https://xhslink.com/m/3MqW5kOY0uX", "https://xhslink.com/m/3MqW5kOY0uX")</f>
        <v>https://xhslink.com/m/3MqW5kOY0uX</v>
      </c>
      <c r="D1636"/>
      <c r="E1636">
        <v>681</v>
      </c>
      <c r="F1636">
        <v>520</v>
      </c>
      <c r="G1636"/>
      <c r="H1636"/>
      <c r="I1636">
        <v>600</v>
      </c>
      <c r="J1636"/>
      <c r="K1636" t="inlineStr">
        <is>
          <t>电子稿</t>
        </is>
      </c>
      <c r="L1636"/>
      <c r="M1636" t="inlineStr">
        <is>
          <t>恋馒小厨的店</t>
        </is>
      </c>
      <c r="N1636">
        <v>6773</v>
      </c>
      <c r="O1636">
        <v>4.56</v>
      </c>
      <c r="P1636">
        <v>12000</v>
      </c>
      <c r="Q1636" t="inlineStr">
        <is>
          <t>69060e3e70719200018ee0e6</t>
        </is>
      </c>
      <c r="R1636" t="inlineStr">
        <is>
          <t>🚫重复</t>
        </is>
      </c>
      <c r="S1636" t="inlineStr">
        <is>
          <t>设计素材</t>
        </is>
      </c>
      <c r="T1636" t="inlineStr">
        <is>
          <t>0.10</t>
        </is>
      </c>
      <c r="U1636" s="3">
        <v>46112.78107638889</v>
      </c>
      <c r="V1636" t="inlineStr">
        <is>
          <t>虚拟产品</t>
        </is>
      </c>
      <c r="W1636" s="3">
        <v>46051</v>
      </c>
      <c r="X1636" t="inlineStr">
        <is>
          <t>01</t>
        </is>
      </c>
      <c r="Y1636" t="inlineStr">
        <is>
          <t>2026-Q1</t>
        </is>
      </c>
    </row>
    <row r="1637" ht="38.25" customHeight="1">
      <c r="A1637" t="inlineStr">
        <is>
          <t>饭圈美工模板素材 古早风无属美工set</t>
        </is>
      </c>
      <c r="B1637" t="inlineStr">
        <is>
          <t>recv9Fi6XdpyEH.jpg</t>
        </is>
      </c>
      <c r="C1637" s="2" t="str">
        <f>=HYPERLINK("https://xhslink.com/m/4elzYqsu5aV", "https://xhslink.com/m/4elzYqsu5aV")</f>
        <v>https://xhslink.com/m/4elzYqsu5aV</v>
      </c>
      <c r="D1637"/>
      <c r="E1637">
        <v>565</v>
      </c>
      <c r="F1637">
        <v>520</v>
      </c>
      <c r="G1637"/>
      <c r="H1637"/>
      <c r="I1637">
        <v>200</v>
      </c>
      <c r="J1637"/>
      <c r="K1637" t="inlineStr">
        <is>
          <t>电子稿</t>
        </is>
      </c>
      <c r="L1637"/>
      <c r="M1637" t="inlineStr">
        <is>
          <t>恋馒小厨的店</t>
        </is>
      </c>
      <c r="N1637">
        <v>6773</v>
      </c>
      <c r="O1637">
        <v>4.56</v>
      </c>
      <c r="P1637">
        <v>12000</v>
      </c>
      <c r="Q1637" t="inlineStr">
        <is>
          <t>693bbc3f69110000015d8d08</t>
        </is>
      </c>
      <c r="R1637" t="inlineStr">
        <is>
          <t>🚫重复</t>
        </is>
      </c>
      <c r="S1637" t="inlineStr">
        <is>
          <t>设计素材</t>
        </is>
      </c>
      <c r="T1637" t="inlineStr">
        <is>
          <t>0.08</t>
        </is>
      </c>
      <c r="U1637" s="3">
        <v>46112.78107638889</v>
      </c>
      <c r="V1637" t="inlineStr">
        <is>
          <t>虚拟产品</t>
        </is>
      </c>
      <c r="W1637" s="3">
        <v>46051</v>
      </c>
      <c r="X1637" t="inlineStr">
        <is>
          <t>01</t>
        </is>
      </c>
      <c r="Y1637" t="inlineStr">
        <is>
          <t>2026-Q1</t>
        </is>
      </c>
    </row>
    <row r="1638" ht="38.25" customHeight="1">
      <c r="A1638" t="inlineStr">
        <is>
          <t>音乐蓝黑系列小卡模板 饭圈美工设计 小卡边框素材</t>
        </is>
      </c>
      <c r="B1638" t="inlineStr">
        <is>
          <t>recv9Fi6XdLsZP.jpg</t>
        </is>
      </c>
      <c r="C1638" s="2" t="str">
        <f>=HYPERLINK("https://xhslink.com/m/bg8F6faA0i", "https://xhslink.com/m/bg8F6faA0i")</f>
        <v>https://xhslink.com/m/bg8F6faA0i</v>
      </c>
      <c r="D1638"/>
      <c r="E1638">
        <v>448</v>
      </c>
      <c r="F1638">
        <v>520</v>
      </c>
      <c r="G1638"/>
      <c r="H1638"/>
      <c r="I1638">
        <v>200</v>
      </c>
      <c r="J1638"/>
      <c r="K1638" t="inlineStr">
        <is>
          <t>电子稿</t>
        </is>
      </c>
      <c r="L1638"/>
      <c r="M1638" t="inlineStr">
        <is>
          <t>恋馒小厨的店</t>
        </is>
      </c>
      <c r="N1638">
        <v>6773</v>
      </c>
      <c r="O1638">
        <v>4.56</v>
      </c>
      <c r="P1638">
        <v>12000</v>
      </c>
      <c r="Q1638" t="inlineStr">
        <is>
          <t>693bbcff9373f20001b5187d</t>
        </is>
      </c>
      <c r="R1638" t="inlineStr">
        <is>
          <t>🚫重复</t>
        </is>
      </c>
      <c r="S1638" t="inlineStr">
        <is>
          <t>设计素材</t>
        </is>
      </c>
      <c r="T1638" t="inlineStr">
        <is>
          <t>0.07</t>
        </is>
      </c>
      <c r="U1638" s="3">
        <v>46112.78107638889</v>
      </c>
      <c r="V1638" t="inlineStr">
        <is>
          <t>虚拟产品</t>
        </is>
      </c>
      <c r="W1638" s="3">
        <v>46051</v>
      </c>
      <c r="X1638" t="inlineStr">
        <is>
          <t>01</t>
        </is>
      </c>
      <c r="Y1638" t="inlineStr">
        <is>
          <t>2026-Q1</t>
        </is>
      </c>
    </row>
    <row r="1639" ht="38.25" customHeight="1">
      <c r="A1639" t="inlineStr">
        <is>
          <t>粉红草莓蛋糕 I 无属五连mini吧唧模板 饭圈美工 模板 美工素材</t>
        </is>
      </c>
      <c r="B1639" t="inlineStr">
        <is>
          <t>recv9Fi6XdGsuU.jpg</t>
        </is>
      </c>
      <c r="C1639" s="2" t="str">
        <f>=HYPERLINK("https://xhslink.com/m/12rnzWcymxY", "https://xhslink.com/m/12rnzWcymxY")</f>
        <v>https://xhslink.com/m/12rnzWcymxY</v>
      </c>
      <c r="D1639"/>
      <c r="E1639">
        <v>344</v>
      </c>
      <c r="F1639">
        <v>520</v>
      </c>
      <c r="G1639"/>
      <c r="H1639"/>
      <c r="I1639">
        <v>200</v>
      </c>
      <c r="J1639"/>
      <c r="K1639" t="inlineStr">
        <is>
          <t>电子稿</t>
        </is>
      </c>
      <c r="L1639"/>
      <c r="M1639" t="inlineStr">
        <is>
          <t>恋馒小厨的店</t>
        </is>
      </c>
      <c r="N1639">
        <v>6773</v>
      </c>
      <c r="O1639">
        <v>4.56</v>
      </c>
      <c r="P1639">
        <v>12000</v>
      </c>
      <c r="Q1639" t="inlineStr">
        <is>
          <t>68f64c563f37a90001bf3913</t>
        </is>
      </c>
      <c r="R1639" t="inlineStr">
        <is>
          <t>🚫重复</t>
        </is>
      </c>
      <c r="S1639" t="inlineStr">
        <is>
          <t>设计素材</t>
        </is>
      </c>
      <c r="T1639" t="inlineStr">
        <is>
          <t>0.05</t>
        </is>
      </c>
      <c r="U1639" s="3">
        <v>46112.78107638889</v>
      </c>
      <c r="V1639" t="inlineStr">
        <is>
          <t>虚拟产品</t>
        </is>
      </c>
      <c r="W1639" s="3">
        <v>46051</v>
      </c>
      <c r="X1639" t="inlineStr">
        <is>
          <t>01</t>
        </is>
      </c>
      <c r="Y1639" t="inlineStr">
        <is>
          <t>2026-Q1</t>
        </is>
      </c>
    </row>
    <row r="1640" ht="38.25" customHeight="1">
      <c r="A1640" t="inlineStr">
        <is>
          <t>青苹果＆四叶草 无属性饭圈美工模板素材 边框模板 美工素材</t>
        </is>
      </c>
      <c r="B1640" t="inlineStr">
        <is>
          <t>recv9Fi6Xdbsim.jpg</t>
        </is>
      </c>
      <c r="C1640" s="2" t="str">
        <f>=HYPERLINK("https://xhslink.com/m/5WibGNhnYo", "https://xhslink.com/m/5WibGNhnYo")</f>
        <v>https://xhslink.com/m/5WibGNhnYo</v>
      </c>
      <c r="D1640"/>
      <c r="E1640">
        <v>254</v>
      </c>
      <c r="F1640">
        <v>520</v>
      </c>
      <c r="G1640"/>
      <c r="H1640"/>
      <c r="I1640">
        <v>200</v>
      </c>
      <c r="J1640"/>
      <c r="K1640" t="inlineStr">
        <is>
          <t>电子稿</t>
        </is>
      </c>
      <c r="L1640"/>
      <c r="M1640" t="inlineStr">
        <is>
          <t>恋馒小厨的店</t>
        </is>
      </c>
      <c r="N1640">
        <v>6773</v>
      </c>
      <c r="O1640">
        <v>4.56</v>
      </c>
      <c r="P1640">
        <v>12000</v>
      </c>
      <c r="Q1640" t="inlineStr">
        <is>
          <t>69328f74d2786f0001c7b110</t>
        </is>
      </c>
      <c r="R1640" t="inlineStr">
        <is>
          <t>🚫重复</t>
        </is>
      </c>
      <c r="S1640" t="inlineStr">
        <is>
          <t>设计素材</t>
        </is>
      </c>
      <c r="T1640" t="inlineStr">
        <is>
          <t>0.04</t>
        </is>
      </c>
      <c r="U1640" s="3">
        <v>46112.78107638889</v>
      </c>
      <c r="V1640" t="inlineStr">
        <is>
          <t>虚拟产品</t>
        </is>
      </c>
      <c r="W1640" s="3">
        <v>46051</v>
      </c>
      <c r="X1640" t="inlineStr">
        <is>
          <t>01</t>
        </is>
      </c>
      <c r="Y1640" t="inlineStr">
        <is>
          <t>2026-Q1</t>
        </is>
      </c>
    </row>
    <row r="1641" ht="38.25" customHeight="1">
      <c r="A1641" t="inlineStr">
        <is>
          <t>跨境电商主图模板细节图源文件ps可编辑亚马xun主图模板</t>
        </is>
      </c>
      <c r="B1641" t="inlineStr">
        <is>
          <t>recv9Fi6XdhyTh.jpg</t>
        </is>
      </c>
      <c r="C1641" s="2" t="str">
        <f>=HYPERLINK("https://xhslink.com/m/3vAfV36sZLH", "https://xhslink.com/m/3vAfV36sZLH")</f>
        <v>https://xhslink.com/m/3vAfV36sZLH</v>
      </c>
      <c r="D1641"/>
      <c r="E1641">
        <v>2083</v>
      </c>
      <c r="F1641">
        <v>899</v>
      </c>
      <c r="G1641"/>
      <c r="H1641"/>
      <c r="I1641">
        <v>200</v>
      </c>
      <c r="J1641"/>
      <c r="K1641" t="inlineStr">
        <is>
          <t>源文件</t>
        </is>
      </c>
      <c r="L1641"/>
      <c r="M1641" t="inlineStr">
        <is>
          <t>甲乙丙设计铺的店</t>
        </is>
      </c>
      <c r="N1641">
        <v>4362</v>
      </c>
      <c r="O1641">
        <v>4.49</v>
      </c>
      <c r="P1641">
        <v>5243</v>
      </c>
      <c r="Q1641" t="inlineStr">
        <is>
          <t>6946c6b01224b700012d3b1f</t>
        </is>
      </c>
      <c r="R1641"/>
      <c r="S1641" t="inlineStr">
        <is>
          <t>设计素材</t>
        </is>
      </c>
      <c r="T1641" t="inlineStr">
        <is>
          <t>0.48</t>
        </is>
      </c>
      <c r="U1641" s="3">
        <v>46112.78107638889</v>
      </c>
      <c r="V1641" t="inlineStr">
        <is>
          <t>虚拟产品</t>
        </is>
      </c>
      <c r="W1641" s="3">
        <v>46051</v>
      </c>
      <c r="X1641" t="inlineStr">
        <is>
          <t>01</t>
        </is>
      </c>
      <c r="Y1641" t="inlineStr">
        <is>
          <t>2026-Q1</t>
        </is>
      </c>
    </row>
    <row r="1642" ht="38.25" customHeight="1">
      <c r="A1642" t="inlineStr">
        <is>
          <t>pp设计制作源文件材料</t>
        </is>
      </c>
      <c r="B1642" t="inlineStr">
        <is>
          <t>recv9Fi6XdMqFF.jpg</t>
        </is>
      </c>
      <c r="C1642" s="2" t="str">
        <f>=HYPERLINK("https://xhslink.com/m/5nHalrp9uY2", "https://xhslink.com/m/5nHalrp9uY2")</f>
        <v>https://xhslink.com/m/5nHalrp9uY2</v>
      </c>
      <c r="D1642"/>
      <c r="E1642">
        <v>817</v>
      </c>
      <c r="F1642">
        <v>158</v>
      </c>
      <c r="G1642"/>
      <c r="H1642"/>
      <c r="I1642">
        <v>300</v>
      </c>
      <c r="J1642"/>
      <c r="K1642" t="inlineStr">
        <is>
          <t>源文件</t>
        </is>
      </c>
      <c r="L1642"/>
      <c r="M1642" t="inlineStr">
        <is>
          <t>树人美育工作室的店</t>
        </is>
      </c>
      <c r="N1642">
        <v>1274</v>
      </c>
      <c r="O1642">
        <v>4.44</v>
      </c>
      <c r="P1642">
        <v>4657</v>
      </c>
      <c r="Q1642" t="inlineStr">
        <is>
          <t>68a5b68bbd9d4b000157a8ac</t>
        </is>
      </c>
      <c r="R1642" t="inlineStr">
        <is>
          <t>🚫重复</t>
        </is>
      </c>
      <c r="S1642" t="inlineStr">
        <is>
          <t>设计素材</t>
        </is>
      </c>
      <c r="T1642" t="inlineStr">
        <is>
          <t>0.64</t>
        </is>
      </c>
      <c r="U1642" s="3">
        <v>46112.78107638889</v>
      </c>
      <c r="V1642" t="inlineStr">
        <is>
          <t>虚拟产品</t>
        </is>
      </c>
      <c r="W1642" s="3">
        <v>46051</v>
      </c>
      <c r="X1642" t="inlineStr">
        <is>
          <t>01</t>
        </is>
      </c>
      <c r="Y1642" t="inlineStr">
        <is>
          <t>2026-Q1</t>
        </is>
      </c>
    </row>
    <row r="1643" ht="38.25" customHeight="1">
      <c r="A1643" t="inlineStr">
        <is>
          <t>ppt设计源文件电子素材</t>
        </is>
      </c>
      <c r="B1643" t="inlineStr">
        <is>
          <t>recv9Fi6Xd9TGW.jpg</t>
        </is>
      </c>
      <c r="C1643" s="2" t="str">
        <f>=HYPERLINK("https://xhslink.com/m/36XpcGo2gYV", "https://xhslink.com/m/36XpcGo2gYV")</f>
        <v>https://xhslink.com/m/36XpcGo2gYV</v>
      </c>
      <c r="D1643"/>
      <c r="E1643">
        <v>739</v>
      </c>
      <c r="F1643">
        <v>158</v>
      </c>
      <c r="G1643"/>
      <c r="H1643"/>
      <c r="I1643">
        <v>200</v>
      </c>
      <c r="J1643"/>
      <c r="K1643" t="inlineStr">
        <is>
          <t>源文件</t>
        </is>
      </c>
      <c r="L1643"/>
      <c r="M1643" t="inlineStr">
        <is>
          <t>树人美育工作室的店</t>
        </is>
      </c>
      <c r="N1643">
        <v>1274</v>
      </c>
      <c r="O1643">
        <v>4.44</v>
      </c>
      <c r="P1643">
        <v>4657</v>
      </c>
      <c r="Q1643" t="inlineStr">
        <is>
          <t>68b3a88c0c85cc0001afc335</t>
        </is>
      </c>
      <c r="R1643" t="inlineStr">
        <is>
          <t>🚫重复</t>
        </is>
      </c>
      <c r="S1643" t="inlineStr">
        <is>
          <t>PPT模板</t>
        </is>
      </c>
      <c r="T1643" t="inlineStr">
        <is>
          <t>0.58</t>
        </is>
      </c>
      <c r="U1643" s="3">
        <v>46112.78107638889</v>
      </c>
      <c r="V1643" t="inlineStr">
        <is>
          <t>虚拟产品</t>
        </is>
      </c>
      <c r="W1643" s="3">
        <v>46051</v>
      </c>
      <c r="X1643" t="inlineStr">
        <is>
          <t>01</t>
        </is>
      </c>
      <c r="Y1643" t="inlineStr">
        <is>
          <t>2026-Q1</t>
        </is>
      </c>
    </row>
    <row r="1644" ht="38.25" customHeight="1">
      <c r="A1644" t="inlineStr">
        <is>
          <t>情绪探索个人成长心理咨询60分钟1V1心理咨询【首次福利】</t>
        </is>
      </c>
      <c r="B1644" t="inlineStr">
        <is>
          <t>recv9Fi6Xdsnrt.jpg</t>
        </is>
      </c>
      <c r="C1644" s="2" t="str">
        <f>=HYPERLINK("https://xhslink.com/m/4eUMbaKvGfc", "https://xhslink.com/m/4eUMbaKvGfc")</f>
        <v>https://xhslink.com/m/4eUMbaKvGfc</v>
      </c>
      <c r="D1644"/>
      <c r="E1644">
        <v>1205</v>
      </c>
      <c r="F1644">
        <v>99</v>
      </c>
      <c r="G1644"/>
      <c r="H1644"/>
      <c r="I1644">
        <v>300</v>
      </c>
      <c r="J1644"/>
      <c r="K1644" t="inlineStr">
        <is>
          <t>心理健康</t>
        </is>
      </c>
      <c r="L1644" t="inlineStr">
        <is>
          <t>🔥低粉爆款</t>
        </is>
      </c>
      <c r="M1644" t="inlineStr">
        <is>
          <t>语凡咨询的店</t>
        </is>
      </c>
      <c r="N1644">
        <v>245</v>
      </c>
      <c r="O1644">
        <v>4.5</v>
      </c>
      <c r="P1644">
        <v>2373</v>
      </c>
      <c r="Q1644" t="inlineStr">
        <is>
          <t>685bc17156ddbd0001c29dcd</t>
        </is>
      </c>
      <c r="R1644"/>
      <c r="S1644" t="inlineStr">
        <is>
          <t>咨询服务</t>
        </is>
      </c>
      <c r="T1644" t="inlineStr">
        <is>
          <t>4.92</t>
        </is>
      </c>
      <c r="U1644" s="3">
        <v>46112.78107638889</v>
      </c>
      <c r="V1644" t="inlineStr">
        <is>
          <t>虚拟产品</t>
        </is>
      </c>
      <c r="W1644" s="3">
        <v>46051</v>
      </c>
      <c r="X1644" t="inlineStr">
        <is>
          <t>01</t>
        </is>
      </c>
      <c r="Y1644" t="inlineStr">
        <is>
          <t>2026-Q1</t>
        </is>
      </c>
    </row>
    <row r="1645" ht="38.25" customHeight="1">
      <c r="A1645" t="inlineStr">
        <is>
          <t>手写婚书，手写订婚书，卷轴款，先沟通后下单！请勿直接下单！</t>
        </is>
      </c>
      <c r="B1645" t="inlineStr">
        <is>
          <t>recv9Fi6Xd9LST.jpg</t>
        </is>
      </c>
      <c r="C1645" s="2" t="str">
        <f>=HYPERLINK("https://xhslink.com/m/AyirJA82caA", "https://xhslink.com/m/AyirJA82caA")</f>
        <v>https://xhslink.com/m/AyirJA82caA</v>
      </c>
      <c r="D1645"/>
      <c r="E1645">
        <v>4235</v>
      </c>
      <c r="F1645">
        <v>208</v>
      </c>
      <c r="G1645"/>
      <c r="H1645"/>
      <c r="I1645">
        <v>200</v>
      </c>
      <c r="J1645"/>
      <c r="K1645" t="inlineStr">
        <is>
          <t>备婚清单</t>
        </is>
      </c>
      <c r="L1645"/>
      <c r="M1645" t="inlineStr">
        <is>
          <t>绵绵的日常的店</t>
        </is>
      </c>
      <c r="N1645">
        <v>36000</v>
      </c>
      <c r="O1645">
        <v>4.62</v>
      </c>
      <c r="P1645">
        <v>40000</v>
      </c>
      <c r="Q1645" t="inlineStr">
        <is>
          <t>6459ef0d947a220001b5df8e</t>
        </is>
      </c>
      <c r="R1645"/>
      <c r="S1645" t="inlineStr">
        <is>
          <t>生活成长</t>
        </is>
      </c>
      <c r="T1645" t="inlineStr">
        <is>
          <t>0.12</t>
        </is>
      </c>
      <c r="U1645" s="3">
        <v>46112.78107638889</v>
      </c>
      <c r="V1645" t="inlineStr">
        <is>
          <t>虚拟产品</t>
        </is>
      </c>
      <c r="W1645" s="3">
        <v>46051</v>
      </c>
      <c r="X1645" t="inlineStr">
        <is>
          <t>01</t>
        </is>
      </c>
      <c r="Y1645" t="inlineStr">
        <is>
          <t>2026-Q1</t>
        </is>
      </c>
    </row>
    <row r="1646" ht="38.25" customHeight="1">
      <c r="A1646" t="inlineStr">
        <is>
          <t>全国营业执照注销公司注销工商注销个体户注销执照注销</t>
        </is>
      </c>
      <c r="B1646" t="inlineStr">
        <is>
          <t>recv9Fi6Xdj4gO.jpg</t>
        </is>
      </c>
      <c r="C1646" s="2" t="str">
        <f>=HYPERLINK("https://xhslink.com/m/9uIciI7UaYe", "https://xhslink.com/m/9uIciI7UaYe")</f>
        <v>https://xhslink.com/m/9uIciI7UaYe</v>
      </c>
      <c r="D1646"/>
      <c r="E1646">
        <v>6379</v>
      </c>
      <c r="F1646">
        <v>50</v>
      </c>
      <c r="G1646"/>
      <c r="H1646"/>
      <c r="I1646">
        <v>300</v>
      </c>
      <c r="J1646"/>
      <c r="K1646" t="inlineStr">
        <is>
          <t>个体户注销</t>
        </is>
      </c>
      <c r="L1646" t="inlineStr">
        <is>
          <t>🔥低粉爆款</t>
        </is>
      </c>
      <c r="M1646" t="inlineStr">
        <is>
          <t>惟新代理记账的店</t>
        </is>
      </c>
      <c r="N1646">
        <v>1485</v>
      </c>
      <c r="O1646">
        <v>4.25</v>
      </c>
      <c r="P1646">
        <v>9015</v>
      </c>
      <c r="Q1646" t="inlineStr">
        <is>
          <t>683038c5de92b50001c54636</t>
        </is>
      </c>
      <c r="R1646"/>
      <c r="S1646" t="inlineStr">
        <is>
          <t>生活成长</t>
        </is>
      </c>
      <c r="T1646" t="inlineStr">
        <is>
          <t>4.30</t>
        </is>
      </c>
      <c r="U1646" s="3">
        <v>46112.78107638889</v>
      </c>
      <c r="V1646" t="inlineStr">
        <is>
          <t>虚拟产品</t>
        </is>
      </c>
      <c r="W1646" s="3">
        <v>46051</v>
      </c>
      <c r="X1646" t="inlineStr">
        <is>
          <t>01</t>
        </is>
      </c>
      <c r="Y1646" t="inlineStr">
        <is>
          <t>2026-Q1</t>
        </is>
      </c>
    </row>
    <row r="1647" ht="38.25" customHeight="1">
      <c r="A1647" t="inlineStr">
        <is>
          <t>公务员国考省考历年真题套卷</t>
        </is>
      </c>
      <c r="B1647" t="inlineStr">
        <is>
          <t>recv9Fi6XddQht.jpg</t>
        </is>
      </c>
      <c r="C1647" s="2" t="str">
        <f>=HYPERLINK("https://xhslink.com/m/9G7zNVh5uFB", "https://xhslink.com/m/9G7zNVh5uFB")</f>
        <v>https://xhslink.com/m/9G7zNVh5uFB</v>
      </c>
      <c r="D1647"/>
      <c r="E1647">
        <v>6784</v>
      </c>
      <c r="F1647">
        <v>26</v>
      </c>
      <c r="G1647"/>
      <c r="H1647"/>
      <c r="I1647">
        <v>1000</v>
      </c>
      <c r="J1647"/>
      <c r="K1647" t="inlineStr">
        <is>
          <t>公务员考试</t>
        </is>
      </c>
      <c r="L1647"/>
      <c r="M1647" t="inlineStr">
        <is>
          <t>小吴的考公书斋的店</t>
        </is>
      </c>
      <c r="N1647">
        <v>5816</v>
      </c>
      <c r="O1647">
        <v>4.4</v>
      </c>
      <c r="P1647">
        <v>13000</v>
      </c>
      <c r="Q1647" t="inlineStr">
        <is>
          <t>68a84517acb1160001648786</t>
        </is>
      </c>
      <c r="R1647" t="inlineStr">
        <is>
          <t>🚫重复</t>
        </is>
      </c>
      <c r="S1647" t="inlineStr">
        <is>
          <t>考公资料</t>
        </is>
      </c>
      <c r="T1647" t="inlineStr">
        <is>
          <t>1.17</t>
        </is>
      </c>
      <c r="U1647" s="3">
        <v>46112.78107638889</v>
      </c>
      <c r="V1647" t="inlineStr">
        <is>
          <t>虚拟产品</t>
        </is>
      </c>
      <c r="W1647" s="3">
        <v>46051</v>
      </c>
      <c r="X1647" t="inlineStr">
        <is>
          <t>01</t>
        </is>
      </c>
      <c r="Y1647" t="inlineStr">
        <is>
          <t>2026-Q1</t>
        </is>
      </c>
    </row>
    <row r="1648" ht="38.25" customHeight="1">
      <c r="A1648" t="inlineStr">
        <is>
          <t>「电子版」考公备考资料，含每日计划表和网课，适用国考省考</t>
        </is>
      </c>
      <c r="B1648" t="inlineStr">
        <is>
          <t>recv9Fi6XdFRfO.jpg</t>
        </is>
      </c>
      <c r="C1648" s="2" t="str">
        <f>=HYPERLINK("https://xhslink.com/m/2d7wHJehsq7", "https://xhslink.com/m/2d7wHJehsq7")</f>
        <v>https://xhslink.com/m/2d7wHJehsq7</v>
      </c>
      <c r="D1648"/>
      <c r="E1648">
        <v>1062</v>
      </c>
      <c r="F1648">
        <v>29.6</v>
      </c>
      <c r="G1648"/>
      <c r="H1648"/>
      <c r="I1648">
        <v>900</v>
      </c>
      <c r="J1648"/>
      <c r="K1648" t="inlineStr">
        <is>
          <t>公务员考试</t>
        </is>
      </c>
      <c r="L1648" t="inlineStr">
        <is>
          <t>🔥低粉爆款</t>
        </is>
      </c>
      <c r="M1648" t="inlineStr">
        <is>
          <t>姜嘟学习资料的店</t>
        </is>
      </c>
      <c r="N1648">
        <v>183</v>
      </c>
      <c r="O1648">
        <v>4.53</v>
      </c>
      <c r="P1648">
        <v>1560</v>
      </c>
      <c r="Q1648" t="inlineStr">
        <is>
          <t>68beea1a2773df0001ec110f</t>
        </is>
      </c>
      <c r="R1648" t="inlineStr">
        <is>
          <t>🚫重复</t>
        </is>
      </c>
      <c r="S1648" t="inlineStr">
        <is>
          <t>考公资料</t>
        </is>
      </c>
      <c r="T1648" t="inlineStr">
        <is>
          <t>5.80</t>
        </is>
      </c>
      <c r="U1648" s="3">
        <v>46112.78107638889</v>
      </c>
      <c r="V1648" t="inlineStr">
        <is>
          <t>虚拟产品</t>
        </is>
      </c>
      <c r="W1648" s="3">
        <v>46051</v>
      </c>
      <c r="X1648" t="inlineStr">
        <is>
          <t>01</t>
        </is>
      </c>
      <c r="Y1648" t="inlineStr">
        <is>
          <t>2026-Q1</t>
        </is>
      </c>
    </row>
    <row r="1649" ht="38.25" customHeight="1">
      <c r="A1649" t="inlineStr">
        <is>
          <t>教 师 资 格 证 笔试科三重点三色速记笔记</t>
        </is>
      </c>
      <c r="B1649" t="inlineStr">
        <is>
          <t>recv9Fi6XdIWQW.jpg</t>
        </is>
      </c>
      <c r="C1649" s="2" t="str">
        <f>=HYPERLINK("https://xhslink.com/m/3XtNdDvoOYf", "https://xhslink.com/m/3XtNdDvoOYf")</f>
        <v>https://xhslink.com/m/3XtNdDvoOYf</v>
      </c>
      <c r="D1649"/>
      <c r="E1649">
        <v>5663</v>
      </c>
      <c r="F1649">
        <v>6.98</v>
      </c>
      <c r="G1649"/>
      <c r="H1649"/>
      <c r="I1649">
        <v>2000</v>
      </c>
      <c r="J1649"/>
      <c r="K1649" t="inlineStr">
        <is>
          <t>教师资格培训</t>
        </is>
      </c>
      <c r="L1649" t="inlineStr">
        <is>
          <t>🔥低粉爆款</t>
        </is>
      </c>
      <c r="M1649" t="inlineStr">
        <is>
          <t>好运学 姐姐的店</t>
        </is>
      </c>
      <c r="N1649">
        <v>457</v>
      </c>
      <c r="O1649">
        <v>4.47</v>
      </c>
      <c r="P1649">
        <v>6987</v>
      </c>
      <c r="Q1649" t="inlineStr">
        <is>
          <t>685a4a3d75907700019704b8</t>
        </is>
      </c>
      <c r="R1649" t="inlineStr">
        <is>
          <t>🚫重复</t>
        </is>
      </c>
      <c r="S1649" t="inlineStr">
        <is>
          <t>教资资料</t>
        </is>
      </c>
      <c r="T1649" t="inlineStr">
        <is>
          <t>12.39</t>
        </is>
      </c>
      <c r="U1649" s="3">
        <v>46112.78107638889</v>
      </c>
      <c r="V1649" t="inlineStr">
        <is>
          <t>虚拟产品</t>
        </is>
      </c>
      <c r="W1649" s="3">
        <v>46051</v>
      </c>
      <c r="X1649" t="inlineStr">
        <is>
          <t>01</t>
        </is>
      </c>
      <c r="Y1649" t="inlineStr">
        <is>
          <t>2026-Q1</t>
        </is>
      </c>
    </row>
    <row r="1650" ht="38.25" customHeight="1">
      <c r="A1650" t="inlineStr">
        <is>
          <t>【面试电子版】25年下半年高中语文教资面试备考资料逐字稿</t>
        </is>
      </c>
      <c r="B1650" t="inlineStr">
        <is>
          <t>recv9Fi6XdkMho.jpg</t>
        </is>
      </c>
      <c r="C1650" s="2" t="str">
        <f>=HYPERLINK("https://xhslink.com/m/51p1ZD5ln97", "https://xhslink.com/m/51p1ZD5ln97")</f>
        <v>https://xhslink.com/m/51p1ZD5ln97</v>
      </c>
      <c r="D1650"/>
      <c r="E1650">
        <v>1430</v>
      </c>
      <c r="F1650">
        <v>39</v>
      </c>
      <c r="G1650"/>
      <c r="H1650"/>
      <c r="I1650">
        <v>1000</v>
      </c>
      <c r="J1650"/>
      <c r="K1650" t="inlineStr">
        <is>
          <t>教师资格培训</t>
        </is>
      </c>
      <c r="L1650"/>
      <c r="M1650" t="inlineStr">
        <is>
          <t>奇怪耶耶的店</t>
        </is>
      </c>
      <c r="N1650">
        <v>102000</v>
      </c>
      <c r="O1650">
        <v>4.52</v>
      </c>
      <c r="P1650">
        <v>14000</v>
      </c>
      <c r="Q1650" t="inlineStr">
        <is>
          <t>691dd78095624300011c420b</t>
        </is>
      </c>
      <c r="R1650"/>
      <c r="S1650" t="inlineStr">
        <is>
          <t>教资资料</t>
        </is>
      </c>
      <c r="T1650" t="inlineStr">
        <is>
          <t>0.01</t>
        </is>
      </c>
      <c r="U1650" s="3">
        <v>46112.78107638889</v>
      </c>
      <c r="V1650" t="inlineStr">
        <is>
          <t>虚拟产品</t>
        </is>
      </c>
      <c r="W1650" s="3">
        <v>46051</v>
      </c>
      <c r="X1650" t="inlineStr">
        <is>
          <t>01</t>
        </is>
      </c>
      <c r="Y1650" t="inlineStr">
        <is>
          <t>2026-Q1</t>
        </is>
      </c>
    </row>
    <row r="1651" ht="38.25" customHeight="1">
      <c r="A1651" t="inlineStr">
        <is>
          <t>2026上半年教师资格证笔试数学语文英语美术体育音乐物理政治信息</t>
        </is>
      </c>
      <c r="B1651" t="inlineStr">
        <is>
          <t>recv9Fi6XdTc5l.jpg</t>
        </is>
      </c>
      <c r="C1651" s="2" t="str">
        <f>=HYPERLINK("https://xhslink.com/m/9dz3Hx7Miep", "https://xhslink.com/m/9dz3Hx7Miep")</f>
        <v>https://xhslink.com/m/9dz3Hx7Miep</v>
      </c>
      <c r="D1651"/>
      <c r="E1651">
        <v>2156</v>
      </c>
      <c r="F1651">
        <v>18.9</v>
      </c>
      <c r="G1651"/>
      <c r="H1651"/>
      <c r="I1651">
        <v>1000</v>
      </c>
      <c r="J1651"/>
      <c r="K1651" t="inlineStr">
        <is>
          <t>自学考试培训</t>
        </is>
      </c>
      <c r="L1651" t="inlineStr">
        <is>
          <t>🔥低粉爆款</t>
        </is>
      </c>
      <c r="M1651" t="inlineStr">
        <is>
          <t>教资社区的店</t>
        </is>
      </c>
      <c r="N1651">
        <v>191</v>
      </c>
      <c r="O1651">
        <v>3.76</v>
      </c>
      <c r="P1651">
        <v>2427</v>
      </c>
      <c r="Q1651" t="inlineStr">
        <is>
          <t>6868a6fa64e96a0001853d1b</t>
        </is>
      </c>
      <c r="R1651" t="inlineStr">
        <is>
          <t>🚫重复</t>
        </is>
      </c>
      <c r="S1651" t="inlineStr">
        <is>
          <t>教资资料</t>
        </is>
      </c>
      <c r="T1651" t="inlineStr">
        <is>
          <t>11.29</t>
        </is>
      </c>
      <c r="U1651" s="3">
        <v>46112.78107638889</v>
      </c>
      <c r="V1651" t="inlineStr">
        <is>
          <t>虚拟产品</t>
        </is>
      </c>
      <c r="W1651" s="3">
        <v>46051</v>
      </c>
      <c r="X1651" t="inlineStr">
        <is>
          <t>01</t>
        </is>
      </c>
      <c r="Y1651" t="inlineStr">
        <is>
          <t>2026-Q1</t>
        </is>
      </c>
    </row>
    <row r="1652" ht="38.25" customHeight="1">
      <c r="A1652" t="inlineStr">
        <is>
          <t>家长会ppt模板，内容可自己改，虚拟定制</t>
        </is>
      </c>
      <c r="B1652" t="inlineStr">
        <is>
          <t>recv9FpWfGfpJ9.jpg</t>
        </is>
      </c>
      <c r="C1652" s="2" t="str">
        <f>=HYPERLINK("https://xhslink.com/m/2ylQUOgWx7I", "https://xhslink.com/m/2ylQUOgWx7I")</f>
        <v>https://xhslink.com/m/2ylQUOgWx7I</v>
      </c>
      <c r="D1652"/>
      <c r="E1652">
        <v>16000</v>
      </c>
      <c r="F1652">
        <v>88</v>
      </c>
      <c r="G1652"/>
      <c r="H1652"/>
      <c r="I1652">
        <v>1000</v>
      </c>
      <c r="J1652"/>
      <c r="K1652" t="inlineStr">
        <is>
          <t>资料</t>
        </is>
      </c>
      <c r="L1652"/>
      <c r="M1652" t="inlineStr">
        <is>
          <t>开学就想放暑假的店</t>
        </is>
      </c>
      <c r="N1652">
        <v>37000</v>
      </c>
      <c r="O1652">
        <v>4.42</v>
      </c>
      <c r="P1652">
        <v>53000</v>
      </c>
      <c r="Q1652" t="inlineStr">
        <is>
          <t>6728d25f37474a0001bdbaf5</t>
        </is>
      </c>
      <c r="R1652" t="inlineStr">
        <is>
          <t>🚫重复</t>
        </is>
      </c>
      <c r="S1652" t="inlineStr">
        <is>
          <t>PPT模板</t>
        </is>
      </c>
      <c r="T1652" t="inlineStr">
        <is>
          <t>0.43</t>
        </is>
      </c>
      <c r="U1652" s="3">
        <v>46112.78107638889</v>
      </c>
      <c r="V1652" t="inlineStr">
        <is>
          <t>虚拟产品</t>
        </is>
      </c>
      <c r="W1652" s="3">
        <v>46051</v>
      </c>
      <c r="X1652" t="inlineStr">
        <is>
          <t>01</t>
        </is>
      </c>
      <c r="Y1652" t="inlineStr">
        <is>
          <t>2026-Q1</t>
        </is>
      </c>
    </row>
    <row r="1653" ht="38.25" customHeight="1">
      <c r="A1653" t="inlineStr">
        <is>
          <t>（初中/高中）英语教资面试/笔试（逐字稿+知识点+思维导图）PDF</t>
        </is>
      </c>
      <c r="B1653" t="inlineStr">
        <is>
          <t>recv9FpWfGpSsx.jpg</t>
        </is>
      </c>
      <c r="C1653" s="2" t="str">
        <f>=HYPERLINK("https://xhslink.com/m/3O0CjM2bEmj", "https://xhslink.com/m/3O0CjM2bEmj")</f>
        <v>https://xhslink.com/m/3O0CjM2bEmj</v>
      </c>
      <c r="D1653"/>
      <c r="E1653">
        <v>12000</v>
      </c>
      <c r="F1653">
        <v>66.88</v>
      </c>
      <c r="G1653"/>
      <c r="H1653"/>
      <c r="I1653">
        <v>3000</v>
      </c>
      <c r="J1653"/>
      <c r="K1653" t="inlineStr">
        <is>
          <t>资料</t>
        </is>
      </c>
      <c r="L1653"/>
      <c r="M1653" t="inlineStr">
        <is>
          <t>藕泥没有酱（教资＋MTI🍀）的店</t>
        </is>
      </c>
      <c r="N1653">
        <v>50000</v>
      </c>
      <c r="O1653">
        <v>4.57</v>
      </c>
      <c r="P1653">
        <v>14000</v>
      </c>
      <c r="Q1653" t="inlineStr">
        <is>
          <t>68a456ea1745f6000118eaa8</t>
        </is>
      </c>
      <c r="R1653" t="inlineStr">
        <is>
          <t>🚫重复</t>
        </is>
      </c>
      <c r="S1653" t="inlineStr">
        <is>
          <t>教资资料</t>
        </is>
      </c>
      <c r="T1653" t="inlineStr">
        <is>
          <t>0.24</t>
        </is>
      </c>
      <c r="U1653" s="3">
        <v>46112.78107638889</v>
      </c>
      <c r="V1653" t="inlineStr">
        <is>
          <t>虚拟产品</t>
        </is>
      </c>
      <c r="W1653" s="3">
        <v>46051</v>
      </c>
      <c r="X1653" t="inlineStr">
        <is>
          <t>01</t>
        </is>
      </c>
      <c r="Y1653" t="inlineStr">
        <is>
          <t>2026-Q1</t>
        </is>
      </c>
    </row>
    <row r="1654" ht="38.25" customHeight="1">
      <c r="A1654" t="inlineStr">
        <is>
          <t>摇醒实验室 · 全勤全返-品牌设计训练营</t>
        </is>
      </c>
      <c r="B1654" t="inlineStr">
        <is>
          <t>__upload_recv9FpWfG9Uuq.jpg</t>
        </is>
      </c>
      <c r="C1654" s="2" t="str">
        <f>=HYPERLINK("https://xhslink.com/m/8wervVbwL8P", "https://xhslink.com/m/8wervVbwL8P")</f>
        <v>https://xhslink.com/m/8wervVbwL8P</v>
      </c>
      <c r="D1654"/>
      <c r="E1654">
        <v>10000</v>
      </c>
      <c r="F1654">
        <v>99</v>
      </c>
      <c r="G1654"/>
      <c r="H1654"/>
      <c r="I1654"/>
      <c r="J1654">
        <v>100</v>
      </c>
      <c r="K1654" t="inlineStr">
        <is>
          <t>资料</t>
        </is>
      </c>
      <c r="L1654"/>
      <c r="M1654" t="inlineStr">
        <is>
          <t>摇醒实验室旗舰店</t>
        </is>
      </c>
      <c r="N1654">
        <v>49000</v>
      </c>
      <c r="O1654">
        <v>4.47</v>
      </c>
      <c r="P1654">
        <v>12000</v>
      </c>
      <c r="Q1654" t="inlineStr">
        <is>
          <t>660671375c3c5a00014e2e90</t>
        </is>
      </c>
      <c r="R1654"/>
      <c r="S1654" t="inlineStr">
        <is>
          <t>运营资料</t>
        </is>
      </c>
      <c r="T1654" t="inlineStr">
        <is>
          <t>0.20</t>
        </is>
      </c>
      <c r="U1654" s="3">
        <v>46112.78107638889</v>
      </c>
      <c r="V1654" t="inlineStr">
        <is>
          <t>虚拟产品</t>
        </is>
      </c>
      <c r="W1654" s="3">
        <v>46051</v>
      </c>
      <c r="X1654" t="inlineStr">
        <is>
          <t>01</t>
        </is>
      </c>
      <c r="Y1654" t="inlineStr">
        <is>
          <t>2026-Q1</t>
        </is>
      </c>
    </row>
    <row r="1655" ht="38.25" customHeight="1">
      <c r="A1655" t="inlineStr">
        <is>
          <t>【2025秋新教材】三上语文大单元任务群系列</t>
        </is>
      </c>
      <c r="B1655" t="inlineStr">
        <is>
          <t>recv9FpWfGJrtt.jpg</t>
        </is>
      </c>
      <c r="C1655" s="2" t="str">
        <f>=HYPERLINK("https://xhslink.com/m/8pQlbbGKihO", "https://xhslink.com/m/8pQlbbGKihO")</f>
        <v>https://xhslink.com/m/8pQlbbGKihO</v>
      </c>
      <c r="D1655"/>
      <c r="E1655">
        <v>8534</v>
      </c>
      <c r="F1655">
        <v>73.61</v>
      </c>
      <c r="G1655"/>
      <c r="H1655"/>
      <c r="I1655">
        <v>1000</v>
      </c>
      <c r="J1655"/>
      <c r="K1655" t="inlineStr">
        <is>
          <t>资料</t>
        </is>
      </c>
      <c r="L1655"/>
      <c r="M1655" t="inlineStr">
        <is>
          <t>C加教育咨询的店</t>
        </is>
      </c>
      <c r="N1655">
        <v>29000</v>
      </c>
      <c r="O1655">
        <v>4.51</v>
      </c>
      <c r="P1655">
        <v>87000</v>
      </c>
      <c r="Q1655" t="inlineStr">
        <is>
          <t>6944db5d4d11d70001777d5b</t>
        </is>
      </c>
      <c r="R1655" t="inlineStr">
        <is>
          <t>🚫重复</t>
        </is>
      </c>
      <c r="S1655" t="inlineStr">
        <is>
          <t>中小学教辅/教材</t>
        </is>
      </c>
      <c r="T1655" t="inlineStr">
        <is>
          <t>0.29</t>
        </is>
      </c>
      <c r="U1655" s="3">
        <v>46112.78107638889</v>
      </c>
      <c r="V1655" t="inlineStr">
        <is>
          <t>虚拟产品</t>
        </is>
      </c>
      <c r="W1655" s="3">
        <v>46051</v>
      </c>
      <c r="X1655" t="inlineStr">
        <is>
          <t>01</t>
        </is>
      </c>
      <c r="Y1655" t="inlineStr">
        <is>
          <t>2026-Q1</t>
        </is>
      </c>
    </row>
    <row r="1656" ht="38.25" customHeight="1">
      <c r="A1656" t="inlineStr">
        <is>
          <t>新概念一全册笔记1-144（彩色版）</t>
        </is>
      </c>
      <c r="B1656" t="inlineStr">
        <is>
          <t>recv9FpWfGGMVT.jpg</t>
        </is>
      </c>
      <c r="C1656" s="2" t="str">
        <f>=HYPERLINK("https://xhslink.com/m/6gCZDnz39V1", "https://xhslink.com/m/6gCZDnz39V1")</f>
        <v>https://xhslink.com/m/6gCZDnz39V1</v>
      </c>
      <c r="D1656"/>
      <c r="E1656">
        <v>3471</v>
      </c>
      <c r="F1656">
        <v>129</v>
      </c>
      <c r="G1656"/>
      <c r="H1656"/>
      <c r="I1656">
        <v>1000</v>
      </c>
      <c r="J1656"/>
      <c r="K1656" t="inlineStr">
        <is>
          <t>资料</t>
        </is>
      </c>
      <c r="L1656"/>
      <c r="M1656" t="inlineStr">
        <is>
          <t>爱看书的林老师的店</t>
        </is>
      </c>
      <c r="N1656">
        <v>40000</v>
      </c>
      <c r="O1656">
        <v>4.67</v>
      </c>
      <c r="P1656">
        <v>12000</v>
      </c>
      <c r="Q1656" t="inlineStr">
        <is>
          <t>67554105d79d330001478485</t>
        </is>
      </c>
      <c r="R1656"/>
      <c r="S1656" t="inlineStr">
        <is>
          <t>英语资料</t>
        </is>
      </c>
      <c r="T1656" t="inlineStr">
        <is>
          <t>0.09</t>
        </is>
      </c>
      <c r="U1656" s="3">
        <v>46112.78107638889</v>
      </c>
      <c r="V1656" t="inlineStr">
        <is>
          <t>虚拟产品</t>
        </is>
      </c>
      <c r="W1656" s="3">
        <v>46051</v>
      </c>
      <c r="X1656" t="inlineStr">
        <is>
          <t>01</t>
        </is>
      </c>
      <c r="Y1656" t="inlineStr">
        <is>
          <t>2026-Q1</t>
        </is>
      </c>
    </row>
    <row r="1657" ht="38.25" customHeight="1">
      <c r="A1657" t="inlineStr">
        <is>
          <t>2025时政汇总·热点汇编＋模拟试题（1月-12月）</t>
        </is>
      </c>
      <c r="B1657" t="inlineStr">
        <is>
          <t>recv9FpWfGmIph.jpg</t>
        </is>
      </c>
      <c r="C1657" s="2" t="str">
        <f>=HYPERLINK("https://xhslink.com/m/3MBGTuEzd19", "https://xhslink.com/m/3MBGTuEzd19")</f>
        <v>https://xhslink.com/m/3MBGTuEzd19</v>
      </c>
      <c r="D1657"/>
      <c r="E1657">
        <v>2760</v>
      </c>
      <c r="F1657">
        <v>0.11</v>
      </c>
      <c r="G1657"/>
      <c r="H1657"/>
      <c r="I1657">
        <v>2000</v>
      </c>
      <c r="J1657"/>
      <c r="K1657" t="inlineStr">
        <is>
          <t>资料</t>
        </is>
      </c>
      <c r="L1657"/>
      <c r="M1657" t="inlineStr">
        <is>
          <t>青岛华图教育的店</t>
        </is>
      </c>
      <c r="N1657">
        <v>10000</v>
      </c>
      <c r="O1657">
        <v>4.24</v>
      </c>
      <c r="P1657">
        <v>3183</v>
      </c>
      <c r="Q1657" t="inlineStr">
        <is>
          <t>6880b80879bc470001556b0c</t>
        </is>
      </c>
      <c r="R1657"/>
      <c r="S1657" t="inlineStr">
        <is>
          <t>无匹配类别</t>
        </is>
      </c>
      <c r="T1657" t="inlineStr">
        <is>
          <t>0.28</t>
        </is>
      </c>
      <c r="U1657" s="3">
        <v>46112.78107638889</v>
      </c>
      <c r="V1657" t="inlineStr">
        <is>
          <t>虚拟产品</t>
        </is>
      </c>
      <c r="W1657" s="3">
        <v>46051</v>
      </c>
      <c r="X1657" t="inlineStr">
        <is>
          <t>01</t>
        </is>
      </c>
      <c r="Y1657" t="inlineStr">
        <is>
          <t>2026-Q1</t>
        </is>
      </c>
    </row>
    <row r="1658" ht="38.25" customHeight="1">
      <c r="A1658" t="inlineStr">
        <is>
          <t>2025新版零基础学会计税务出纳【配套课程实操系统】</t>
        </is>
      </c>
      <c r="B1658" t="inlineStr">
        <is>
          <t>recv9KTcR3bkT8.jpg</t>
        </is>
      </c>
      <c r="C1658" s="2" t="str">
        <f>=HYPERLINK("https://xhslink.com/m/9ih10WIdbqh", "https://xhslink.com/m/9ih10WIdbqh")</f>
        <v>https://xhslink.com/m/9ih10WIdbqh</v>
      </c>
      <c r="D1658"/>
      <c r="E1658">
        <v>1502</v>
      </c>
      <c r="F1658">
        <v>78</v>
      </c>
      <c r="G1658"/>
      <c r="H1658"/>
      <c r="I1658">
        <v>300</v>
      </c>
      <c r="J1658"/>
      <c r="K1658" t="inlineStr">
        <is>
          <t>财务/会计培训</t>
        </is>
      </c>
      <c r="L1658"/>
      <c r="M1658" t="inlineStr">
        <is>
          <t>方华财税图书的店</t>
        </is>
      </c>
      <c r="N1658">
        <v>25000</v>
      </c>
      <c r="O1658">
        <v>4.47</v>
      </c>
      <c r="P1658">
        <v>14000</v>
      </c>
      <c r="Q1658" t="inlineStr">
        <is>
          <t>673438644a98650001678d48</t>
        </is>
      </c>
      <c r="R1658"/>
      <c r="S1658" t="inlineStr">
        <is>
          <t>会计资料</t>
        </is>
      </c>
      <c r="T1658" t="inlineStr">
        <is>
          <t>0.06</t>
        </is>
      </c>
      <c r="U1658" s="3">
        <v>46112.78107638889</v>
      </c>
      <c r="V1658" t="inlineStr">
        <is>
          <t>虚拟产品</t>
        </is>
      </c>
      <c r="W1658" s="3">
        <v>46052</v>
      </c>
      <c r="X1658" t="inlineStr">
        <is>
          <t>01</t>
        </is>
      </c>
      <c r="Y1658" t="inlineStr">
        <is>
          <t>2026-Q1</t>
        </is>
      </c>
    </row>
    <row r="1659" ht="38.25" customHeight="1">
      <c r="A1659" t="inlineStr">
        <is>
          <t>2026国考省考公务员题库全国各省公务员考试申论行政职业能力APP</t>
        </is>
      </c>
      <c r="B1659" t="inlineStr">
        <is>
          <t>recv9KVRcYIMpM.jpg</t>
        </is>
      </c>
      <c r="C1659" s="2" t="str">
        <f>=HYPERLINK("https://xhslink.com/m/4Si1ZzHH4QT", "https://xhslink.com/m/4Si1ZzHH4QT")</f>
        <v>https://xhslink.com/m/4Si1ZzHH4QT</v>
      </c>
      <c r="D1659"/>
      <c r="E1659">
        <v>863</v>
      </c>
      <c r="F1659">
        <v>9.9</v>
      </c>
      <c r="G1659"/>
      <c r="H1659"/>
      <c r="I1659">
        <v>500</v>
      </c>
      <c r="J1659"/>
      <c r="K1659" t="inlineStr">
        <is>
          <t>公务员考试</t>
        </is>
      </c>
      <c r="L1659"/>
      <c r="M1659" t="inlineStr">
        <is>
          <t>晨露老师的店</t>
        </is>
      </c>
      <c r="N1659">
        <v>16000</v>
      </c>
      <c r="O1659">
        <v>4.3</v>
      </c>
      <c r="P1659">
        <v>34000</v>
      </c>
      <c r="Q1659" t="inlineStr">
        <is>
          <t>6857a2e248753b0001b7c4e7</t>
        </is>
      </c>
      <c r="R1659" t="inlineStr">
        <is>
          <t>🚫重复</t>
        </is>
      </c>
      <c r="S1659" t="inlineStr">
        <is>
          <t>考公资料</t>
        </is>
      </c>
      <c r="T1659" t="inlineStr">
        <is>
          <t>0.05</t>
        </is>
      </c>
      <c r="U1659" s="3">
        <v>46112.78107638889</v>
      </c>
      <c r="V1659" t="inlineStr">
        <is>
          <t>虚拟产品</t>
        </is>
      </c>
      <c r="W1659" s="3">
        <v>46052</v>
      </c>
      <c r="X1659" t="inlineStr">
        <is>
          <t>01</t>
        </is>
      </c>
      <c r="Y1659" t="inlineStr">
        <is>
          <t>2026-Q1</t>
        </is>
      </c>
    </row>
    <row r="1660" ht="38.25" customHeight="1">
      <c r="A1660" t="inlineStr">
        <is>
          <t>2026省考公务员题库全国各省公务员考试申论行政职业能力测验APP</t>
        </is>
      </c>
      <c r="B1660" t="inlineStr">
        <is>
          <t>recv9KVRcYTuJq.jpg</t>
        </is>
      </c>
      <c r="C1660" s="2" t="str">
        <f>=HYPERLINK("https://xhslink.com/m/A3cASLEUlfM", "https://xhslink.com/m/A3cASLEUlfM")</f>
        <v>https://xhslink.com/m/A3cASLEUlfM</v>
      </c>
      <c r="D1660"/>
      <c r="E1660">
        <v>1026</v>
      </c>
      <c r="F1660">
        <v>9</v>
      </c>
      <c r="G1660"/>
      <c r="H1660"/>
      <c r="I1660">
        <v>400</v>
      </c>
      <c r="J1660"/>
      <c r="K1660" t="inlineStr">
        <is>
          <t>公务员考试</t>
        </is>
      </c>
      <c r="L1660"/>
      <c r="M1660" t="inlineStr">
        <is>
          <t>考证小助手的店</t>
        </is>
      </c>
      <c r="N1660">
        <v>19000</v>
      </c>
      <c r="O1660">
        <v>4.43</v>
      </c>
      <c r="P1660">
        <v>98000</v>
      </c>
      <c r="Q1660" t="inlineStr">
        <is>
          <t>673ebf26684ff2000176bc90</t>
        </is>
      </c>
      <c r="R1660"/>
      <c r="S1660" t="inlineStr">
        <is>
          <t>考公资料</t>
        </is>
      </c>
      <c r="T1660" t="inlineStr">
        <is>
          <t>0.05</t>
        </is>
      </c>
      <c r="U1660" s="3">
        <v>46112.78107638889</v>
      </c>
      <c r="V1660" t="inlineStr">
        <is>
          <t>虚拟产品</t>
        </is>
      </c>
      <c r="W1660" s="3">
        <v>46052</v>
      </c>
      <c r="X1660" t="inlineStr">
        <is>
          <t>01</t>
        </is>
      </c>
      <c r="Y1660" t="inlineStr">
        <is>
          <t>2026-Q1</t>
        </is>
      </c>
    </row>
    <row r="1661" ht="38.25" customHeight="1">
      <c r="A1661" t="inlineStr">
        <is>
          <t>袁东2026申论领跑营全家桶（方法+大作文专项+超大杯刷题三课合集</t>
        </is>
      </c>
      <c r="B1661" t="inlineStr">
        <is>
          <t>recv9KVRcYufEJ.jpg</t>
        </is>
      </c>
      <c r="C1661" s="2" t="str">
        <f>=HYPERLINK("https://xhslink.com/m/4o9MtgVuRFc", "https://xhslink.com/m/4o9MtgVuRFc")</f>
        <v>https://xhslink.com/m/4o9MtgVuRFc</v>
      </c>
      <c r="D1661"/>
      <c r="E1661">
        <v>365</v>
      </c>
      <c r="F1661">
        <v>297</v>
      </c>
      <c r="G1661"/>
      <c r="H1661"/>
      <c r="I1661">
        <v>200</v>
      </c>
      <c r="J1661"/>
      <c r="K1661" t="inlineStr">
        <is>
          <t>公务员考试</t>
        </is>
      </c>
      <c r="L1661"/>
      <c r="M1661" t="inlineStr">
        <is>
          <t>A初心公考的店</t>
        </is>
      </c>
      <c r="N1661">
        <v>5277</v>
      </c>
      <c r="O1661">
        <v>4.47</v>
      </c>
      <c r="P1661">
        <v>11000</v>
      </c>
      <c r="Q1661" t="inlineStr">
        <is>
          <t>689c77bedc73de0001f3176f</t>
        </is>
      </c>
      <c r="R1661" t="inlineStr">
        <is>
          <t>🚫重复</t>
        </is>
      </c>
      <c r="S1661" t="inlineStr">
        <is>
          <t>考公资料</t>
        </is>
      </c>
      <c r="T1661" t="inlineStr">
        <is>
          <t>0.07</t>
        </is>
      </c>
      <c r="U1661" s="3">
        <v>46112.78107638889</v>
      </c>
      <c r="V1661" t="inlineStr">
        <is>
          <t>虚拟产品</t>
        </is>
      </c>
      <c r="W1661" s="3">
        <v>46052</v>
      </c>
      <c r="X1661" t="inlineStr">
        <is>
          <t>01</t>
        </is>
      </c>
      <c r="Y1661" t="inlineStr">
        <is>
          <t>2026-Q1</t>
        </is>
      </c>
    </row>
    <row r="1662" ht="38.25" customHeight="1">
      <c r="A1662" t="inlineStr">
        <is>
          <t>2026新传考研冲刺押题手册 高频名解简答 模拟考 看详情页再下</t>
        </is>
      </c>
      <c r="B1662" t="inlineStr">
        <is>
          <t>recv9KVRcYrdT5.jpg</t>
        </is>
      </c>
      <c r="C1662" s="2" t="str">
        <f>=HYPERLINK("https://xhslink.com/m/44YckynLAAP", "https://xhslink.com/m/44YckynLAAP")</f>
        <v>https://xhslink.com/m/44YckynLAAP</v>
      </c>
      <c r="D1662"/>
      <c r="E1662">
        <v>2510</v>
      </c>
      <c r="F1662">
        <v>499</v>
      </c>
      <c r="G1662"/>
      <c r="H1662"/>
      <c r="I1662">
        <v>200</v>
      </c>
      <c r="J1662"/>
      <c r="K1662" t="inlineStr">
        <is>
          <t>研究生考试</t>
        </is>
      </c>
      <c r="L1662"/>
      <c r="M1662" t="inlineStr">
        <is>
          <t>媒大媒小呀的店</t>
        </is>
      </c>
      <c r="N1662">
        <v>16000</v>
      </c>
      <c r="O1662">
        <v>4.59</v>
      </c>
      <c r="P1662">
        <v>2510</v>
      </c>
      <c r="Q1662" t="inlineStr">
        <is>
          <t>68d4d79617d80800011e2781</t>
        </is>
      </c>
      <c r="R1662"/>
      <c r="S1662" t="inlineStr">
        <is>
          <t>考研资料</t>
        </is>
      </c>
      <c r="T1662" t="inlineStr">
        <is>
          <t>0.16</t>
        </is>
      </c>
      <c r="U1662" s="3">
        <v>46112.78107638889</v>
      </c>
      <c r="V1662" t="inlineStr">
        <is>
          <t>虚拟产品</t>
        </is>
      </c>
      <c r="W1662" s="3">
        <v>46052</v>
      </c>
      <c r="X1662" t="inlineStr">
        <is>
          <t>01</t>
        </is>
      </c>
      <c r="Y1662" t="inlineStr">
        <is>
          <t>2026-Q1</t>
        </is>
      </c>
    </row>
    <row r="1663" ht="38.25" customHeight="1">
      <c r="A1663" t="inlineStr">
        <is>
          <t>时代云图 · 张宇2027考研数学基础30讲1000题一千题全家桶强化36讲</t>
        </is>
      </c>
      <c r="B1663" t="inlineStr">
        <is>
          <t>recv9KVRcYRhdk.jpg</t>
        </is>
      </c>
      <c r="C1663" s="2" t="str">
        <f>=HYPERLINK("https://xhslink.com/m/3X8IE2ojNsC", "https://xhslink.com/m/3X8IE2ojNsC")</f>
        <v>https://xhslink.com/m/3X8IE2ojNsC</v>
      </c>
      <c r="D1663"/>
      <c r="E1663">
        <v>766</v>
      </c>
      <c r="F1663">
        <v>488</v>
      </c>
      <c r="G1663"/>
      <c r="H1663"/>
      <c r="I1663">
        <v>200</v>
      </c>
      <c r="J1663"/>
      <c r="K1663" t="inlineStr">
        <is>
          <t>研究生考试</t>
        </is>
      </c>
      <c r="L1663"/>
      <c r="M1663" t="inlineStr">
        <is>
          <t>云图图书旗舰店</t>
        </is>
      </c>
      <c r="N1663">
        <v>8178</v>
      </c>
      <c r="O1663">
        <v>4.63</v>
      </c>
      <c r="P1663">
        <v>15000</v>
      </c>
      <c r="Q1663" t="inlineStr">
        <is>
          <t>68b55c67a50cd900010efb0e</t>
        </is>
      </c>
      <c r="R1663" t="inlineStr">
        <is>
          <t>🚫重复</t>
        </is>
      </c>
      <c r="S1663" t="inlineStr">
        <is>
          <t>考研资料</t>
        </is>
      </c>
      <c r="T1663" t="inlineStr">
        <is>
          <t>0.09</t>
        </is>
      </c>
      <c r="U1663" s="3">
        <v>46112.78107638889</v>
      </c>
      <c r="V1663" t="inlineStr">
        <is>
          <t>虚拟产品</t>
        </is>
      </c>
      <c r="W1663" s="3">
        <v>46052</v>
      </c>
      <c r="X1663" t="inlineStr">
        <is>
          <t>01</t>
        </is>
      </c>
      <c r="Y1663" t="inlineStr">
        <is>
          <t>2026-Q1</t>
        </is>
      </c>
    </row>
    <row r="1664" ht="38.25" customHeight="1">
      <c r="A1664" t="inlineStr">
        <is>
          <t>教 师 资 格 证 笔试科三重点三色速记笔记</t>
        </is>
      </c>
      <c r="B1664" t="inlineStr">
        <is>
          <t>recv9KVRcYi7A8.jpg</t>
        </is>
      </c>
      <c r="C1664" s="2" t="str">
        <f>=HYPERLINK("https://xhslink.com/m/3sosiCD97UE", "https://xhslink.com/m/3sosiCD97UE")</f>
        <v>https://xhslink.com/m/3sosiCD97UE</v>
      </c>
      <c r="D1664"/>
      <c r="E1664">
        <v>5654</v>
      </c>
      <c r="F1664">
        <v>19.8</v>
      </c>
      <c r="G1664"/>
      <c r="H1664"/>
      <c r="I1664">
        <v>2000</v>
      </c>
      <c r="J1664"/>
      <c r="K1664" t="inlineStr">
        <is>
          <t>教师资格培训</t>
        </is>
      </c>
      <c r="L1664" t="inlineStr">
        <is>
          <t>🔥低粉爆款</t>
        </is>
      </c>
      <c r="M1664" t="inlineStr">
        <is>
          <t>好运学 姐姐的店</t>
        </is>
      </c>
      <c r="N1664">
        <v>459</v>
      </c>
      <c r="O1664">
        <v>4.47</v>
      </c>
      <c r="P1664">
        <v>7033</v>
      </c>
      <c r="Q1664" t="inlineStr">
        <is>
          <t>686fdd5a64e96a0001c70011</t>
        </is>
      </c>
      <c r="R1664" t="inlineStr">
        <is>
          <t>🚫重复</t>
        </is>
      </c>
      <c r="S1664" t="inlineStr">
        <is>
          <t>教资资料</t>
        </is>
      </c>
      <c r="T1664" t="inlineStr">
        <is>
          <t>12.32</t>
        </is>
      </c>
      <c r="U1664" s="3">
        <v>46112.78107638889</v>
      </c>
      <c r="V1664" t="inlineStr">
        <is>
          <t>虚拟产品</t>
        </is>
      </c>
      <c r="W1664" s="3">
        <v>46052</v>
      </c>
      <c r="X1664" t="inlineStr">
        <is>
          <t>01</t>
        </is>
      </c>
      <c r="Y1664" t="inlineStr">
        <is>
          <t>2026-Q1</t>
        </is>
      </c>
    </row>
    <row r="1665" ht="38.25" customHeight="1">
      <c r="A1665" t="inlineStr">
        <is>
          <t>26上教资笔试资料包【重点笔记+往年真题+作文模版+思维导图】</t>
        </is>
      </c>
      <c r="B1665" t="inlineStr">
        <is>
          <t>recv9KVRcYABUK.jpg</t>
        </is>
      </c>
      <c r="C1665" s="2" t="str">
        <f>=HYPERLINK("https://xhslink.com/m/9zA69iTNyAr", "https://xhslink.com/m/9zA69iTNyAr")</f>
        <v>https://xhslink.com/m/9zA69iTNyAr</v>
      </c>
      <c r="D1665"/>
      <c r="E1665">
        <v>3709</v>
      </c>
      <c r="F1665">
        <v>5.5</v>
      </c>
      <c r="G1665"/>
      <c r="H1665"/>
      <c r="I1665">
        <v>3000</v>
      </c>
      <c r="J1665"/>
      <c r="K1665" t="inlineStr">
        <is>
          <t>教师资格培训</t>
        </is>
      </c>
      <c r="L1665" t="inlineStr">
        <is>
          <t>🔥低粉爆款</t>
        </is>
      </c>
      <c r="M1665" t="inlineStr">
        <is>
          <t>爱学习的婷学姐的店</t>
        </is>
      </c>
      <c r="N1665">
        <v>525</v>
      </c>
      <c r="O1665">
        <v>4.55</v>
      </c>
      <c r="P1665">
        <v>3707</v>
      </c>
      <c r="Q1665" t="inlineStr">
        <is>
          <t>693834e051b8c000010b9cdc</t>
        </is>
      </c>
      <c r="R1665" t="inlineStr">
        <is>
          <t>🚫重复</t>
        </is>
      </c>
      <c r="S1665" t="inlineStr">
        <is>
          <t>教资资料</t>
        </is>
      </c>
      <c r="T1665" t="inlineStr">
        <is>
          <t>7.06</t>
        </is>
      </c>
      <c r="U1665" s="3">
        <v>46112.78107638889</v>
      </c>
      <c r="V1665" t="inlineStr">
        <is>
          <t>虚拟产品</t>
        </is>
      </c>
      <c r="W1665" s="3">
        <v>46052</v>
      </c>
      <c r="X1665" t="inlineStr">
        <is>
          <t>01</t>
        </is>
      </c>
      <c r="Y1665" t="inlineStr">
        <is>
          <t>2026-Q1</t>
        </is>
      </c>
    </row>
    <row r="1666" ht="38.25" customHeight="1">
      <c r="A1666" t="inlineStr">
        <is>
          <t>2026教师资格证备考刷题题库激活码 官方正版激活码</t>
        </is>
      </c>
      <c r="B1666" t="inlineStr">
        <is>
          <t>recv9KVRcYWuvm.jpg</t>
        </is>
      </c>
      <c r="C1666" s="2" t="str">
        <f>=HYPERLINK("https://xhslink.com/m/7NKmYp4fumq", "https://xhslink.com/m/7NKmYp4fumq")</f>
        <v>https://xhslink.com/m/7NKmYp4fumq</v>
      </c>
      <c r="D1666"/>
      <c r="E1666">
        <v>3375</v>
      </c>
      <c r="F1666">
        <v>56.9</v>
      </c>
      <c r="G1666"/>
      <c r="H1666"/>
      <c r="I1666">
        <v>200</v>
      </c>
      <c r="J1666"/>
      <c r="K1666" t="inlineStr">
        <is>
          <t>教师资格培训</t>
        </is>
      </c>
      <c r="L1666"/>
      <c r="M1666" t="inlineStr">
        <is>
          <t>吃葡萄不吐皮a的店</t>
        </is>
      </c>
      <c r="N1666">
        <v>2163</v>
      </c>
      <c r="O1666">
        <v>4.39</v>
      </c>
      <c r="P1666">
        <v>6816</v>
      </c>
      <c r="Q1666" t="inlineStr">
        <is>
          <t>67b401b0db1dc1000108a919</t>
        </is>
      </c>
      <c r="R1666" t="inlineStr">
        <is>
          <t>🚫重复</t>
        </is>
      </c>
      <c r="S1666" t="inlineStr">
        <is>
          <t>教资资料</t>
        </is>
      </c>
      <c r="T1666" t="inlineStr">
        <is>
          <t>1.56</t>
        </is>
      </c>
      <c r="U1666" s="3">
        <v>46112.78107638889</v>
      </c>
      <c r="V1666" t="inlineStr">
        <is>
          <t>虚拟产品</t>
        </is>
      </c>
      <c r="W1666" s="3">
        <v>46052</v>
      </c>
      <c r="X1666" t="inlineStr">
        <is>
          <t>01</t>
        </is>
      </c>
      <c r="Y1666" t="inlineStr">
        <is>
          <t>2026-Q1</t>
        </is>
      </c>
    </row>
    <row r="1667" ht="38.25" customHeight="1">
      <c r="A1667" t="inlineStr">
        <is>
          <t>2026上半年教师资格证笔试数学语文英语美术体育音乐物理政治信息</t>
        </is>
      </c>
      <c r="B1667" t="inlineStr">
        <is>
          <t>recv9KVRcY0hhF.jpg</t>
        </is>
      </c>
      <c r="C1667" s="2" t="str">
        <f>=HYPERLINK("https://xhslink.com/m/8vN6vk3zERG", "https://xhslink.com/m/8vN6vk3zERG")</f>
        <v>https://xhslink.com/m/8vN6vk3zERG</v>
      </c>
      <c r="D1667"/>
      <c r="E1667">
        <v>2149</v>
      </c>
      <c r="F1667">
        <v>14.9</v>
      </c>
      <c r="G1667"/>
      <c r="H1667"/>
      <c r="I1667">
        <v>1000</v>
      </c>
      <c r="J1667"/>
      <c r="K1667" t="inlineStr">
        <is>
          <t>教师资格培训</t>
        </is>
      </c>
      <c r="L1667" t="inlineStr">
        <is>
          <t>🔥低粉爆款</t>
        </is>
      </c>
      <c r="M1667" t="inlineStr">
        <is>
          <t>教资社区的店</t>
        </is>
      </c>
      <c r="N1667">
        <v>191</v>
      </c>
      <c r="O1667">
        <v>3.76</v>
      </c>
      <c r="P1667">
        <v>2450</v>
      </c>
      <c r="Q1667" t="inlineStr">
        <is>
          <t>6868a6fa64e96a0001853d09</t>
        </is>
      </c>
      <c r="R1667" t="inlineStr">
        <is>
          <t>🚫重复</t>
        </is>
      </c>
      <c r="S1667" t="inlineStr">
        <is>
          <t>教资资料</t>
        </is>
      </c>
      <c r="T1667" t="inlineStr">
        <is>
          <t>11.25</t>
        </is>
      </c>
      <c r="U1667" s="3">
        <v>46112.78107638889</v>
      </c>
      <c r="V1667" t="inlineStr">
        <is>
          <t>虚拟产品</t>
        </is>
      </c>
      <c r="W1667" s="3">
        <v>46052</v>
      </c>
      <c r="X1667" t="inlineStr">
        <is>
          <t>01</t>
        </is>
      </c>
      <c r="Y1667" t="inlineStr">
        <is>
          <t>2026-Q1</t>
        </is>
      </c>
    </row>
    <row r="1668" ht="38.25" customHeight="1">
      <c r="A1668" t="inlineStr">
        <is>
          <t>26上最新教资笔试COCO资料包</t>
        </is>
      </c>
      <c r="B1668" t="inlineStr">
        <is>
          <t>recv9KVRcYGzBB.jpg</t>
        </is>
      </c>
      <c r="C1668" s="2" t="str">
        <f>=HYPERLINK("https://xhslink.com/m/7GvACxRFvo2", "https://xhslink.com/m/7GvACxRFvo2")</f>
        <v>https://xhslink.com/m/7GvACxRFvo2</v>
      </c>
      <c r="D1668"/>
      <c r="E1668">
        <v>770</v>
      </c>
      <c r="F1668">
        <v>5.99</v>
      </c>
      <c r="G1668"/>
      <c r="H1668"/>
      <c r="I1668">
        <v>700</v>
      </c>
      <c r="J1668"/>
      <c r="K1668" t="inlineStr">
        <is>
          <t>教师资格培训</t>
        </is>
      </c>
      <c r="L1668"/>
      <c r="M1668" t="inlineStr">
        <is>
          <t>LMsen森的店</t>
        </is>
      </c>
      <c r="N1668">
        <v>309</v>
      </c>
      <c r="O1668">
        <v>4.22</v>
      </c>
      <c r="P1668">
        <v>2665</v>
      </c>
      <c r="Q1668" t="inlineStr">
        <is>
          <t>6940254d4423c3000126e062</t>
        </is>
      </c>
      <c r="R1668" t="inlineStr">
        <is>
          <t>🚫重复</t>
        </is>
      </c>
      <c r="S1668" t="inlineStr">
        <is>
          <t>教资资料</t>
        </is>
      </c>
      <c r="T1668" t="inlineStr">
        <is>
          <t>2.49</t>
        </is>
      </c>
      <c r="U1668" s="3">
        <v>46112.78107638889</v>
      </c>
      <c r="V1668" t="inlineStr">
        <is>
          <t>虚拟产品</t>
        </is>
      </c>
      <c r="W1668" s="3">
        <v>46052</v>
      </c>
      <c r="X1668" t="inlineStr">
        <is>
          <t>01</t>
        </is>
      </c>
      <c r="Y1668" t="inlineStr">
        <is>
          <t>2026-Q1</t>
        </is>
      </c>
    </row>
    <row r="1669" ht="38.25" customHeight="1">
      <c r="A1669" t="inlineStr">
        <is>
          <t>26上教资笔试讲义资料</t>
        </is>
      </c>
      <c r="B1669" t="inlineStr">
        <is>
          <t>recv9KVRcYSgen.jpg</t>
        </is>
      </c>
      <c r="C1669" s="2" t="str">
        <f>=HYPERLINK("https://xhslink.com/m/9FzfzpqK2Ya", "https://xhslink.com/m/9FzfzpqK2Ya")</f>
        <v>https://xhslink.com/m/9FzfzpqK2Ya</v>
      </c>
      <c r="D1669"/>
      <c r="E1669">
        <v>709</v>
      </c>
      <c r="F1669">
        <v>4.99</v>
      </c>
      <c r="G1669"/>
      <c r="H1669"/>
      <c r="I1669">
        <v>600</v>
      </c>
      <c r="J1669"/>
      <c r="K1669" t="inlineStr">
        <is>
          <t>教师资格培训</t>
        </is>
      </c>
      <c r="L1669"/>
      <c r="M1669" t="inlineStr">
        <is>
          <t>上岸Kitty的店</t>
        </is>
      </c>
      <c r="N1669">
        <v>4927</v>
      </c>
      <c r="O1669">
        <v>4.62</v>
      </c>
      <c r="P1669">
        <v>16000</v>
      </c>
      <c r="Q1669" t="inlineStr">
        <is>
          <t>68688ed90bb4080001e71681</t>
        </is>
      </c>
      <c r="R1669" t="inlineStr">
        <is>
          <t>🚫重复</t>
        </is>
      </c>
      <c r="S1669" t="inlineStr">
        <is>
          <t>教资资料</t>
        </is>
      </c>
      <c r="T1669" t="inlineStr">
        <is>
          <t>0.14</t>
        </is>
      </c>
      <c r="U1669" s="3">
        <v>46112.78107638889</v>
      </c>
      <c r="V1669" t="inlineStr">
        <is>
          <t>虚拟产品</t>
        </is>
      </c>
      <c r="W1669" s="3">
        <v>46052</v>
      </c>
      <c r="X1669" t="inlineStr">
        <is>
          <t>01</t>
        </is>
      </c>
      <c r="Y1669" t="inlineStr">
        <is>
          <t>2026-Q1</t>
        </is>
      </c>
    </row>
    <row r="1670" ht="38.25" customHeight="1">
      <c r="A1670" t="inlineStr">
        <is>
          <t>高中英语教资面试真题（逐字稿+板书）</t>
        </is>
      </c>
      <c r="B1670" t="inlineStr">
        <is>
          <t>recv9KVRcYCdhO.jpg</t>
        </is>
      </c>
      <c r="C1670" s="2" t="str">
        <f>=HYPERLINK("https://xhslink.com/m/7k6p7GOHRl6", "https://xhslink.com/m/7k6p7GOHRl6")</f>
        <v>https://xhslink.com/m/7k6p7GOHRl6</v>
      </c>
      <c r="D1670"/>
      <c r="E1670">
        <v>437</v>
      </c>
      <c r="F1670">
        <v>130</v>
      </c>
      <c r="G1670"/>
      <c r="H1670"/>
      <c r="I1670">
        <v>200</v>
      </c>
      <c r="J1670"/>
      <c r="K1670" t="inlineStr">
        <is>
          <t>教师资格培训</t>
        </is>
      </c>
      <c r="L1670"/>
      <c r="M1670" t="inlineStr">
        <is>
          <t>小7的学习日记的店</t>
        </is>
      </c>
      <c r="N1670">
        <v>4371</v>
      </c>
      <c r="O1670">
        <v>4.59</v>
      </c>
      <c r="P1670">
        <v>2042</v>
      </c>
      <c r="Q1670" t="inlineStr">
        <is>
          <t>68d0fdd4f0063900013e90b5</t>
        </is>
      </c>
      <c r="R1670" t="inlineStr">
        <is>
          <t>🚫重复</t>
        </is>
      </c>
      <c r="S1670" t="inlineStr">
        <is>
          <t>教资资料</t>
        </is>
      </c>
      <c r="T1670" t="inlineStr">
        <is>
          <t>0.10</t>
        </is>
      </c>
      <c r="U1670" s="3">
        <v>46112.78107638889</v>
      </c>
      <c r="V1670" t="inlineStr">
        <is>
          <t>虚拟产品</t>
        </is>
      </c>
      <c r="W1670" s="3">
        <v>46052</v>
      </c>
      <c r="X1670" t="inlineStr">
        <is>
          <t>01</t>
        </is>
      </c>
      <c r="Y1670" t="inlineStr">
        <is>
          <t>2026-Q1</t>
        </is>
      </c>
    </row>
    <row r="1671" ht="38.25" customHeight="1">
      <c r="A1671" t="inlineStr">
        <is>
          <t>上岸熊 · 高中教资面试各科试讲真题题本+教案+逐字稿+答辩</t>
        </is>
      </c>
      <c r="B1671" t="inlineStr">
        <is>
          <t>recv9KVRcYpJB6.jpg</t>
        </is>
      </c>
      <c r="C1671" s="2" t="str">
        <f>=HYPERLINK("https://xhslink.com/m/7kSYxXtinOm", "https://xhslink.com/m/7kSYxXtinOm")</f>
        <v>https://xhslink.com/m/7kSYxXtinOm</v>
      </c>
      <c r="D1671"/>
      <c r="E1671">
        <v>365</v>
      </c>
      <c r="F1671">
        <v>59.8</v>
      </c>
      <c r="G1671"/>
      <c r="H1671"/>
      <c r="I1671">
        <v>300</v>
      </c>
      <c r="J1671"/>
      <c r="K1671" t="inlineStr">
        <is>
          <t>教师资格培训</t>
        </is>
      </c>
      <c r="L1671"/>
      <c r="M1671" t="inlineStr">
        <is>
          <t>小渔学长的店</t>
        </is>
      </c>
      <c r="N1671">
        <v>1208</v>
      </c>
      <c r="O1671">
        <v>4.01</v>
      </c>
      <c r="P1671">
        <v>12000</v>
      </c>
      <c r="Q1671" t="inlineStr">
        <is>
          <t>68ec6666702da10001b9257d</t>
        </is>
      </c>
      <c r="R1671" t="inlineStr">
        <is>
          <t>🚫重复</t>
        </is>
      </c>
      <c r="S1671" t="inlineStr">
        <is>
          <t>教资资料</t>
        </is>
      </c>
      <c r="T1671" t="inlineStr">
        <is>
          <t>0.30</t>
        </is>
      </c>
      <c r="U1671" s="3">
        <v>46112.78107638889</v>
      </c>
      <c r="V1671" t="inlineStr">
        <is>
          <t>虚拟产品</t>
        </is>
      </c>
      <c r="W1671" s="3">
        <v>46052</v>
      </c>
      <c r="X1671" t="inlineStr">
        <is>
          <t>01</t>
        </is>
      </c>
      <c r="Y1671" t="inlineStr">
        <is>
          <t>2026-Q1</t>
        </is>
      </c>
    </row>
    <row r="1672" ht="38.25" customHeight="1">
      <c r="A1672" t="inlineStr">
        <is>
          <t>小红书笔记采集分析智能体|笔记一键录入飞书多维表格</t>
        </is>
      </c>
      <c r="B1672" t="inlineStr">
        <is>
          <t>recv9KVRcY6dbS.jpg</t>
        </is>
      </c>
      <c r="C1672" s="2" t="str">
        <f>=HYPERLINK("https://xhslink.com/m/7vvcEjlFA4P", "https://xhslink.com/m/7vvcEjlFA4P")</f>
        <v>https://xhslink.com/m/7vvcEjlFA4P</v>
      </c>
      <c r="D1672"/>
      <c r="E1672">
        <v>1438</v>
      </c>
      <c r="F1672">
        <v>59.9</v>
      </c>
      <c r="G1672"/>
      <c r="H1672"/>
      <c r="I1672">
        <v>500</v>
      </c>
      <c r="J1672"/>
      <c r="K1672" t="inlineStr">
        <is>
          <t>多维表格</t>
        </is>
      </c>
      <c r="L1672"/>
      <c r="M1672" t="inlineStr">
        <is>
          <t>小key的店</t>
        </is>
      </c>
      <c r="N1672">
        <v>1492</v>
      </c>
      <c r="O1672">
        <v>4.25</v>
      </c>
      <c r="P1672">
        <v>1810</v>
      </c>
      <c r="Q1672" t="inlineStr">
        <is>
          <t>68419f0fd9a2590001b7d32a</t>
        </is>
      </c>
      <c r="R1672"/>
      <c r="S1672" t="inlineStr">
        <is>
          <t>软件应用</t>
        </is>
      </c>
      <c r="T1672" t="inlineStr">
        <is>
          <t>0.96</t>
        </is>
      </c>
      <c r="U1672" s="3">
        <v>46112.78107638889</v>
      </c>
      <c r="V1672" t="inlineStr">
        <is>
          <t>虚拟产品</t>
        </is>
      </c>
      <c r="W1672" s="3">
        <v>46052</v>
      </c>
      <c r="X1672" t="inlineStr">
        <is>
          <t>01</t>
        </is>
      </c>
      <c r="Y1672" t="inlineStr">
        <is>
          <t>2026-Q1</t>
        </is>
      </c>
    </row>
    <row r="1673" ht="38.25" customHeight="1">
      <c r="A1673" t="inlineStr">
        <is>
          <t>小红书助手 · 快捷指令 · 保存原视频图片实况Live图 · 备忘录</t>
        </is>
      </c>
      <c r="B1673" t="inlineStr">
        <is>
          <t>recv9KVRcYXkdS.jpg</t>
        </is>
      </c>
      <c r="C1673" s="2" t="str">
        <f>=HYPERLINK("https://xhslink.com/m/8h2hCp5c2mn", "https://xhslink.com/m/8h2hCp5c2mn")</f>
        <v>https://xhslink.com/m/8h2hCp5c2mn</v>
      </c>
      <c r="D1673"/>
      <c r="E1673">
        <v>5402</v>
      </c>
      <c r="F1673">
        <v>24.9</v>
      </c>
      <c r="G1673"/>
      <c r="H1673"/>
      <c r="I1673">
        <v>300</v>
      </c>
      <c r="J1673"/>
      <c r="K1673" t="inlineStr">
        <is>
          <t>快捷指令</t>
        </is>
      </c>
      <c r="L1673"/>
      <c r="M1673" t="inlineStr">
        <is>
          <t>争取明年开大G的店</t>
        </is>
      </c>
      <c r="N1673">
        <v>2720</v>
      </c>
      <c r="O1673">
        <v>4.62</v>
      </c>
      <c r="P1673">
        <v>22000</v>
      </c>
      <c r="Q1673" t="inlineStr">
        <is>
          <t>66d81beb0cf91500014144df</t>
        </is>
      </c>
      <c r="R1673" t="inlineStr">
        <is>
          <t>🚫重复</t>
        </is>
      </c>
      <c r="S1673" t="inlineStr">
        <is>
          <t>软件应用</t>
        </is>
      </c>
      <c r="T1673" t="inlineStr">
        <is>
          <t>1.99</t>
        </is>
      </c>
      <c r="U1673" s="3">
        <v>46112.78107638889</v>
      </c>
      <c r="V1673" t="inlineStr">
        <is>
          <t>虚拟产品</t>
        </is>
      </c>
      <c r="W1673" s="3">
        <v>46052</v>
      </c>
      <c r="X1673" t="inlineStr">
        <is>
          <t>01</t>
        </is>
      </c>
      <c r="Y1673" t="inlineStr">
        <is>
          <t>2026-Q1</t>
        </is>
      </c>
    </row>
    <row r="1674" ht="38.25" customHeight="1">
      <c r="A1674" t="inlineStr">
        <is>
          <t>DY 快捷指令 无水印保存 | 高清视频图片 iphone专用 无需下载APP</t>
        </is>
      </c>
      <c r="B1674" t="inlineStr">
        <is>
          <t>recv9KVRcYJRr4.jpg</t>
        </is>
      </c>
      <c r="C1674" s="2" t="str">
        <f>=HYPERLINK("https://xhslink.com/m/7ksYLgaLFII", "https://xhslink.com/m/7ksYLgaLFII")</f>
        <v>https://xhslink.com/m/7ksYLgaLFII</v>
      </c>
      <c r="D1674"/>
      <c r="E1674">
        <v>2671</v>
      </c>
      <c r="F1674">
        <v>4.9</v>
      </c>
      <c r="G1674"/>
      <c r="H1674"/>
      <c r="I1674">
        <v>300</v>
      </c>
      <c r="J1674"/>
      <c r="K1674" t="inlineStr">
        <is>
          <t>快捷指令</t>
        </is>
      </c>
      <c r="L1674" t="inlineStr">
        <is>
          <t>🔥低粉爆款</t>
        </is>
      </c>
      <c r="M1674" t="inlineStr">
        <is>
          <t>望木大G的店</t>
        </is>
      </c>
      <c r="N1674">
        <v>336</v>
      </c>
      <c r="O1674">
        <v>4.01</v>
      </c>
      <c r="P1674">
        <v>8596</v>
      </c>
      <c r="Q1674" t="inlineStr">
        <is>
          <t>6798c9b929b9f70001ff2208</t>
        </is>
      </c>
      <c r="R1674"/>
      <c r="S1674" t="inlineStr">
        <is>
          <t>软件应用</t>
        </is>
      </c>
      <c r="T1674" t="inlineStr">
        <is>
          <t>7.95</t>
        </is>
      </c>
      <c r="U1674" s="3">
        <v>46112.78107638889</v>
      </c>
      <c r="V1674" t="inlineStr">
        <is>
          <t>虚拟产品</t>
        </is>
      </c>
      <c r="W1674" s="3">
        <v>46052</v>
      </c>
      <c r="X1674" t="inlineStr">
        <is>
          <t>01</t>
        </is>
      </c>
      <c r="Y1674" t="inlineStr">
        <is>
          <t>2026-Q1</t>
        </is>
      </c>
    </row>
    <row r="1675" ht="38.25" customHeight="1">
      <c r="A1675" t="inlineStr">
        <is>
          <t>Notion模版｜2026年度计划体系·无使用时间限制·目标拆解电脑最佳</t>
        </is>
      </c>
      <c r="B1675" t="inlineStr">
        <is>
          <t>recv9KVRcYhsdU.jpg</t>
        </is>
      </c>
      <c r="C1675" s="2" t="str">
        <f>=HYPERLINK("https://xhslink.com/m/3VnMBBDPT70", "https://xhslink.com/m/3VnMBBDPT70")</f>
        <v>https://xhslink.com/m/3VnMBBDPT70</v>
      </c>
      <c r="D1675"/>
      <c r="E1675">
        <v>596</v>
      </c>
      <c r="F1675">
        <v>35</v>
      </c>
      <c r="G1675"/>
      <c r="H1675"/>
      <c r="I1675">
        <v>500</v>
      </c>
      <c r="J1675"/>
      <c r="K1675" t="inlineStr">
        <is>
          <t>notion模板</t>
        </is>
      </c>
      <c r="L1675"/>
      <c r="M1675" t="inlineStr">
        <is>
          <t>肥汪卷的店</t>
        </is>
      </c>
      <c r="N1675">
        <v>34000</v>
      </c>
      <c r="O1675">
        <v>4.53</v>
      </c>
      <c r="P1675">
        <v>15000</v>
      </c>
      <c r="Q1675" t="inlineStr">
        <is>
          <t>6936c37cc84a1600016bc6a3</t>
        </is>
      </c>
      <c r="R1675" t="inlineStr">
        <is>
          <t>🚫重复</t>
        </is>
      </c>
      <c r="S1675" t="inlineStr">
        <is>
          <t>无匹配类别</t>
        </is>
      </c>
      <c r="T1675" t="inlineStr">
        <is>
          <t>0.02</t>
        </is>
      </c>
      <c r="U1675" s="3">
        <v>46112.78107638889</v>
      </c>
      <c r="V1675" t="inlineStr">
        <is>
          <t>虚拟产品</t>
        </is>
      </c>
      <c r="W1675" s="3">
        <v>46052</v>
      </c>
      <c r="X1675" t="inlineStr">
        <is>
          <t>01</t>
        </is>
      </c>
      <c r="Y1675" t="inlineStr">
        <is>
          <t>2026-Q1</t>
        </is>
      </c>
    </row>
    <row r="1676" ht="38.25" customHeight="1">
      <c r="A1676" t="inlineStr">
        <is>
          <t>软件Notion｜2026年度计划模版·时间管理·生活可视化</t>
        </is>
      </c>
      <c r="B1676" t="inlineStr">
        <is>
          <t>recv9KVRcYJ0VB.jpg</t>
        </is>
      </c>
      <c r="C1676" s="2" t="str">
        <f>=HYPERLINK("https://xhslink.com/m/3QnvGusqURK", "https://xhslink.com/m/3QnvGusqURK")</f>
        <v>https://xhslink.com/m/3QnvGusqURK</v>
      </c>
      <c r="D1676"/>
      <c r="E1676">
        <v>302</v>
      </c>
      <c r="F1676">
        <v>8.9</v>
      </c>
      <c r="G1676"/>
      <c r="H1676"/>
      <c r="I1676">
        <v>200</v>
      </c>
      <c r="J1676"/>
      <c r="K1676" t="inlineStr">
        <is>
          <t>notion模板</t>
        </is>
      </c>
      <c r="L1676"/>
      <c r="M1676" t="inlineStr">
        <is>
          <t>Moon会努力摘星星的店</t>
        </is>
      </c>
      <c r="N1676">
        <v>3920</v>
      </c>
      <c r="O1676">
        <v>4.55</v>
      </c>
      <c r="P1676">
        <v>1404</v>
      </c>
      <c r="Q1676" t="inlineStr">
        <is>
          <t>677665ad34f590000151febb</t>
        </is>
      </c>
      <c r="R1676"/>
      <c r="S1676" t="inlineStr">
        <is>
          <t>软件应用</t>
        </is>
      </c>
      <c r="T1676" t="inlineStr">
        <is>
          <t>0.08</t>
        </is>
      </c>
      <c r="U1676" s="3">
        <v>46112.78107638889</v>
      </c>
      <c r="V1676" t="inlineStr">
        <is>
          <t>虚拟产品</t>
        </is>
      </c>
      <c r="W1676" s="3">
        <v>46052</v>
      </c>
      <c r="X1676" t="inlineStr">
        <is>
          <t>01</t>
        </is>
      </c>
      <c r="Y1676" t="inlineStr">
        <is>
          <t>2026-Q1</t>
        </is>
      </c>
    </row>
    <row r="1677" ht="38.25" customHeight="1">
      <c r="A1677" t="inlineStr">
        <is>
          <t>独立老师工作管理系统 | 飞书模板 （包含模板+视频教程）</t>
        </is>
      </c>
      <c r="B1677" t="inlineStr">
        <is>
          <t>recv9KVRcYAVUb.jpg</t>
        </is>
      </c>
      <c r="C1677" s="2" t="str">
        <f>=HYPERLINK("https://xhslink.com/m/1hkoSCc9ObY", "https://xhslink.com/m/1hkoSCc9ObY")</f>
        <v>https://xhslink.com/m/1hkoSCc9ObY</v>
      </c>
      <c r="D1677"/>
      <c r="E1677">
        <v>934</v>
      </c>
      <c r="F1677">
        <v>69</v>
      </c>
      <c r="G1677"/>
      <c r="H1677"/>
      <c r="I1677">
        <v>400</v>
      </c>
      <c r="J1677"/>
      <c r="K1677" t="inlineStr">
        <is>
          <t>飞书模版</t>
        </is>
      </c>
      <c r="L1677"/>
      <c r="M1677" t="inlineStr">
        <is>
          <t>安AN的独立笔记的店</t>
        </is>
      </c>
      <c r="N1677">
        <v>1487</v>
      </c>
      <c r="O1677">
        <v>4.49</v>
      </c>
      <c r="P1677">
        <v>1292</v>
      </c>
      <c r="Q1677" t="inlineStr">
        <is>
          <t>686d12cad16ded0001634c7e</t>
        </is>
      </c>
      <c r="R1677" t="inlineStr">
        <is>
          <t>🚫重复</t>
        </is>
      </c>
      <c r="S1677" t="inlineStr">
        <is>
          <t>老师资料</t>
        </is>
      </c>
      <c r="T1677" t="inlineStr">
        <is>
          <t>0.63</t>
        </is>
      </c>
      <c r="U1677" s="3">
        <v>46112.78107638889</v>
      </c>
      <c r="V1677" t="inlineStr">
        <is>
          <t>虚拟产品</t>
        </is>
      </c>
      <c r="W1677" s="3">
        <v>46052</v>
      </c>
      <c r="X1677" t="inlineStr">
        <is>
          <t>01</t>
        </is>
      </c>
      <c r="Y1677" t="inlineStr">
        <is>
          <t>2026-Q1</t>
        </is>
      </c>
    </row>
    <row r="1678" ht="38.25" customHeight="1">
      <c r="A1678" t="inlineStr">
        <is>
          <t>简约大厂简历-研究生留学生求职简历-24h自动发货客服聊天框</t>
        </is>
      </c>
      <c r="B1678" t="inlineStr">
        <is>
          <t>recv9KVRcYa0Zy.jpg</t>
        </is>
      </c>
      <c r="C1678" s="2" t="str">
        <f>=HYPERLINK("https://xhslink.com/m/8K63OqkO1iE", "https://xhslink.com/m/8K63OqkO1iE")</f>
        <v>https://xhslink.com/m/8K63OqkO1iE</v>
      </c>
      <c r="D1678"/>
      <c r="E1678">
        <v>20000</v>
      </c>
      <c r="F1678">
        <v>2.98</v>
      </c>
      <c r="G1678"/>
      <c r="H1678"/>
      <c r="I1678">
        <v>5000</v>
      </c>
      <c r="J1678"/>
      <c r="K1678" t="inlineStr">
        <is>
          <t>简历</t>
        </is>
      </c>
      <c r="L1678"/>
      <c r="M1678" t="inlineStr">
        <is>
          <t>大学生求职简历模板的店</t>
        </is>
      </c>
      <c r="N1678">
        <v>20000</v>
      </c>
      <c r="O1678">
        <v>4.64</v>
      </c>
      <c r="P1678">
        <v>61000</v>
      </c>
      <c r="Q1678" t="inlineStr">
        <is>
          <t>67a70dea43e42a00012b0375</t>
        </is>
      </c>
      <c r="R1678" t="inlineStr">
        <is>
          <t>🚫重复</t>
        </is>
      </c>
      <c r="S1678" t="inlineStr">
        <is>
          <t>求职面试/职场</t>
        </is>
      </c>
      <c r="T1678" t="inlineStr">
        <is>
          <t>1.00</t>
        </is>
      </c>
      <c r="U1678" s="3">
        <v>46112.78107638889</v>
      </c>
      <c r="V1678" t="inlineStr">
        <is>
          <t>虚拟产品</t>
        </is>
      </c>
      <c r="W1678" s="3">
        <v>46052</v>
      </c>
      <c r="X1678" t="inlineStr">
        <is>
          <t>01</t>
        </is>
      </c>
      <c r="Y1678" t="inlineStr">
        <is>
          <t>2026-Q1</t>
        </is>
      </c>
    </row>
    <row r="1679" ht="38.25" customHeight="1">
      <c r="A1679" t="inlineStr">
        <is>
          <t>个人简历原创GQ05模板电子版可编辑修改简历模板（定制电子版）</t>
        </is>
      </c>
      <c r="B1679" t="inlineStr">
        <is>
          <t>recv9KVRcYKW4h.jpg</t>
        </is>
      </c>
      <c r="C1679" s="2" t="str">
        <f>=HYPERLINK("https://xhslink.com/m/18RQUPjm4V7", "https://xhslink.com/m/18RQUPjm4V7")</f>
        <v>https://xhslink.com/m/18RQUPjm4V7</v>
      </c>
      <c r="D1679"/>
      <c r="E1679">
        <v>1910</v>
      </c>
      <c r="F1679">
        <v>4.9</v>
      </c>
      <c r="G1679"/>
      <c r="H1679"/>
      <c r="I1679">
        <v>300</v>
      </c>
      <c r="J1679"/>
      <c r="K1679" t="inlineStr">
        <is>
          <t>简历</t>
        </is>
      </c>
      <c r="L1679"/>
      <c r="M1679" t="inlineStr">
        <is>
          <t>镜子简历的店</t>
        </is>
      </c>
      <c r="N1679">
        <v>3342</v>
      </c>
      <c r="O1679">
        <v>4.54</v>
      </c>
      <c r="P1679">
        <v>31000</v>
      </c>
      <c r="Q1679" t="inlineStr">
        <is>
          <t>67d685b55339580001079bbd</t>
        </is>
      </c>
      <c r="R1679"/>
      <c r="S1679" t="inlineStr">
        <is>
          <t>求职面试/职场</t>
        </is>
      </c>
      <c r="T1679" t="inlineStr">
        <is>
          <t>0.57</t>
        </is>
      </c>
      <c r="U1679" s="3">
        <v>46112.78107638889</v>
      </c>
      <c r="V1679" t="inlineStr">
        <is>
          <t>虚拟产品</t>
        </is>
      </c>
      <c r="W1679" s="3">
        <v>46052</v>
      </c>
      <c r="X1679" t="inlineStr">
        <is>
          <t>01</t>
        </is>
      </c>
      <c r="Y1679" t="inlineStr">
        <is>
          <t>2026-Q1</t>
        </is>
      </c>
    </row>
    <row r="1680" ht="38.25" customHeight="1">
      <c r="A1680" t="inlineStr">
        <is>
          <t>简历优化/简历代制作 —— 先点客服窗口，沟通好后再下单哈！</t>
        </is>
      </c>
      <c r="B1680" t="inlineStr">
        <is>
          <t>recv9KVRcYETG2.jpg</t>
        </is>
      </c>
      <c r="C1680" s="2" t="str">
        <f>=HYPERLINK("https://xhslink.com/m/8XyaxnfM0Aa", "https://xhslink.com/m/8XyaxnfM0Aa")</f>
        <v>https://xhslink.com/m/8XyaxnfM0Aa</v>
      </c>
      <c r="D1680"/>
      <c r="E1680">
        <v>1040</v>
      </c>
      <c r="F1680">
        <v>139</v>
      </c>
      <c r="G1680"/>
      <c r="H1680"/>
      <c r="I1680">
        <v>300</v>
      </c>
      <c r="J1680"/>
      <c r="K1680" t="inlineStr">
        <is>
          <t>简历</t>
        </is>
      </c>
      <c r="L1680"/>
      <c r="M1680" t="inlineStr">
        <is>
          <t>专业简历制作优化的店</t>
        </is>
      </c>
      <c r="N1680">
        <v>22000</v>
      </c>
      <c r="O1680">
        <v>4.52</v>
      </c>
      <c r="P1680">
        <v>1048</v>
      </c>
      <c r="Q1680" t="inlineStr">
        <is>
          <t>68c58118c728400001d7f68c</t>
        </is>
      </c>
      <c r="R1680" t="inlineStr">
        <is>
          <t>🚫重复</t>
        </is>
      </c>
      <c r="S1680" t="inlineStr">
        <is>
          <t>求职面试/职场</t>
        </is>
      </c>
      <c r="T1680" t="inlineStr">
        <is>
          <t>0.05</t>
        </is>
      </c>
      <c r="U1680" s="3">
        <v>46112.78107638889</v>
      </c>
      <c r="V1680" t="inlineStr">
        <is>
          <t>虚拟产品</t>
        </is>
      </c>
      <c r="W1680" s="3">
        <v>46052</v>
      </c>
      <c r="X1680" t="inlineStr">
        <is>
          <t>01</t>
        </is>
      </c>
      <c r="Y1680" t="inlineStr">
        <is>
          <t>2026-Q1</t>
        </is>
      </c>
    </row>
    <row r="1681" ht="38.25" customHeight="1">
      <c r="A1681" t="inlineStr">
        <is>
          <t>BGJL-60 超简约清新万能通用应届生大学生校招社招个人简历表模板</t>
        </is>
      </c>
      <c r="B1681" t="inlineStr">
        <is>
          <t>recv9KVRcYLt3G.jpg</t>
        </is>
      </c>
      <c r="C1681" s="2" t="str">
        <f>=HYPERLINK("https://xhslink.com/m/3JRUXCZ21DP", "https://xhslink.com/m/3JRUXCZ21DP")</f>
        <v>https://xhslink.com/m/3JRUXCZ21DP</v>
      </c>
      <c r="D1681"/>
      <c r="E1681">
        <v>865</v>
      </c>
      <c r="F1681">
        <v>3.88</v>
      </c>
      <c r="G1681"/>
      <c r="H1681"/>
      <c r="I1681">
        <v>800</v>
      </c>
      <c r="J1681"/>
      <c r="K1681" t="inlineStr">
        <is>
          <t>简历</t>
        </is>
      </c>
      <c r="L1681"/>
      <c r="M1681" t="inlineStr">
        <is>
          <t>阿飞简历的店</t>
        </is>
      </c>
      <c r="N1681">
        <v>1721</v>
      </c>
      <c r="O1681">
        <v>4.43</v>
      </c>
      <c r="P1681">
        <v>10000</v>
      </c>
      <c r="Q1681" t="inlineStr">
        <is>
          <t>68f640a9cdf9d60001074022</t>
        </is>
      </c>
      <c r="R1681" t="inlineStr">
        <is>
          <t>🚫重复</t>
        </is>
      </c>
      <c r="S1681" t="inlineStr">
        <is>
          <t>求职面试/职场</t>
        </is>
      </c>
      <c r="T1681" t="inlineStr">
        <is>
          <t>0.50</t>
        </is>
      </c>
      <c r="U1681" s="3">
        <v>46112.78107638889</v>
      </c>
      <c r="V1681" t="inlineStr">
        <is>
          <t>虚拟产品</t>
        </is>
      </c>
      <c r="W1681" s="3">
        <v>46052</v>
      </c>
      <c r="X1681" t="inlineStr">
        <is>
          <t>01</t>
        </is>
      </c>
      <c r="Y1681" t="inlineStr">
        <is>
          <t>2026-Q1</t>
        </is>
      </c>
    </row>
    <row r="1682" ht="38.25" customHeight="1">
      <c r="A1682" t="inlineStr">
        <is>
          <t>【前大厂HR 现C9博士】在线辅导改简历【有库存就可拍】【定制】</t>
        </is>
      </c>
      <c r="B1682" t="inlineStr">
        <is>
          <t>recv9KVRcYqLbv.jpg</t>
        </is>
      </c>
      <c r="C1682" s="2" t="str">
        <f>=HYPERLINK("https://xhslink.com/m/9XOMm56bduD", "https://xhslink.com/m/9XOMm56bduD")</f>
        <v>https://xhslink.com/m/9XOMm56bduD</v>
      </c>
      <c r="D1682"/>
      <c r="E1682">
        <v>718</v>
      </c>
      <c r="F1682">
        <v>179.9</v>
      </c>
      <c r="G1682"/>
      <c r="H1682"/>
      <c r="I1682">
        <v>300</v>
      </c>
      <c r="J1682"/>
      <c r="K1682" t="inlineStr">
        <is>
          <t>简历</t>
        </is>
      </c>
      <c r="L1682"/>
      <c r="M1682" t="inlineStr">
        <is>
          <t>浪浪想吃炸鸡的店</t>
        </is>
      </c>
      <c r="N1682">
        <v>1457</v>
      </c>
      <c r="O1682">
        <v>4.48</v>
      </c>
      <c r="P1682">
        <v>998</v>
      </c>
      <c r="Q1682" t="inlineStr">
        <is>
          <t>68b5377cf38f970001ecd264</t>
        </is>
      </c>
      <c r="R1682" t="inlineStr">
        <is>
          <t>🚫重复</t>
        </is>
      </c>
      <c r="S1682" t="inlineStr">
        <is>
          <t>求职面试/职场</t>
        </is>
      </c>
      <c r="T1682" t="inlineStr">
        <is>
          <t>0.49</t>
        </is>
      </c>
      <c r="U1682" s="3">
        <v>46112.78107638889</v>
      </c>
      <c r="V1682" t="inlineStr">
        <is>
          <t>虚拟产品</t>
        </is>
      </c>
      <c r="W1682" s="3">
        <v>46052</v>
      </c>
      <c r="X1682" t="inlineStr">
        <is>
          <t>01</t>
        </is>
      </c>
      <c r="Y1682" t="inlineStr">
        <is>
          <t>2026-Q1</t>
        </is>
      </c>
    </row>
    <row r="1683" ht="38.25" customHeight="1">
      <c r="A1683" t="inlineStr">
        <is>
          <t>【2025年春】二下语文大单元任务群合集</t>
        </is>
      </c>
      <c r="B1683" t="inlineStr">
        <is>
          <t>recv9KVRcYYnLE.jpg</t>
        </is>
      </c>
      <c r="C1683" s="2" t="str">
        <f>=HYPERLINK("https://xhslink.com/m/72pDVDjsCCb", "https://xhslink.com/m/72pDVDjsCCb")</f>
        <v>https://xhslink.com/m/72pDVDjsCCb</v>
      </c>
      <c r="D1683"/>
      <c r="E1683">
        <v>8131</v>
      </c>
      <c r="F1683">
        <v>65.96</v>
      </c>
      <c r="G1683"/>
      <c r="H1683"/>
      <c r="I1683">
        <v>400</v>
      </c>
      <c r="J1683"/>
      <c r="K1683" t="inlineStr">
        <is>
          <t>语文课件</t>
        </is>
      </c>
      <c r="L1683"/>
      <c r="M1683" t="inlineStr">
        <is>
          <t>C加教育咨询的店</t>
        </is>
      </c>
      <c r="N1683">
        <v>29000</v>
      </c>
      <c r="O1683">
        <v>4.51</v>
      </c>
      <c r="P1683">
        <v>87000</v>
      </c>
      <c r="Q1683" t="inlineStr">
        <is>
          <t>679266c9e437e40001b243c6</t>
        </is>
      </c>
      <c r="R1683" t="inlineStr">
        <is>
          <t>🚫重复</t>
        </is>
      </c>
      <c r="S1683" t="inlineStr">
        <is>
          <t>中小学教辅/教材</t>
        </is>
      </c>
      <c r="T1683" t="inlineStr">
        <is>
          <t>0.28</t>
        </is>
      </c>
      <c r="U1683" s="3">
        <v>46112.78107638889</v>
      </c>
      <c r="V1683" t="inlineStr">
        <is>
          <t>虚拟产品</t>
        </is>
      </c>
      <c r="W1683" s="3">
        <v>46052</v>
      </c>
      <c r="X1683" t="inlineStr">
        <is>
          <t>01</t>
        </is>
      </c>
      <c r="Y1683" t="inlineStr">
        <is>
          <t>2026-Q1</t>
        </is>
      </c>
    </row>
    <row r="1684" ht="38.25" customHeight="1">
      <c r="A1684" t="inlineStr">
        <is>
          <t>2025新版三年级语文上册任务群课件ppt+教案</t>
        </is>
      </c>
      <c r="B1684" t="inlineStr">
        <is>
          <t>recv9KVRcYnjvr.jpg</t>
        </is>
      </c>
      <c r="C1684" s="2" t="str">
        <f>=HYPERLINK("https://xhslink.com/m/3pncSsVup0E", "https://xhslink.com/m/3pncSsVup0E")</f>
        <v>https://xhslink.com/m/3pncSsVup0E</v>
      </c>
      <c r="D1684"/>
      <c r="E1684">
        <v>5018</v>
      </c>
      <c r="F1684">
        <v>128</v>
      </c>
      <c r="G1684"/>
      <c r="H1684"/>
      <c r="I1684">
        <v>3000</v>
      </c>
      <c r="J1684"/>
      <c r="K1684" t="inlineStr">
        <is>
          <t>语文课件</t>
        </is>
      </c>
      <c r="L1684"/>
      <c r="M1684" t="inlineStr">
        <is>
          <t>卢月如的店</t>
        </is>
      </c>
      <c r="N1684">
        <v>2312</v>
      </c>
      <c r="O1684">
        <v>4.5</v>
      </c>
      <c r="P1684">
        <v>15000</v>
      </c>
      <c r="Q1684" t="inlineStr">
        <is>
          <t>68b024400c85cc00019bfa3d</t>
        </is>
      </c>
      <c r="R1684" t="inlineStr">
        <is>
          <t>🚫重复</t>
        </is>
      </c>
      <c r="S1684" t="inlineStr">
        <is>
          <t>中小学教辅/教材</t>
        </is>
      </c>
      <c r="T1684" t="inlineStr">
        <is>
          <t>2.17</t>
        </is>
      </c>
      <c r="U1684" s="3">
        <v>46112.78107638889</v>
      </c>
      <c r="V1684" t="inlineStr">
        <is>
          <t>虚拟产品</t>
        </is>
      </c>
      <c r="W1684" s="3">
        <v>46052</v>
      </c>
      <c r="X1684" t="inlineStr">
        <is>
          <t>01</t>
        </is>
      </c>
      <c r="Y1684" t="inlineStr">
        <is>
          <t>2026-Q1</t>
        </is>
      </c>
    </row>
    <row r="1685" ht="38.25" customHeight="1">
      <c r="A1685" t="inlineStr">
        <is>
          <t>【2025秋季新版】四上语文任务群课件+教案|下方选择你要的课文</t>
        </is>
      </c>
      <c r="B1685" t="inlineStr">
        <is>
          <t>recv9KVRcYoK42.jpg</t>
        </is>
      </c>
      <c r="C1685" s="2" t="str">
        <f>=HYPERLINK("https://xhslink.com/m/4nXvHHr1noT", "https://xhslink.com/m/4nXvHHr1noT")</f>
        <v>https://xhslink.com/m/4nXvHHr1noT</v>
      </c>
      <c r="D1685"/>
      <c r="E1685">
        <v>3615</v>
      </c>
      <c r="F1685">
        <v>128</v>
      </c>
      <c r="G1685"/>
      <c r="H1685"/>
      <c r="I1685">
        <v>1000</v>
      </c>
      <c r="J1685"/>
      <c r="K1685" t="inlineStr">
        <is>
          <t>语文课件</t>
        </is>
      </c>
      <c r="L1685"/>
      <c r="M1685" t="inlineStr">
        <is>
          <t>卢月如的店</t>
        </is>
      </c>
      <c r="N1685">
        <v>2312</v>
      </c>
      <c r="O1685">
        <v>4.5</v>
      </c>
      <c r="P1685">
        <v>15000</v>
      </c>
      <c r="Q1685" t="inlineStr">
        <is>
          <t>68b826697675b40001f03757</t>
        </is>
      </c>
      <c r="R1685" t="inlineStr">
        <is>
          <t>🚫重复</t>
        </is>
      </c>
      <c r="S1685" t="inlineStr">
        <is>
          <t>中小学教辅/教材</t>
        </is>
      </c>
      <c r="T1685" t="inlineStr">
        <is>
          <t>1.56</t>
        </is>
      </c>
      <c r="U1685" s="3">
        <v>46112.78107638889</v>
      </c>
      <c r="V1685" t="inlineStr">
        <is>
          <t>虚拟产品</t>
        </is>
      </c>
      <c r="W1685" s="3">
        <v>46052</v>
      </c>
      <c r="X1685" t="inlineStr">
        <is>
          <t>01</t>
        </is>
      </c>
      <c r="Y1685" t="inlineStr">
        <is>
          <t>2026-Q1</t>
        </is>
      </c>
    </row>
    <row r="1686" ht="38.25" customHeight="1">
      <c r="A1686" t="inlineStr">
        <is>
          <t>初中语文课前“微听写”课件（人教版部编版）</t>
        </is>
      </c>
      <c r="B1686" t="inlineStr">
        <is>
          <t>recv9KVRcYFydZ.jpg</t>
        </is>
      </c>
      <c r="C1686" s="2" t="str">
        <f>=HYPERLINK("https://xhslink.com/m/Anxhb7gDrCI", "https://xhslink.com/m/Anxhb7gDrCI")</f>
        <v>https://xhslink.com/m/Anxhb7gDrCI</v>
      </c>
      <c r="D1686"/>
      <c r="E1686">
        <v>2969</v>
      </c>
      <c r="F1686">
        <v>45.9</v>
      </c>
      <c r="G1686"/>
      <c r="H1686"/>
      <c r="I1686">
        <v>200</v>
      </c>
      <c r="J1686"/>
      <c r="K1686" t="inlineStr">
        <is>
          <t>语文课件</t>
        </is>
      </c>
      <c r="L1686"/>
      <c r="M1686" t="inlineStr">
        <is>
          <t>教语文的葭葭子的店</t>
        </is>
      </c>
      <c r="N1686">
        <v>13000</v>
      </c>
      <c r="O1686">
        <v>4.54</v>
      </c>
      <c r="P1686">
        <v>14000</v>
      </c>
      <c r="Q1686" t="inlineStr">
        <is>
          <t>674bf388ada6590001c269b7</t>
        </is>
      </c>
      <c r="R1686" t="inlineStr">
        <is>
          <t>🚫重复</t>
        </is>
      </c>
      <c r="S1686" t="inlineStr">
        <is>
          <t>中小学教辅/教材</t>
        </is>
      </c>
      <c r="T1686" t="inlineStr">
        <is>
          <t>0.23</t>
        </is>
      </c>
      <c r="U1686" s="3">
        <v>46112.78107638889</v>
      </c>
      <c r="V1686" t="inlineStr">
        <is>
          <t>虚拟产品</t>
        </is>
      </c>
      <c r="W1686" s="3">
        <v>46052</v>
      </c>
      <c r="X1686" t="inlineStr">
        <is>
          <t>01</t>
        </is>
      </c>
      <c r="Y1686" t="inlineStr">
        <is>
          <t>2026-Q1</t>
        </is>
      </c>
    </row>
    <row r="1687" ht="38.25" customHeight="1">
      <c r="A1687" t="inlineStr">
        <is>
          <t>25秋五年级上册同步作文语文教学课件|单个9.9，里面没有授课视频</t>
        </is>
      </c>
      <c r="B1687" t="inlineStr">
        <is>
          <t>recv9KVRcYN0Fz.jpg</t>
        </is>
      </c>
      <c r="C1687" s="2" t="str">
        <f>=HYPERLINK("https://xhslink.com/m/9PiVyWLaajg", "https://xhslink.com/m/9PiVyWLaajg")</f>
        <v>https://xhslink.com/m/9PiVyWLaajg</v>
      </c>
      <c r="D1687"/>
      <c r="E1687">
        <v>2680</v>
      </c>
      <c r="F1687">
        <v>269.9</v>
      </c>
      <c r="G1687"/>
      <c r="H1687"/>
      <c r="I1687">
        <v>1000</v>
      </c>
      <c r="J1687"/>
      <c r="K1687" t="inlineStr">
        <is>
          <t>语文课件</t>
        </is>
      </c>
      <c r="L1687"/>
      <c r="M1687" t="inlineStr">
        <is>
          <t>吾辈皆是备课人的店</t>
        </is>
      </c>
      <c r="N1687">
        <v>10000</v>
      </c>
      <c r="O1687">
        <v>4.56</v>
      </c>
      <c r="P1687">
        <v>14000</v>
      </c>
      <c r="Q1687" t="inlineStr">
        <is>
          <t>68f726d5ce94ee00015247b3</t>
        </is>
      </c>
      <c r="R1687" t="inlineStr">
        <is>
          <t>🚫重复</t>
        </is>
      </c>
      <c r="S1687" t="inlineStr">
        <is>
          <t>中小学教辅/教材</t>
        </is>
      </c>
      <c r="T1687" t="inlineStr">
        <is>
          <t>0.27</t>
        </is>
      </c>
      <c r="U1687" s="3">
        <v>46112.78107638889</v>
      </c>
      <c r="V1687" t="inlineStr">
        <is>
          <t>虚拟产品</t>
        </is>
      </c>
      <c r="W1687" s="3">
        <v>46052</v>
      </c>
      <c r="X1687" t="inlineStr">
        <is>
          <t>01</t>
        </is>
      </c>
      <c r="Y1687" t="inlineStr">
        <is>
          <t>2026-Q1</t>
        </is>
      </c>
    </row>
    <row r="1688" ht="38.25" customHeight="1">
      <c r="A1688" t="inlineStr">
        <is>
          <t>自动秒发货！六上语文PPT课件+教案（统编版）</t>
        </is>
      </c>
      <c r="B1688" t="inlineStr">
        <is>
          <t>recv9KVRcYr8lg.jpg</t>
        </is>
      </c>
      <c r="C1688" s="2" t="str">
        <f>=HYPERLINK("https://xhslink.com/m/AlDfly3P9xL", "https://xhslink.com/m/AlDfly3P9xL")</f>
        <v>https://xhslink.com/m/AlDfly3P9xL</v>
      </c>
      <c r="D1688"/>
      <c r="E1688">
        <v>2432</v>
      </c>
      <c r="F1688">
        <v>29.9</v>
      </c>
      <c r="G1688"/>
      <c r="H1688"/>
      <c r="I1688">
        <v>900</v>
      </c>
      <c r="J1688"/>
      <c r="K1688" t="inlineStr">
        <is>
          <t>语文课件</t>
        </is>
      </c>
      <c r="L1688"/>
      <c r="M1688" t="inlineStr">
        <is>
          <t>皮卡素材资料库的店</t>
        </is>
      </c>
      <c r="N1688">
        <v>1075</v>
      </c>
      <c r="O1688">
        <v>4.38</v>
      </c>
      <c r="P1688">
        <v>24000</v>
      </c>
      <c r="Q1688" t="inlineStr">
        <is>
          <t>6896b5cca7c1e3000124aacc</t>
        </is>
      </c>
      <c r="R1688" t="inlineStr">
        <is>
          <t>🚫重复</t>
        </is>
      </c>
      <c r="S1688" t="inlineStr">
        <is>
          <t>中小学教辅/教材</t>
        </is>
      </c>
      <c r="T1688" t="inlineStr">
        <is>
          <t>2.26</t>
        </is>
      </c>
      <c r="U1688" s="3">
        <v>46112.78107638889</v>
      </c>
      <c r="V1688" t="inlineStr">
        <is>
          <t>虚拟产品</t>
        </is>
      </c>
      <c r="W1688" s="3">
        <v>46052</v>
      </c>
      <c r="X1688" t="inlineStr">
        <is>
          <t>01</t>
        </is>
      </c>
      <c r="Y1688" t="inlineStr">
        <is>
          <t>2026-Q1</t>
        </is>
      </c>
    </row>
    <row r="1689" ht="38.25" customHeight="1">
      <c r="A1689" t="inlineStr">
        <is>
          <t>25秋新六年级上册语文同步作文教学课件|单个9.9，没有授课视频</t>
        </is>
      </c>
      <c r="B1689" t="inlineStr">
        <is>
          <t>recv9KVRcYYSnb.jpg</t>
        </is>
      </c>
      <c r="C1689" s="2" t="str">
        <f>=HYPERLINK("https://xhslink.com/m/9yR46zxyxAR", "https://xhslink.com/m/9yR46zxyxAR")</f>
        <v>https://xhslink.com/m/9yR46zxyxAR</v>
      </c>
      <c r="D1689"/>
      <c r="E1689">
        <v>2030</v>
      </c>
      <c r="F1689">
        <v>269.9</v>
      </c>
      <c r="G1689"/>
      <c r="H1689"/>
      <c r="I1689">
        <v>700</v>
      </c>
      <c r="J1689"/>
      <c r="K1689" t="inlineStr">
        <is>
          <t>语文课件</t>
        </is>
      </c>
      <c r="L1689"/>
      <c r="M1689" t="inlineStr">
        <is>
          <t>吾辈皆是备课人的店</t>
        </is>
      </c>
      <c r="N1689">
        <v>10000</v>
      </c>
      <c r="O1689">
        <v>4.56</v>
      </c>
      <c r="P1689">
        <v>14000</v>
      </c>
      <c r="Q1689" t="inlineStr">
        <is>
          <t>68f72722c074c50001faf7da</t>
        </is>
      </c>
      <c r="R1689" t="inlineStr">
        <is>
          <t>🚫重复</t>
        </is>
      </c>
      <c r="S1689" t="inlineStr">
        <is>
          <t>中小学教辅/教材</t>
        </is>
      </c>
      <c r="T1689" t="inlineStr">
        <is>
          <t>0.20</t>
        </is>
      </c>
      <c r="U1689" s="3">
        <v>46112.78107638889</v>
      </c>
      <c r="V1689" t="inlineStr">
        <is>
          <t>虚拟产品</t>
        </is>
      </c>
      <c r="W1689" s="3">
        <v>46052</v>
      </c>
      <c r="X1689" t="inlineStr">
        <is>
          <t>01</t>
        </is>
      </c>
      <c r="Y1689" t="inlineStr">
        <is>
          <t>2026-Q1</t>
        </is>
      </c>
    </row>
    <row r="1690" ht="38.25" customHeight="1">
      <c r="A1690" t="inlineStr">
        <is>
          <t>初中语文作文提升资料</t>
        </is>
      </c>
      <c r="B1690" t="inlineStr">
        <is>
          <t>recv9KVRcYsWmV.jpg</t>
        </is>
      </c>
      <c r="C1690" s="2" t="str">
        <f>=HYPERLINK("https://xhslink.com/m/67IREoN9Npe", "https://xhslink.com/m/67IREoN9Npe")</f>
        <v>https://xhslink.com/m/67IREoN9Npe</v>
      </c>
      <c r="D1690"/>
      <c r="E1690">
        <v>1964</v>
      </c>
      <c r="F1690">
        <v>39.9</v>
      </c>
      <c r="G1690"/>
      <c r="H1690"/>
      <c r="I1690">
        <v>400</v>
      </c>
      <c r="J1690"/>
      <c r="K1690" t="inlineStr">
        <is>
          <t>语文课件</t>
        </is>
      </c>
      <c r="L1690" t="inlineStr">
        <is>
          <t>🔥低粉爆款</t>
        </is>
      </c>
      <c r="M1690" t="inlineStr">
        <is>
          <t>萌小萌i的店</t>
        </is>
      </c>
      <c r="N1690">
        <v>385</v>
      </c>
      <c r="O1690">
        <v>4.44</v>
      </c>
      <c r="P1690">
        <v>9061</v>
      </c>
      <c r="Q1690" t="inlineStr">
        <is>
          <t>67f35638f0efe50001ad692d</t>
        </is>
      </c>
      <c r="R1690" t="inlineStr">
        <is>
          <t>🚫重复</t>
        </is>
      </c>
      <c r="S1690" t="inlineStr">
        <is>
          <t>中小学教辅/教材</t>
        </is>
      </c>
      <c r="T1690" t="inlineStr">
        <is>
          <t>5.10</t>
        </is>
      </c>
      <c r="U1690" s="3">
        <v>46112.78107638889</v>
      </c>
      <c r="V1690" t="inlineStr">
        <is>
          <t>虚拟产品</t>
        </is>
      </c>
      <c r="W1690" s="3">
        <v>46052</v>
      </c>
      <c r="X1690" t="inlineStr">
        <is>
          <t>01</t>
        </is>
      </c>
      <c r="Y1690" t="inlineStr">
        <is>
          <t>2026-Q1</t>
        </is>
      </c>
    </row>
    <row r="1691" ht="38.25" customHeight="1">
      <c r="A1691" t="inlineStr">
        <is>
          <t>【2025秋】三上语文第八单元课件+教案</t>
        </is>
      </c>
      <c r="B1691" t="inlineStr">
        <is>
          <t>recv9KVRcYdKBi.jpg</t>
        </is>
      </c>
      <c r="C1691" s="2" t="str">
        <f>=HYPERLINK("https://xhslink.com/m/2ojyFh3hrqD", "https://xhslink.com/m/2ojyFh3hrqD")</f>
        <v>https://xhslink.com/m/2ojyFh3hrqD</v>
      </c>
      <c r="D1691"/>
      <c r="E1691">
        <v>1820</v>
      </c>
      <c r="F1691">
        <v>40</v>
      </c>
      <c r="G1691"/>
      <c r="H1691"/>
      <c r="I1691">
        <v>400</v>
      </c>
      <c r="J1691"/>
      <c r="K1691" t="inlineStr">
        <is>
          <t>语文课件</t>
        </is>
      </c>
      <c r="L1691"/>
      <c r="M1691" t="inlineStr">
        <is>
          <t>同是天涯备课人的店</t>
        </is>
      </c>
      <c r="N1691">
        <v>49000</v>
      </c>
      <c r="O1691">
        <v>4.4</v>
      </c>
      <c r="P1691">
        <v>147000</v>
      </c>
      <c r="Q1691" t="inlineStr">
        <is>
          <t>672863d9b43c000001eb862d</t>
        </is>
      </c>
      <c r="R1691" t="inlineStr">
        <is>
          <t>🚫重复</t>
        </is>
      </c>
      <c r="S1691" t="inlineStr">
        <is>
          <t>中小学教辅/教材</t>
        </is>
      </c>
      <c r="T1691" t="inlineStr">
        <is>
          <t>0.04</t>
        </is>
      </c>
      <c r="U1691" s="3">
        <v>46112.78107638889</v>
      </c>
      <c r="V1691" t="inlineStr">
        <is>
          <t>虚拟产品</t>
        </is>
      </c>
      <c r="W1691" s="3">
        <v>46052</v>
      </c>
      <c r="X1691" t="inlineStr">
        <is>
          <t>01</t>
        </is>
      </c>
      <c r="Y1691" t="inlineStr">
        <is>
          <t>2026-Q1</t>
        </is>
      </c>
    </row>
    <row r="1692" ht="38.25" customHeight="1">
      <c r="A1692" t="inlineStr">
        <is>
          <t>【K60】25新版六上语文大单元任务群公开课课件+详细教案</t>
        </is>
      </c>
      <c r="B1692" t="inlineStr">
        <is>
          <t>recv9KVRcYqCMc.jpg</t>
        </is>
      </c>
      <c r="C1692" s="2" t="str">
        <f>=HYPERLINK("https://xhslink.com/m/3WSJgOMr0ft", "https://xhslink.com/m/3WSJgOMr0ft")</f>
        <v>https://xhslink.com/m/3WSJgOMr0ft</v>
      </c>
      <c r="D1692"/>
      <c r="E1692">
        <v>1722</v>
      </c>
      <c r="F1692">
        <v>128</v>
      </c>
      <c r="G1692"/>
      <c r="H1692"/>
      <c r="I1692">
        <v>800</v>
      </c>
      <c r="J1692"/>
      <c r="K1692" t="inlineStr">
        <is>
          <t>语文课件</t>
        </is>
      </c>
      <c r="L1692"/>
      <c r="M1692" t="inlineStr">
        <is>
          <t>小雪老师的课堂的店</t>
        </is>
      </c>
      <c r="N1692">
        <v>15000</v>
      </c>
      <c r="O1692">
        <v>4.32</v>
      </c>
      <c r="P1692">
        <v>81000</v>
      </c>
      <c r="Q1692" t="inlineStr">
        <is>
          <t>687737f00e13d50001d05f03</t>
        </is>
      </c>
      <c r="R1692" t="inlineStr">
        <is>
          <t>🚫重复</t>
        </is>
      </c>
      <c r="S1692" t="inlineStr">
        <is>
          <t>中小学教辅/教材</t>
        </is>
      </c>
      <c r="T1692" t="inlineStr">
        <is>
          <t>0.11</t>
        </is>
      </c>
      <c r="U1692" s="3">
        <v>46112.78107638889</v>
      </c>
      <c r="V1692" t="inlineStr">
        <is>
          <t>虚拟产品</t>
        </is>
      </c>
      <c r="W1692" s="3">
        <v>46052</v>
      </c>
      <c r="X1692" t="inlineStr">
        <is>
          <t>01</t>
        </is>
      </c>
      <c r="Y1692" t="inlineStr">
        <is>
          <t>2026-Q1</t>
        </is>
      </c>
    </row>
    <row r="1693" ht="38.25" customHeight="1">
      <c r="A1693" t="inlineStr">
        <is>
          <t>最新一二三四五六年级语文上下册配套ppt课件教案非温儒敏课件</t>
        </is>
      </c>
      <c r="B1693" t="inlineStr">
        <is>
          <t>recv9KVRcYkvNb.jpg</t>
        </is>
      </c>
      <c r="C1693" s="2" t="str">
        <f>=HYPERLINK("https://xhslink.com/m/85p8XPPt1E0", "https://xhslink.com/m/85p8XPPt1E0")</f>
        <v>https://xhslink.com/m/85p8XPPt1E0</v>
      </c>
      <c r="D1693"/>
      <c r="E1693">
        <v>1800</v>
      </c>
      <c r="F1693">
        <v>139.8</v>
      </c>
      <c r="G1693"/>
      <c r="H1693"/>
      <c r="I1693">
        <v>600</v>
      </c>
      <c r="J1693"/>
      <c r="K1693" t="inlineStr">
        <is>
          <t>语文课件</t>
        </is>
      </c>
      <c r="L1693"/>
      <c r="M1693" t="inlineStr">
        <is>
          <t>教案补给站李老师的店</t>
        </is>
      </c>
      <c r="N1693">
        <v>6038</v>
      </c>
      <c r="O1693">
        <v>4.58</v>
      </c>
      <c r="P1693">
        <v>7616</v>
      </c>
      <c r="Q1693" t="inlineStr">
        <is>
          <t>6915ee66cba79f0001c61450</t>
        </is>
      </c>
      <c r="R1693" t="inlineStr">
        <is>
          <t>🚫重复</t>
        </is>
      </c>
      <c r="S1693" t="inlineStr">
        <is>
          <t>中小学教辅/教材</t>
        </is>
      </c>
      <c r="T1693" t="inlineStr">
        <is>
          <t>0.30</t>
        </is>
      </c>
      <c r="U1693" s="3">
        <v>46112.78107638889</v>
      </c>
      <c r="V1693" t="inlineStr">
        <is>
          <t>虚拟产品</t>
        </is>
      </c>
      <c r="W1693" s="3">
        <v>46052</v>
      </c>
      <c r="X1693" t="inlineStr">
        <is>
          <t>01</t>
        </is>
      </c>
      <c r="Y1693" t="inlineStr">
        <is>
          <t>2026-Q1</t>
        </is>
      </c>
    </row>
    <row r="1694" ht="38.25" customHeight="1">
      <c r="A1694" t="inlineStr">
        <is>
          <t>【2025秋新版】三年级上册语文任务群课件ppt+教案</t>
        </is>
      </c>
      <c r="B1694" t="inlineStr">
        <is>
          <t>recv9KVRcY012E.jpg</t>
        </is>
      </c>
      <c r="C1694" s="2" t="str">
        <f>=HYPERLINK("https://xhslink.com/m/4lNtvnlKCgK", "https://xhslink.com/m/4lNtvnlKCgK")</f>
        <v>https://xhslink.com/m/4lNtvnlKCgK</v>
      </c>
      <c r="D1694"/>
      <c r="E1694">
        <v>1666</v>
      </c>
      <c r="F1694">
        <v>128</v>
      </c>
      <c r="G1694"/>
      <c r="H1694"/>
      <c r="I1694">
        <v>300</v>
      </c>
      <c r="J1694"/>
      <c r="K1694" t="inlineStr">
        <is>
          <t>语文课件</t>
        </is>
      </c>
      <c r="L1694"/>
      <c r="M1694" t="inlineStr">
        <is>
          <t>书然老师的店</t>
        </is>
      </c>
      <c r="N1694">
        <v>709</v>
      </c>
      <c r="O1694">
        <v>4.3</v>
      </c>
      <c r="P1694">
        <v>2844</v>
      </c>
      <c r="Q1694" t="inlineStr">
        <is>
          <t>68b821f40d3d6200012949cc</t>
        </is>
      </c>
      <c r="R1694"/>
      <c r="S1694" t="inlineStr">
        <is>
          <t>中小学教辅/教材</t>
        </is>
      </c>
      <c r="T1694" t="inlineStr">
        <is>
          <t>2.35</t>
        </is>
      </c>
      <c r="U1694" s="3">
        <v>46112.78107638889</v>
      </c>
      <c r="V1694" t="inlineStr">
        <is>
          <t>虚拟产品</t>
        </is>
      </c>
      <c r="W1694" s="3">
        <v>46052</v>
      </c>
      <c r="X1694" t="inlineStr">
        <is>
          <t>01</t>
        </is>
      </c>
      <c r="Y1694" t="inlineStr">
        <is>
          <t>2026-Q1</t>
        </is>
      </c>
    </row>
    <row r="1695" ht="38.25" customHeight="1">
      <c r="A1695" t="inlineStr">
        <is>
          <t>自动秒发货！！七年级上册语文PPT课件+教学设计（新统编版）</t>
        </is>
      </c>
      <c r="B1695" t="inlineStr">
        <is>
          <t>recv9KVRcYx1fY.jpg</t>
        </is>
      </c>
      <c r="C1695" s="2" t="str">
        <f>=HYPERLINK("https://xhslink.com/m/YoytJjxDyS", "https://xhslink.com/m/YoytJjxDyS")</f>
        <v>https://xhslink.com/m/YoytJjxDyS</v>
      </c>
      <c r="D1695"/>
      <c r="E1695">
        <v>1578</v>
      </c>
      <c r="F1695">
        <v>69.9</v>
      </c>
      <c r="G1695"/>
      <c r="H1695"/>
      <c r="I1695">
        <v>600</v>
      </c>
      <c r="J1695"/>
      <c r="K1695" t="inlineStr">
        <is>
          <t>语文课件</t>
        </is>
      </c>
      <c r="L1695"/>
      <c r="M1695" t="inlineStr">
        <is>
          <t>官余课件素材的店</t>
        </is>
      </c>
      <c r="N1695">
        <v>971</v>
      </c>
      <c r="O1695">
        <v>4.41</v>
      </c>
      <c r="P1695">
        <v>9394</v>
      </c>
      <c r="Q1695" t="inlineStr">
        <is>
          <t>68907ad2ebefca0001c445f7</t>
        </is>
      </c>
      <c r="R1695" t="inlineStr">
        <is>
          <t>🚫重复</t>
        </is>
      </c>
      <c r="S1695" t="inlineStr">
        <is>
          <t>中小学教辅/教材</t>
        </is>
      </c>
      <c r="T1695" t="inlineStr">
        <is>
          <t>1.63</t>
        </is>
      </c>
      <c r="U1695" s="3">
        <v>46112.78107638889</v>
      </c>
      <c r="V1695" t="inlineStr">
        <is>
          <t>虚拟产品</t>
        </is>
      </c>
      <c r="W1695" s="3">
        <v>46052</v>
      </c>
      <c r="X1695" t="inlineStr">
        <is>
          <t>01</t>
        </is>
      </c>
      <c r="Y1695" t="inlineStr">
        <is>
          <t>2026-Q1</t>
        </is>
      </c>
    </row>
    <row r="1696" ht="38.25" customHeight="1">
      <c r="A1696" t="inlineStr">
        <is>
          <t>26春语文四年级下册精品ppt课件送教案 （支持单课）请看详情收</t>
        </is>
      </c>
      <c r="B1696" t="inlineStr">
        <is>
          <t>recv9KVRcYANn4.jpg</t>
        </is>
      </c>
      <c r="C1696" s="2" t="str">
        <f>=HYPERLINK("https://xhslink.com/m/Ax3GNqDJVwG", "https://xhslink.com/m/Ax3GNqDJVwG")</f>
        <v>https://xhslink.com/m/Ax3GNqDJVwG</v>
      </c>
      <c r="D1696"/>
      <c r="E1696">
        <v>1579</v>
      </c>
      <c r="F1696">
        <v>9.9</v>
      </c>
      <c r="G1696"/>
      <c r="H1696"/>
      <c r="I1696">
        <v>300</v>
      </c>
      <c r="J1696"/>
      <c r="K1696" t="inlineStr">
        <is>
          <t>语文课件</t>
        </is>
      </c>
      <c r="L1696"/>
      <c r="M1696" t="inlineStr">
        <is>
          <t>聚优课件教案的店</t>
        </is>
      </c>
      <c r="N1696">
        <v>6072</v>
      </c>
      <c r="O1696">
        <v>4.41</v>
      </c>
      <c r="P1696">
        <v>22000</v>
      </c>
      <c r="Q1696" t="inlineStr">
        <is>
          <t>67a4418496b36c00011f943f</t>
        </is>
      </c>
      <c r="R1696" t="inlineStr">
        <is>
          <t>🚫重复</t>
        </is>
      </c>
      <c r="S1696" t="inlineStr">
        <is>
          <t>PPT模板</t>
        </is>
      </c>
      <c r="T1696" t="inlineStr">
        <is>
          <t>0.26</t>
        </is>
      </c>
      <c r="U1696" s="3">
        <v>46112.78107638889</v>
      </c>
      <c r="V1696" t="inlineStr">
        <is>
          <t>虚拟产品</t>
        </is>
      </c>
      <c r="W1696" s="3">
        <v>46052</v>
      </c>
      <c r="X1696" t="inlineStr">
        <is>
          <t>01</t>
        </is>
      </c>
      <c r="Y1696" t="inlineStr">
        <is>
          <t>2026-Q1</t>
        </is>
      </c>
    </row>
    <row r="1697" ht="38.25" customHeight="1">
      <c r="A1697" t="inlineStr">
        <is>
          <t>25秋最新二年级上册语文写话教学课件|单个9.9，里面没有授课视频</t>
        </is>
      </c>
      <c r="B1697" t="inlineStr">
        <is>
          <t>recv9KVRcYgF4g.jpg</t>
        </is>
      </c>
      <c r="C1697" s="2" t="str">
        <f>=HYPERLINK("https://xhslink.com/m/2Djf1XA3GqL", "https://xhslink.com/m/2Djf1XA3GqL")</f>
        <v>https://xhslink.com/m/2Djf1XA3GqL</v>
      </c>
      <c r="D1697"/>
      <c r="E1697">
        <v>1406</v>
      </c>
      <c r="F1697">
        <v>269.9</v>
      </c>
      <c r="G1697"/>
      <c r="H1697"/>
      <c r="I1697">
        <v>1000</v>
      </c>
      <c r="J1697"/>
      <c r="K1697" t="inlineStr">
        <is>
          <t>语文课件</t>
        </is>
      </c>
      <c r="L1697"/>
      <c r="M1697" t="inlineStr">
        <is>
          <t>吾辈皆是备课人的店</t>
        </is>
      </c>
      <c r="N1697">
        <v>10000</v>
      </c>
      <c r="O1697">
        <v>4.56</v>
      </c>
      <c r="P1697">
        <v>14000</v>
      </c>
      <c r="Q1697" t="inlineStr">
        <is>
          <t>68eb2905702da10001b1210c</t>
        </is>
      </c>
      <c r="R1697" t="inlineStr">
        <is>
          <t>🚫重复</t>
        </is>
      </c>
      <c r="S1697" t="inlineStr">
        <is>
          <t>中小学教辅/教材</t>
        </is>
      </c>
      <c r="T1697" t="inlineStr">
        <is>
          <t>0.14</t>
        </is>
      </c>
      <c r="U1697" s="3">
        <v>46112.78107638889</v>
      </c>
      <c r="V1697" t="inlineStr">
        <is>
          <t>虚拟产品</t>
        </is>
      </c>
      <c r="W1697" s="3">
        <v>46052</v>
      </c>
      <c r="X1697" t="inlineStr">
        <is>
          <t>01</t>
        </is>
      </c>
      <c r="Y1697" t="inlineStr">
        <is>
          <t>2026-Q1</t>
        </is>
      </c>
    </row>
    <row r="1698" ht="38.25" customHeight="1">
      <c r="A1698" t="inlineStr">
        <is>
          <t>自动秒发货！新版二上语文课件PPT+教案电子版（内容看主页笔记图</t>
        </is>
      </c>
      <c r="B1698" t="inlineStr">
        <is>
          <t>recv9KVRcYu4Hh.jpg</t>
        </is>
      </c>
      <c r="C1698" s="2" t="str">
        <f>=HYPERLINK("https://xhslink.com/m/7YWcgXA6Vzb", "https://xhslink.com/m/7YWcgXA6Vzb")</f>
        <v>https://xhslink.com/m/7YWcgXA6Vzb</v>
      </c>
      <c r="D1698"/>
      <c r="E1698">
        <v>1250</v>
      </c>
      <c r="F1698">
        <v>69</v>
      </c>
      <c r="G1698"/>
      <c r="H1698"/>
      <c r="I1698">
        <v>400</v>
      </c>
      <c r="J1698"/>
      <c r="K1698" t="inlineStr">
        <is>
          <t>语文课件</t>
        </is>
      </c>
      <c r="L1698"/>
      <c r="M1698" t="inlineStr">
        <is>
          <t>小纸盒PPT的店</t>
        </is>
      </c>
      <c r="N1698">
        <v>11000</v>
      </c>
      <c r="O1698">
        <v>4.35</v>
      </c>
      <c r="P1698">
        <v>47000</v>
      </c>
      <c r="Q1698" t="inlineStr">
        <is>
          <t>689c19bf2a871c00018472b7</t>
        </is>
      </c>
      <c r="R1698" t="inlineStr">
        <is>
          <t>🚫重复</t>
        </is>
      </c>
      <c r="S1698" t="inlineStr">
        <is>
          <t>中小学教辅/教材</t>
        </is>
      </c>
      <c r="T1698" t="inlineStr">
        <is>
          <t>0.11</t>
        </is>
      </c>
      <c r="U1698" s="3">
        <v>46112.78107638889</v>
      </c>
      <c r="V1698" t="inlineStr">
        <is>
          <t>虚拟产品</t>
        </is>
      </c>
      <c r="W1698" s="3">
        <v>46052</v>
      </c>
      <c r="X1698" t="inlineStr">
        <is>
          <t>01</t>
        </is>
      </c>
      <c r="Y1698" t="inlineStr">
        <is>
          <t>2026-Q1</t>
        </is>
      </c>
    </row>
    <row r="1699" ht="38.25" customHeight="1">
      <c r="A1699" t="inlineStr">
        <is>
          <t>初中语文七上语文全册备课-情境化教学课件+教学设计</t>
        </is>
      </c>
      <c r="B1699" t="inlineStr">
        <is>
          <t>recv9KVRcYjSQ1.jpg</t>
        </is>
      </c>
      <c r="C1699" s="2" t="str">
        <f>=HYPERLINK("https://xhslink.com/m/3CJ1Cavkoua", "https://xhslink.com/m/3CJ1Cavkoua")</f>
        <v>https://xhslink.com/m/3CJ1Cavkoua</v>
      </c>
      <c r="D1699"/>
      <c r="E1699">
        <v>949</v>
      </c>
      <c r="F1699">
        <v>88</v>
      </c>
      <c r="G1699"/>
      <c r="H1699"/>
      <c r="I1699">
        <v>400</v>
      </c>
      <c r="J1699"/>
      <c r="K1699" t="inlineStr">
        <is>
          <t>语文课件</t>
        </is>
      </c>
      <c r="L1699"/>
      <c r="M1699" t="inlineStr">
        <is>
          <t>爱分享的曹老师的店</t>
        </is>
      </c>
      <c r="N1699">
        <v>2062</v>
      </c>
      <c r="O1699">
        <v>4.57</v>
      </c>
      <c r="P1699">
        <v>7854</v>
      </c>
      <c r="Q1699" t="inlineStr">
        <is>
          <t>683fcf9d317c900001bffe58</t>
        </is>
      </c>
      <c r="R1699" t="inlineStr">
        <is>
          <t>🚫重复</t>
        </is>
      </c>
      <c r="S1699" t="inlineStr">
        <is>
          <t>中小学教辅/教材</t>
        </is>
      </c>
      <c r="T1699" t="inlineStr">
        <is>
          <t>0.46</t>
        </is>
      </c>
      <c r="U1699" s="3">
        <v>46112.78107638889</v>
      </c>
      <c r="V1699" t="inlineStr">
        <is>
          <t>虚拟产品</t>
        </is>
      </c>
      <c r="W1699" s="3">
        <v>46052</v>
      </c>
      <c r="X1699" t="inlineStr">
        <is>
          <t>01</t>
        </is>
      </c>
      <c r="Y1699" t="inlineStr">
        <is>
          <t>2026-Q1</t>
        </is>
      </c>
    </row>
    <row r="1700" ht="38.25" customHeight="1">
      <c r="A1700" t="inlineStr">
        <is>
          <t>【K10】新版一年级上册语文任务群公开课课件+配套教案</t>
        </is>
      </c>
      <c r="B1700" t="inlineStr">
        <is>
          <t>recv9KVRcYylMu.jpg</t>
        </is>
      </c>
      <c r="C1700" s="2" t="str">
        <f>=HYPERLINK("https://xhslink.com/m/A4baPnynsfH", "https://xhslink.com/m/A4baPnynsfH")</f>
        <v>https://xhslink.com/m/A4baPnynsfH</v>
      </c>
      <c r="D1700"/>
      <c r="E1700">
        <v>686</v>
      </c>
      <c r="F1700">
        <v>128</v>
      </c>
      <c r="G1700"/>
      <c r="H1700"/>
      <c r="I1700">
        <v>500</v>
      </c>
      <c r="J1700"/>
      <c r="K1700" t="inlineStr">
        <is>
          <t>语文课件</t>
        </is>
      </c>
      <c r="L1700"/>
      <c r="M1700" t="inlineStr">
        <is>
          <t>小雪老师的课堂的店</t>
        </is>
      </c>
      <c r="N1700">
        <v>15000</v>
      </c>
      <c r="O1700">
        <v>4.32</v>
      </c>
      <c r="P1700">
        <v>81000</v>
      </c>
      <c r="Q1700" t="inlineStr">
        <is>
          <t>685ccdfc3970ba0001185437</t>
        </is>
      </c>
      <c r="R1700" t="inlineStr">
        <is>
          <t>🚫重复</t>
        </is>
      </c>
      <c r="S1700" t="inlineStr">
        <is>
          <t>中小学教辅/教材</t>
        </is>
      </c>
      <c r="T1700" t="inlineStr">
        <is>
          <t>0.05</t>
        </is>
      </c>
      <c r="U1700" s="3">
        <v>46112.78107638889</v>
      </c>
      <c r="V1700" t="inlineStr">
        <is>
          <t>虚拟产品</t>
        </is>
      </c>
      <c r="W1700" s="3">
        <v>46052</v>
      </c>
      <c r="X1700" t="inlineStr">
        <is>
          <t>01</t>
        </is>
      </c>
      <c r="Y1700" t="inlineStr">
        <is>
          <t>2026-Q1</t>
        </is>
      </c>
    </row>
    <row r="1701" ht="38.25" customHeight="1">
      <c r="A1701" t="inlineStr">
        <is>
          <t>新人教部编版初中八年级上册语文全册情境ppt课件（含教学设计）</t>
        </is>
      </c>
      <c r="B1701" t="inlineStr">
        <is>
          <t>recv9KVRcYxZGe.jpg</t>
        </is>
      </c>
      <c r="C1701" s="2" t="str">
        <f>=HYPERLINK("https://xhslink.com/m/8wo8gjCtBXC", "https://xhslink.com/m/8wo8gjCtBXC")</f>
        <v>https://xhslink.com/m/8wo8gjCtBXC</v>
      </c>
      <c r="D1701"/>
      <c r="E1701">
        <v>666</v>
      </c>
      <c r="F1701">
        <v>88</v>
      </c>
      <c r="G1701"/>
      <c r="H1701"/>
      <c r="I1701">
        <v>300</v>
      </c>
      <c r="J1701"/>
      <c r="K1701" t="inlineStr">
        <is>
          <t>语文课件</t>
        </is>
      </c>
      <c r="L1701"/>
      <c r="M1701" t="inlineStr">
        <is>
          <t>爱分享的曹老师的店</t>
        </is>
      </c>
      <c r="N1701">
        <v>2062</v>
      </c>
      <c r="O1701">
        <v>4.57</v>
      </c>
      <c r="P1701">
        <v>7854</v>
      </c>
      <c r="Q1701" t="inlineStr">
        <is>
          <t>686bcfce80b7300001a79793</t>
        </is>
      </c>
      <c r="R1701" t="inlineStr">
        <is>
          <t>🚫重复</t>
        </is>
      </c>
      <c r="S1701" t="inlineStr">
        <is>
          <t>PPT模板</t>
        </is>
      </c>
      <c r="T1701" t="inlineStr">
        <is>
          <t>0.32</t>
        </is>
      </c>
      <c r="U1701" s="3">
        <v>46112.78107638889</v>
      </c>
      <c r="V1701" t="inlineStr">
        <is>
          <t>虚拟产品</t>
        </is>
      </c>
      <c r="W1701" s="3">
        <v>46052</v>
      </c>
      <c r="X1701" t="inlineStr">
        <is>
          <t>01</t>
        </is>
      </c>
      <c r="Y1701" t="inlineStr">
        <is>
          <t>2026-Q1</t>
        </is>
      </c>
    </row>
    <row r="1702" ht="38.25" customHeight="1">
      <c r="A1702" t="inlineStr">
        <is>
          <t>初二语文八年级上册备课情景式教学公开课ppt教学设计</t>
        </is>
      </c>
      <c r="B1702" t="inlineStr">
        <is>
          <t>recv9KVRcYOQLV.jpg</t>
        </is>
      </c>
      <c r="C1702" s="2" t="str">
        <f>=HYPERLINK("https://xhslink.com/m/9srJEp0IV5p", "https://xhslink.com/m/9srJEp0IV5p")</f>
        <v>https://xhslink.com/m/9srJEp0IV5p</v>
      </c>
      <c r="D1702"/>
      <c r="E1702">
        <v>632</v>
      </c>
      <c r="F1702">
        <v>69.9</v>
      </c>
      <c r="G1702"/>
      <c r="H1702"/>
      <c r="I1702">
        <v>400</v>
      </c>
      <c r="J1702"/>
      <c r="K1702" t="inlineStr">
        <is>
          <t>语文课件</t>
        </is>
      </c>
      <c r="L1702"/>
      <c r="M1702" t="inlineStr">
        <is>
          <t>白日梦 Day Dream的店</t>
        </is>
      </c>
      <c r="N1702">
        <v>1067</v>
      </c>
      <c r="O1702">
        <v>4.53</v>
      </c>
      <c r="P1702">
        <v>6128</v>
      </c>
      <c r="Q1702" t="inlineStr">
        <is>
          <t>68f483b342726100010101c5</t>
        </is>
      </c>
      <c r="R1702" t="inlineStr">
        <is>
          <t>🚫重复</t>
        </is>
      </c>
      <c r="S1702" t="inlineStr">
        <is>
          <t>中小学教辅/教材</t>
        </is>
      </c>
      <c r="T1702" t="inlineStr">
        <is>
          <t>0.59</t>
        </is>
      </c>
      <c r="U1702" s="3">
        <v>46112.78107638889</v>
      </c>
      <c r="V1702" t="inlineStr">
        <is>
          <t>虚拟产品</t>
        </is>
      </c>
      <c r="W1702" s="3">
        <v>46052</v>
      </c>
      <c r="X1702" t="inlineStr">
        <is>
          <t>01</t>
        </is>
      </c>
      <c r="Y1702" t="inlineStr">
        <is>
          <t>2026-Q1</t>
        </is>
      </c>
    </row>
    <row r="1703" ht="38.25" customHeight="1">
      <c r="A1703" t="inlineStr">
        <is>
          <t>【小瓶盖儿】四上语文复习课件（实用）</t>
        </is>
      </c>
      <c r="B1703" t="inlineStr">
        <is>
          <t>recv9KVRcYjL6Y.jpg</t>
        </is>
      </c>
      <c r="C1703" s="2" t="str">
        <f>=HYPERLINK("https://xhslink.com/m/28l2akTJy20", "https://xhslink.com/m/28l2akTJy20")</f>
        <v>https://xhslink.com/m/28l2akTJy20</v>
      </c>
      <c r="D1703"/>
      <c r="E1703">
        <v>619</v>
      </c>
      <c r="F1703">
        <v>43.99</v>
      </c>
      <c r="G1703"/>
      <c r="H1703"/>
      <c r="I1703">
        <v>400</v>
      </c>
      <c r="J1703"/>
      <c r="K1703" t="inlineStr">
        <is>
          <t>语文课件</t>
        </is>
      </c>
      <c r="L1703"/>
      <c r="M1703" t="inlineStr">
        <is>
          <t>小小瓶盖儿的店</t>
        </is>
      </c>
      <c r="N1703">
        <v>37000</v>
      </c>
      <c r="O1703">
        <v>4.5</v>
      </c>
      <c r="P1703">
        <v>42000</v>
      </c>
      <c r="Q1703" t="inlineStr">
        <is>
          <t>68fe190cc074c500013c2c55</t>
        </is>
      </c>
      <c r="R1703" t="inlineStr">
        <is>
          <t>🚫重复</t>
        </is>
      </c>
      <c r="S1703" t="inlineStr">
        <is>
          <t>中小学教辅/教材</t>
        </is>
      </c>
      <c r="T1703" t="inlineStr">
        <is>
          <t>0.02</t>
        </is>
      </c>
      <c r="U1703" s="3">
        <v>46112.78107638889</v>
      </c>
      <c r="V1703" t="inlineStr">
        <is>
          <t>虚拟产品</t>
        </is>
      </c>
      <c r="W1703" s="3">
        <v>46052</v>
      </c>
      <c r="X1703" t="inlineStr">
        <is>
          <t>01</t>
        </is>
      </c>
      <c r="Y1703" t="inlineStr">
        <is>
          <t>2026-Q1</t>
        </is>
      </c>
    </row>
    <row r="1704" ht="38.25" customHeight="1">
      <c r="A1704" t="inlineStr">
        <is>
          <t>2026春季人教部编版小学语文一二三四五六年级上下册课件教案</t>
        </is>
      </c>
      <c r="B1704" t="inlineStr">
        <is>
          <t>recv9KVRcYm36I.jpg</t>
        </is>
      </c>
      <c r="C1704" s="2" t="str">
        <f>=HYPERLINK("https://xhslink.com/m/6eNZsWLExN4", "https://xhslink.com/m/6eNZsWLExN4")</f>
        <v>https://xhslink.com/m/6eNZsWLExN4</v>
      </c>
      <c r="D1704"/>
      <c r="E1704">
        <v>678</v>
      </c>
      <c r="F1704">
        <v>53</v>
      </c>
      <c r="G1704"/>
      <c r="H1704"/>
      <c r="I1704">
        <v>200</v>
      </c>
      <c r="J1704"/>
      <c r="K1704" t="inlineStr">
        <is>
          <t>语文课件</t>
        </is>
      </c>
      <c r="L1704"/>
      <c r="M1704" t="inlineStr">
        <is>
          <t>爱学习的小红帽的店</t>
        </is>
      </c>
      <c r="N1704">
        <v>3920</v>
      </c>
      <c r="O1704">
        <v>4.5</v>
      </c>
      <c r="P1704">
        <v>19000</v>
      </c>
      <c r="Q1704" t="inlineStr">
        <is>
          <t>67a0f9b0f4d6570001a8bf89</t>
        </is>
      </c>
      <c r="R1704" t="inlineStr">
        <is>
          <t>🚫重复</t>
        </is>
      </c>
      <c r="S1704" t="inlineStr">
        <is>
          <t>中小学教辅/教材</t>
        </is>
      </c>
      <c r="T1704" t="inlineStr">
        <is>
          <t>0.17</t>
        </is>
      </c>
      <c r="U1704" s="3">
        <v>46112.78107638889</v>
      </c>
      <c r="V1704" t="inlineStr">
        <is>
          <t>虚拟产品</t>
        </is>
      </c>
      <c r="W1704" s="3">
        <v>46052</v>
      </c>
      <c r="X1704" t="inlineStr">
        <is>
          <t>01</t>
        </is>
      </c>
      <c r="Y1704" t="inlineStr">
        <is>
          <t>2026-Q1</t>
        </is>
      </c>
    </row>
    <row r="1705" ht="38.25" customHeight="1">
      <c r="A1705" t="inlineStr">
        <is>
          <t>五上第八单元课件</t>
        </is>
      </c>
      <c r="B1705" t="inlineStr">
        <is>
          <t>recv9KVRcYFD94.jpg</t>
        </is>
      </c>
      <c r="C1705" s="2" t="str">
        <f>=HYPERLINK("https://xhslink.com/m/A5fk1cW00c7", "https://xhslink.com/m/A5fk1cW00c7")</f>
        <v>https://xhslink.com/m/A5fk1cW00c7</v>
      </c>
      <c r="D1705"/>
      <c r="E1705">
        <v>542</v>
      </c>
      <c r="F1705">
        <v>44</v>
      </c>
      <c r="G1705"/>
      <c r="H1705"/>
      <c r="I1705"/>
      <c r="J1705"/>
      <c r="K1705" t="inlineStr">
        <is>
          <t>语文课件</t>
        </is>
      </c>
      <c r="L1705"/>
      <c r="M1705" t="inlineStr">
        <is>
          <t>柚子的书柜的店</t>
        </is>
      </c>
      <c r="N1705">
        <v>45000</v>
      </c>
      <c r="O1705">
        <v>4.61</v>
      </c>
      <c r="P1705">
        <v>15000</v>
      </c>
      <c r="Q1705" t="inlineStr">
        <is>
          <t>69369bd16bc9860001adf573</t>
        </is>
      </c>
      <c r="R1705" t="inlineStr">
        <is>
          <t>🚫重复</t>
        </is>
      </c>
      <c r="S1705" t="inlineStr">
        <is>
          <t>中小学教辅/教材</t>
        </is>
      </c>
      <c r="T1705" t="inlineStr">
        <is>
          <t>0.01</t>
        </is>
      </c>
      <c r="U1705" s="3">
        <v>46112.78107638889</v>
      </c>
      <c r="V1705" t="inlineStr">
        <is>
          <t>虚拟产品</t>
        </is>
      </c>
      <c r="W1705" s="3">
        <v>46052</v>
      </c>
      <c r="X1705" t="inlineStr">
        <is>
          <t>01</t>
        </is>
      </c>
      <c r="Y1705" t="inlineStr">
        <is>
          <t>2026-Q1</t>
        </is>
      </c>
    </row>
    <row r="1706" ht="38.25" customHeight="1">
      <c r="A1706" t="inlineStr">
        <is>
          <t>2026高中语文必修上下册备课教学课件ppt教学设计</t>
        </is>
      </c>
      <c r="B1706" t="inlineStr">
        <is>
          <t>recv9KVRcYjOrr.jpg</t>
        </is>
      </c>
      <c r="C1706" s="2" t="str">
        <f>=HYPERLINK("https://xhslink.com/m/6UMZ0uLhjtR", "https://xhslink.com/m/6UMZ0uLhjtR")</f>
        <v>https://xhslink.com/m/6UMZ0uLhjtR</v>
      </c>
      <c r="D1706"/>
      <c r="E1706">
        <v>520</v>
      </c>
      <c r="F1706">
        <v>69.9</v>
      </c>
      <c r="G1706"/>
      <c r="H1706"/>
      <c r="I1706">
        <v>300</v>
      </c>
      <c r="J1706"/>
      <c r="K1706" t="inlineStr">
        <is>
          <t>语文课件</t>
        </is>
      </c>
      <c r="L1706"/>
      <c r="M1706" t="inlineStr">
        <is>
          <t>白日梦 Day Dream的店</t>
        </is>
      </c>
      <c r="N1706">
        <v>1067</v>
      </c>
      <c r="O1706">
        <v>4.53</v>
      </c>
      <c r="P1706">
        <v>6128</v>
      </c>
      <c r="Q1706" t="inlineStr">
        <is>
          <t>68c6cea4287c750001a5aa67</t>
        </is>
      </c>
      <c r="R1706" t="inlineStr">
        <is>
          <t>🚫重复</t>
        </is>
      </c>
      <c r="S1706" t="inlineStr">
        <is>
          <t>PPT模板</t>
        </is>
      </c>
      <c r="T1706" t="inlineStr">
        <is>
          <t>0.49</t>
        </is>
      </c>
      <c r="U1706" s="3">
        <v>46112.78107638889</v>
      </c>
      <c r="V1706" t="inlineStr">
        <is>
          <t>虚拟产品</t>
        </is>
      </c>
      <c r="W1706" s="3">
        <v>46052</v>
      </c>
      <c r="X1706" t="inlineStr">
        <is>
          <t>01</t>
        </is>
      </c>
      <c r="Y1706" t="inlineStr">
        <is>
          <t>2026-Q1</t>
        </is>
      </c>
    </row>
    <row r="1707" ht="38.25" customHeight="1">
      <c r="A1707" t="inlineStr">
        <is>
          <t>【电子 自选】25秋3-6年级期末作文复习指导课件 教案 范文</t>
        </is>
      </c>
      <c r="B1707" t="inlineStr">
        <is>
          <t>recv9KVRcYu5EF.jpg</t>
        </is>
      </c>
      <c r="C1707" s="2" t="str">
        <f>=HYPERLINK("https://xhslink.com/m/1yNPqF0FBc0", "https://xhslink.com/m/1yNPqF0FBc0")</f>
        <v>https://xhslink.com/m/1yNPqF0FBc0</v>
      </c>
      <c r="D1707"/>
      <c r="E1707">
        <v>591</v>
      </c>
      <c r="F1707">
        <v>32.9</v>
      </c>
      <c r="G1707"/>
      <c r="H1707"/>
      <c r="I1707">
        <v>500</v>
      </c>
      <c r="J1707"/>
      <c r="K1707" t="inlineStr">
        <is>
          <t>语文课件</t>
        </is>
      </c>
      <c r="L1707"/>
      <c r="M1707" t="inlineStr">
        <is>
          <t>小紫老师的店</t>
        </is>
      </c>
      <c r="N1707">
        <v>6792</v>
      </c>
      <c r="O1707">
        <v>4.55</v>
      </c>
      <c r="P1707">
        <v>13000</v>
      </c>
      <c r="Q1707" t="inlineStr">
        <is>
          <t>6942a9841f22d20001675198</t>
        </is>
      </c>
      <c r="R1707"/>
      <c r="S1707" t="inlineStr">
        <is>
          <t>中小学教辅/教材</t>
        </is>
      </c>
      <c r="T1707" t="inlineStr">
        <is>
          <t>0.09</t>
        </is>
      </c>
      <c r="U1707" s="3">
        <v>46112.78107638889</v>
      </c>
      <c r="V1707" t="inlineStr">
        <is>
          <t>虚拟产品</t>
        </is>
      </c>
      <c r="W1707" s="3">
        <v>46052</v>
      </c>
      <c r="X1707" t="inlineStr">
        <is>
          <t>01</t>
        </is>
      </c>
      <c r="Y1707" t="inlineStr">
        <is>
          <t>2026-Q1</t>
        </is>
      </c>
    </row>
    <row r="1708" ht="38.25" customHeight="1">
      <c r="A1708" t="inlineStr">
        <is>
          <t>三年级语文上册复习课件合集期末专项复习期中复习1-8单元复习ppt</t>
        </is>
      </c>
      <c r="B1708" t="inlineStr">
        <is>
          <t>recv9KVRcYRRBH.jpg</t>
        </is>
      </c>
      <c r="C1708" s="2" t="str">
        <f>=HYPERLINK("https://xhslink.com/m/55BJWaUg7t6", "https://xhslink.com/m/55BJWaUg7t6")</f>
        <v>https://xhslink.com/m/55BJWaUg7t6</v>
      </c>
      <c r="D1708"/>
      <c r="E1708">
        <v>516</v>
      </c>
      <c r="F1708">
        <v>59.9</v>
      </c>
      <c r="G1708"/>
      <c r="H1708"/>
      <c r="I1708">
        <v>400</v>
      </c>
      <c r="J1708"/>
      <c r="K1708" t="inlineStr">
        <is>
          <t>语文课件</t>
        </is>
      </c>
      <c r="L1708"/>
      <c r="M1708" t="inlineStr">
        <is>
          <t>好好去备课的店</t>
        </is>
      </c>
      <c r="N1708">
        <v>935</v>
      </c>
      <c r="O1708">
        <v>4.49</v>
      </c>
      <c r="P1708">
        <v>2606</v>
      </c>
      <c r="Q1708" t="inlineStr">
        <is>
          <t>6929682835010900010bd53f</t>
        </is>
      </c>
      <c r="R1708" t="inlineStr">
        <is>
          <t>🚫重复</t>
        </is>
      </c>
      <c r="S1708" t="inlineStr">
        <is>
          <t>中小学教辅/教材</t>
        </is>
      </c>
      <c r="T1708" t="inlineStr">
        <is>
          <t>0.55</t>
        </is>
      </c>
      <c r="U1708" s="3">
        <v>46112.78107638889</v>
      </c>
      <c r="V1708" t="inlineStr">
        <is>
          <t>虚拟产品</t>
        </is>
      </c>
      <c r="W1708" s="3">
        <v>46052</v>
      </c>
      <c r="X1708" t="inlineStr">
        <is>
          <t>01</t>
        </is>
      </c>
      <c r="Y1708" t="inlineStr">
        <is>
          <t>2026-Q1</t>
        </is>
      </c>
    </row>
    <row r="1709" ht="38.25" customHeight="1">
      <c r="A1709" t="inlineStr">
        <is>
          <t>初中语文作文课件合集</t>
        </is>
      </c>
      <c r="B1709" t="inlineStr">
        <is>
          <t>recv9KVRcY0bTu.jpg</t>
        </is>
      </c>
      <c r="C1709" s="2" t="str">
        <f>=HYPERLINK("https://xhslink.com/m/7jrNjBIrf9n", "https://xhslink.com/m/7jrNjBIrf9n")</f>
        <v>https://xhslink.com/m/7jrNjBIrf9n</v>
      </c>
      <c r="D1709"/>
      <c r="E1709">
        <v>573</v>
      </c>
      <c r="F1709">
        <v>35</v>
      </c>
      <c r="G1709"/>
      <c r="H1709"/>
      <c r="I1709">
        <v>500</v>
      </c>
      <c r="J1709"/>
      <c r="K1709" t="inlineStr">
        <is>
          <t>语文课件</t>
        </is>
      </c>
      <c r="L1709"/>
      <c r="M1709" t="inlineStr">
        <is>
          <t>止语📖的店</t>
        </is>
      </c>
      <c r="N1709">
        <v>724</v>
      </c>
      <c r="O1709">
        <v>4.47</v>
      </c>
      <c r="P1709">
        <v>2165</v>
      </c>
      <c r="Q1709" t="inlineStr">
        <is>
          <t>694d2d98c43df90001cfb828</t>
        </is>
      </c>
      <c r="R1709"/>
      <c r="S1709" t="inlineStr">
        <is>
          <t>中小学教辅/教材</t>
        </is>
      </c>
      <c r="T1709" t="inlineStr">
        <is>
          <t>0.79</t>
        </is>
      </c>
      <c r="U1709" s="3">
        <v>46112.78107638889</v>
      </c>
      <c r="V1709" t="inlineStr">
        <is>
          <t>虚拟产品</t>
        </is>
      </c>
      <c r="W1709" s="3">
        <v>46052</v>
      </c>
      <c r="X1709" t="inlineStr">
        <is>
          <t>01</t>
        </is>
      </c>
      <c r="Y1709" t="inlineStr">
        <is>
          <t>2026-Q1</t>
        </is>
      </c>
    </row>
    <row r="1710" ht="38.25" customHeight="1">
      <c r="A1710" t="inlineStr">
        <is>
          <t>店铺会员|语文教学必备资料初中教学课件+教务资料4W+合集</t>
        </is>
      </c>
      <c r="B1710" t="inlineStr">
        <is>
          <t>recv9KVRcYSJxe.jpg</t>
        </is>
      </c>
      <c r="C1710" s="2" t="str">
        <f>=HYPERLINK("https://xhslink.com/m/1mAD5tLSqe8", "https://xhslink.com/m/1mAD5tLSqe8")</f>
        <v>https://xhslink.com/m/1mAD5tLSqe8</v>
      </c>
      <c r="D1710"/>
      <c r="E1710">
        <v>511</v>
      </c>
      <c r="F1710">
        <v>69.9</v>
      </c>
      <c r="G1710"/>
      <c r="H1710"/>
      <c r="I1710">
        <v>400</v>
      </c>
      <c r="J1710"/>
      <c r="K1710" t="inlineStr">
        <is>
          <t>语文课件</t>
        </is>
      </c>
      <c r="L1710"/>
      <c r="M1710" t="inlineStr">
        <is>
          <t>萌小萌i的店</t>
        </is>
      </c>
      <c r="N1710">
        <v>385</v>
      </c>
      <c r="O1710">
        <v>4.44</v>
      </c>
      <c r="P1710">
        <v>9061</v>
      </c>
      <c r="Q1710" t="inlineStr">
        <is>
          <t>68afc8378f5313000187f453</t>
        </is>
      </c>
      <c r="R1710" t="inlineStr">
        <is>
          <t>🚫重复</t>
        </is>
      </c>
      <c r="S1710" t="inlineStr">
        <is>
          <t>中小学教辅/教材</t>
        </is>
      </c>
      <c r="T1710" t="inlineStr">
        <is>
          <t>1.33</t>
        </is>
      </c>
      <c r="U1710" s="3">
        <v>46112.78107638889</v>
      </c>
      <c r="V1710" t="inlineStr">
        <is>
          <t>虚拟产品</t>
        </is>
      </c>
      <c r="W1710" s="3">
        <v>46052</v>
      </c>
      <c r="X1710" t="inlineStr">
        <is>
          <t>01</t>
        </is>
      </c>
      <c r="Y1710" t="inlineStr">
        <is>
          <t>2026-Q1</t>
        </is>
      </c>
    </row>
    <row r="1711" ht="38.25" customHeight="1">
      <c r="A1711" t="inlineStr">
        <is>
          <t>2026春部编版人教版123456年级语文上下册同步PPT课件配套教案</t>
        </is>
      </c>
      <c r="B1711" t="inlineStr">
        <is>
          <t>recv9KVRcYACD6.jpg</t>
        </is>
      </c>
      <c r="C1711" s="2" t="str">
        <f>=HYPERLINK("https://xhslink.com/m/AifgDhpgwB2", "https://xhslink.com/m/AifgDhpgwB2")</f>
        <v>https://xhslink.com/m/AifgDhpgwB2</v>
      </c>
      <c r="D1711"/>
      <c r="E1711">
        <v>423</v>
      </c>
      <c r="F1711">
        <v>53.6</v>
      </c>
      <c r="G1711"/>
      <c r="H1711"/>
      <c r="I1711">
        <v>300</v>
      </c>
      <c r="J1711"/>
      <c r="K1711" t="inlineStr">
        <is>
          <t>语文课件</t>
        </is>
      </c>
      <c r="L1711"/>
      <c r="M1711" t="inlineStr">
        <is>
          <t>小学麦穗老师的店</t>
        </is>
      </c>
      <c r="N1711">
        <v>2820</v>
      </c>
      <c r="O1711">
        <v>4.49</v>
      </c>
      <c r="P1711">
        <v>10000</v>
      </c>
      <c r="Q1711" t="inlineStr">
        <is>
          <t>68c6d6d7287c750001a5f67d</t>
        </is>
      </c>
      <c r="R1711" t="inlineStr">
        <is>
          <t>🚫重复</t>
        </is>
      </c>
      <c r="S1711" t="inlineStr">
        <is>
          <t>中小学教辅/教材</t>
        </is>
      </c>
      <c r="T1711" t="inlineStr">
        <is>
          <t>0.15</t>
        </is>
      </c>
      <c r="U1711" s="3">
        <v>46112.78107638889</v>
      </c>
      <c r="V1711" t="inlineStr">
        <is>
          <t>虚拟产品</t>
        </is>
      </c>
      <c r="W1711" s="3">
        <v>46052</v>
      </c>
      <c r="X1711" t="inlineStr">
        <is>
          <t>01</t>
        </is>
      </c>
      <c r="Y1711" t="inlineStr">
        <is>
          <t>2026-Q1</t>
        </is>
      </c>
    </row>
    <row r="1712" ht="38.25" customHeight="1">
      <c r="A1712" t="inlineStr">
        <is>
          <t>2025年秋新版小学语文1-6年级上下册人教版部编版课件教案PPT反思</t>
        </is>
      </c>
      <c r="B1712" t="inlineStr">
        <is>
          <t>recv9KVRcYz4st.jpg</t>
        </is>
      </c>
      <c r="C1712" s="2" t="str">
        <f>=HYPERLINK("https://xhslink.com/m/3kSUjAWdZnm", "https://xhslink.com/m/3kSUjAWdZnm")</f>
        <v>https://xhslink.com/m/3kSUjAWdZnm</v>
      </c>
      <c r="D1712"/>
      <c r="E1712">
        <v>414</v>
      </c>
      <c r="F1712">
        <v>40</v>
      </c>
      <c r="G1712"/>
      <c r="H1712"/>
      <c r="I1712">
        <v>200</v>
      </c>
      <c r="J1712"/>
      <c r="K1712" t="inlineStr">
        <is>
          <t>语文课件</t>
        </is>
      </c>
      <c r="L1712"/>
      <c r="M1712" t="inlineStr">
        <is>
          <t>好课甄选的店</t>
        </is>
      </c>
      <c r="N1712">
        <v>267</v>
      </c>
      <c r="O1712">
        <v>4.38</v>
      </c>
      <c r="P1712">
        <v>909</v>
      </c>
      <c r="Q1712" t="inlineStr">
        <is>
          <t>68d75b30c67e4700011be49d</t>
        </is>
      </c>
      <c r="R1712"/>
      <c r="S1712" t="inlineStr">
        <is>
          <t>中小学教辅/教材</t>
        </is>
      </c>
      <c r="T1712" t="inlineStr">
        <is>
          <t>1.55</t>
        </is>
      </c>
      <c r="U1712" s="3">
        <v>46112.78107638889</v>
      </c>
      <c r="V1712" t="inlineStr">
        <is>
          <t>虚拟产品</t>
        </is>
      </c>
      <c r="W1712" s="3">
        <v>46052</v>
      </c>
      <c r="X1712" t="inlineStr">
        <is>
          <t>01</t>
        </is>
      </c>
      <c r="Y1712" t="inlineStr">
        <is>
          <t>2026-Q1</t>
        </is>
      </c>
    </row>
    <row r="1713" ht="38.25" customHeight="1">
      <c r="A1713" t="inlineStr">
        <is>
          <t>小学语文六年级上册课件合集PPT教案教学设计</t>
        </is>
      </c>
      <c r="B1713" t="inlineStr">
        <is>
          <t>recv9KVRcYAfcF.jpg</t>
        </is>
      </c>
      <c r="C1713" s="2" t="str">
        <f>=HYPERLINK("https://xhslink.com/m/14JopXEjsW6", "https://xhslink.com/m/14JopXEjsW6")</f>
        <v>https://xhslink.com/m/14JopXEjsW6</v>
      </c>
      <c r="D1713"/>
      <c r="E1713">
        <v>388</v>
      </c>
      <c r="F1713">
        <v>49.9</v>
      </c>
      <c r="G1713"/>
      <c r="H1713"/>
      <c r="I1713">
        <v>200</v>
      </c>
      <c r="J1713"/>
      <c r="K1713" t="inlineStr">
        <is>
          <t>语文课件</t>
        </is>
      </c>
      <c r="L1713"/>
      <c r="M1713" t="inlineStr">
        <is>
          <t>好好去备课的店</t>
        </is>
      </c>
      <c r="N1713">
        <v>935</v>
      </c>
      <c r="O1713">
        <v>4.49</v>
      </c>
      <c r="P1713">
        <v>2606</v>
      </c>
      <c r="Q1713" t="inlineStr">
        <is>
          <t>68aecae962c1ee0001578b49</t>
        </is>
      </c>
      <c r="R1713" t="inlineStr">
        <is>
          <t>🚫重复</t>
        </is>
      </c>
      <c r="S1713" t="inlineStr">
        <is>
          <t>中小学教辅/教材</t>
        </is>
      </c>
      <c r="T1713" t="inlineStr">
        <is>
          <t>0.41</t>
        </is>
      </c>
      <c r="U1713" s="3">
        <v>46112.78107638889</v>
      </c>
      <c r="V1713" t="inlineStr">
        <is>
          <t>虚拟产品</t>
        </is>
      </c>
      <c r="W1713" s="3">
        <v>46052</v>
      </c>
      <c r="X1713" t="inlineStr">
        <is>
          <t>01</t>
        </is>
      </c>
      <c r="Y1713" t="inlineStr">
        <is>
          <t>2026-Q1</t>
        </is>
      </c>
    </row>
    <row r="1714" ht="38.25" customHeight="1">
      <c r="A1714" t="inlineStr">
        <is>
          <t>【25新版】三上语文单元复习课件+教学设计（ai融合课件）</t>
        </is>
      </c>
      <c r="B1714" t="inlineStr">
        <is>
          <t>recv9KVRcYN9h1.jpg</t>
        </is>
      </c>
      <c r="C1714" s="2" t="str">
        <f>=HYPERLINK("https://xhslink.com/m/1WYEQVo9mbl", "https://xhslink.com/m/1WYEQVo9mbl")</f>
        <v>https://xhslink.com/m/1WYEQVo9mbl</v>
      </c>
      <c r="D1714"/>
      <c r="E1714">
        <v>346</v>
      </c>
      <c r="F1714">
        <v>38</v>
      </c>
      <c r="G1714"/>
      <c r="H1714"/>
      <c r="I1714">
        <v>300</v>
      </c>
      <c r="J1714"/>
      <c r="K1714" t="inlineStr">
        <is>
          <t>语文课件</t>
        </is>
      </c>
      <c r="L1714"/>
      <c r="M1714" t="inlineStr">
        <is>
          <t>小森林学堂的店</t>
        </is>
      </c>
      <c r="N1714">
        <v>163</v>
      </c>
      <c r="O1714">
        <v>4.49</v>
      </c>
      <c r="P1714">
        <v>1056</v>
      </c>
      <c r="Q1714" t="inlineStr">
        <is>
          <t>68f2f318bc668f0015385553</t>
        </is>
      </c>
      <c r="R1714"/>
      <c r="S1714" t="inlineStr">
        <is>
          <t>中小学教辅/教材</t>
        </is>
      </c>
      <c r="T1714" t="inlineStr">
        <is>
          <t>2.12</t>
        </is>
      </c>
      <c r="U1714" s="3">
        <v>46112.78107638889</v>
      </c>
      <c r="V1714" t="inlineStr">
        <is>
          <t>虚拟产品</t>
        </is>
      </c>
      <c r="W1714" s="3">
        <v>46052</v>
      </c>
      <c r="X1714" t="inlineStr">
        <is>
          <t>01</t>
        </is>
      </c>
      <c r="Y1714" t="inlineStr">
        <is>
          <t>2026-Q1</t>
        </is>
      </c>
    </row>
    <row r="1715" ht="38.25" customHeight="1">
      <c r="A1715" t="inlineStr">
        <is>
          <t>小学语文精品公开课系列 |点进去选择</t>
        </is>
      </c>
      <c r="B1715" t="inlineStr">
        <is>
          <t>recv9KVRcYURrq.jpg</t>
        </is>
      </c>
      <c r="C1715" s="2" t="str">
        <f>=HYPERLINK("https://xhslink.com/m/AdIX7JUR87W", "https://xhslink.com/m/AdIX7JUR87W")</f>
        <v>https://xhslink.com/m/AdIX7JUR87W</v>
      </c>
      <c r="D1715"/>
      <c r="E1715">
        <v>291</v>
      </c>
      <c r="F1715">
        <v>29.9</v>
      </c>
      <c r="G1715"/>
      <c r="H1715"/>
      <c r="I1715">
        <v>200</v>
      </c>
      <c r="J1715"/>
      <c r="K1715" t="inlineStr">
        <is>
          <t>语文课件</t>
        </is>
      </c>
      <c r="L1715"/>
      <c r="M1715" t="inlineStr">
        <is>
          <t>温暖开在冬天的店</t>
        </is>
      </c>
      <c r="N1715">
        <v>17000</v>
      </c>
      <c r="O1715">
        <v>4.37</v>
      </c>
      <c r="P1715">
        <v>13000</v>
      </c>
      <c r="Q1715" t="inlineStr">
        <is>
          <t>692c1d0ab70fce000108cfa5</t>
        </is>
      </c>
      <c r="R1715"/>
      <c r="S1715" t="inlineStr">
        <is>
          <t>中小学教辅/教材</t>
        </is>
      </c>
      <c r="T1715" t="inlineStr">
        <is>
          <t>0.02</t>
        </is>
      </c>
      <c r="U1715" s="3">
        <v>46112.78107638889</v>
      </c>
      <c r="V1715" t="inlineStr">
        <is>
          <t>虚拟产品</t>
        </is>
      </c>
      <c r="W1715" s="3">
        <v>46052</v>
      </c>
      <c r="X1715" t="inlineStr">
        <is>
          <t>01</t>
        </is>
      </c>
      <c r="Y1715" t="inlineStr">
        <is>
          <t>2026-Q1</t>
        </is>
      </c>
    </row>
    <row r="1716" ht="38.25" customHeight="1">
      <c r="A1716" t="inlineStr">
        <is>
          <t>2025最新版初中语文八年级上册课件教案说课稿课时训练电子版</t>
        </is>
      </c>
      <c r="B1716" t="inlineStr">
        <is>
          <t>recv9KVRcYi3jS.jpg</t>
        </is>
      </c>
      <c r="C1716" s="2" t="str">
        <f>=HYPERLINK("https://xhslink.com/m/9rTRmKSXOcO", "https://xhslink.com/m/9rTRmKSXOcO")</f>
        <v>https://xhslink.com/m/9rTRmKSXOcO</v>
      </c>
      <c r="D1716"/>
      <c r="E1716">
        <v>273</v>
      </c>
      <c r="F1716">
        <v>69.9</v>
      </c>
      <c r="G1716"/>
      <c r="H1716"/>
      <c r="I1716">
        <v>200</v>
      </c>
      <c r="J1716"/>
      <c r="K1716" t="inlineStr">
        <is>
          <t>语文课件</t>
        </is>
      </c>
      <c r="L1716"/>
      <c r="M1716" t="inlineStr">
        <is>
          <t>哆哆学习资料库的店</t>
        </is>
      </c>
      <c r="N1716">
        <v>4789</v>
      </c>
      <c r="O1716">
        <v>4.53</v>
      </c>
      <c r="P1716">
        <v>3301</v>
      </c>
      <c r="Q1716" t="inlineStr">
        <is>
          <t>68d4f9797c1a030001fdc6c5</t>
        </is>
      </c>
      <c r="R1716"/>
      <c r="S1716" t="inlineStr">
        <is>
          <t>中小学教辅/教材</t>
        </is>
      </c>
      <c r="T1716" t="inlineStr">
        <is>
          <t>0.06</t>
        </is>
      </c>
      <c r="U1716" s="3">
        <v>46112.78107638889</v>
      </c>
      <c r="V1716" t="inlineStr">
        <is>
          <t>虚拟产品</t>
        </is>
      </c>
      <c r="W1716" s="3">
        <v>46052</v>
      </c>
      <c r="X1716" t="inlineStr">
        <is>
          <t>01</t>
        </is>
      </c>
      <c r="Y1716" t="inlineStr">
        <is>
          <t>2026-Q1</t>
        </is>
      </c>
    </row>
    <row r="1717" ht="38.25" customHeight="1">
      <c r="A1717" t="inlineStr">
        <is>
          <t>2025秋季新版人教版小学语文1-6年级上册期末总复习课件习题合</t>
        </is>
      </c>
      <c r="B1717" t="inlineStr">
        <is>
          <t>recv9KVRcYj9m5.jpg</t>
        </is>
      </c>
      <c r="C1717" s="2" t="str">
        <f>=HYPERLINK("https://xhslink.com/m/ATy2tMrpT8P", "https://xhslink.com/m/ATy2tMrpT8P")</f>
        <v>https://xhslink.com/m/ATy2tMrpT8P</v>
      </c>
      <c r="D1717"/>
      <c r="E1717">
        <v>256</v>
      </c>
      <c r="F1717">
        <v>36.8</v>
      </c>
      <c r="G1717"/>
      <c r="H1717"/>
      <c r="I1717">
        <v>200</v>
      </c>
      <c r="J1717"/>
      <c r="K1717" t="inlineStr">
        <is>
          <t>语文课件</t>
        </is>
      </c>
      <c r="L1717"/>
      <c r="M1717" t="inlineStr">
        <is>
          <t>薛定谔的🐒的店</t>
        </is>
      </c>
      <c r="N1717">
        <v>883</v>
      </c>
      <c r="O1717">
        <v>4.45</v>
      </c>
      <c r="P1717">
        <v>4493</v>
      </c>
      <c r="Q1717" t="inlineStr">
        <is>
          <t>69361c1ece3eb50001d13523</t>
        </is>
      </c>
      <c r="R1717"/>
      <c r="S1717" t="inlineStr">
        <is>
          <t>中小学教辅/教材</t>
        </is>
      </c>
      <c r="T1717" t="inlineStr">
        <is>
          <t>0.29</t>
        </is>
      </c>
      <c r="U1717" s="3">
        <v>46112.78107638889</v>
      </c>
      <c r="V1717" t="inlineStr">
        <is>
          <t>虚拟产品</t>
        </is>
      </c>
      <c r="W1717" s="3">
        <v>46052</v>
      </c>
      <c r="X1717" t="inlineStr">
        <is>
          <t>01</t>
        </is>
      </c>
      <c r="Y1717" t="inlineStr">
        <is>
          <t>2026-Q1</t>
        </is>
      </c>
    </row>
    <row r="1718" ht="38.25" customHeight="1">
      <c r="A1718" t="inlineStr">
        <is>
          <t>【2025新版】三年级上册语文复习课件+教案｜下方选择单元</t>
        </is>
      </c>
      <c r="B1718" t="inlineStr">
        <is>
          <t>recv9KVRcYFFfg.jpg</t>
        </is>
      </c>
      <c r="C1718" s="2" t="str">
        <f>=HYPERLINK("https://xhslink.com/m/4PKPqCWKECp", "https://xhslink.com/m/4PKPqCWKECp")</f>
        <v>https://xhslink.com/m/4PKPqCWKECp</v>
      </c>
      <c r="D1718"/>
      <c r="E1718">
        <v>247</v>
      </c>
      <c r="F1718">
        <v>49.9</v>
      </c>
      <c r="G1718"/>
      <c r="H1718"/>
      <c r="I1718">
        <v>200</v>
      </c>
      <c r="J1718"/>
      <c r="K1718" t="inlineStr">
        <is>
          <t>语文课件</t>
        </is>
      </c>
      <c r="L1718"/>
      <c r="M1718" t="inlineStr">
        <is>
          <t>卢月如的店</t>
        </is>
      </c>
      <c r="N1718">
        <v>2312</v>
      </c>
      <c r="O1718">
        <v>4.5</v>
      </c>
      <c r="P1718">
        <v>15000</v>
      </c>
      <c r="Q1718" t="inlineStr">
        <is>
          <t>693e7efd4f2ba20001fd8fde</t>
        </is>
      </c>
      <c r="R1718" t="inlineStr">
        <is>
          <t>🚫重复</t>
        </is>
      </c>
      <c r="S1718" t="inlineStr">
        <is>
          <t>中小学教辅/教材</t>
        </is>
      </c>
      <c r="T1718" t="inlineStr">
        <is>
          <t>0.11</t>
        </is>
      </c>
      <c r="U1718" s="3">
        <v>46112.78107638889</v>
      </c>
      <c r="V1718" t="inlineStr">
        <is>
          <t>虚拟产品</t>
        </is>
      </c>
      <c r="W1718" s="3">
        <v>46052</v>
      </c>
      <c r="X1718" t="inlineStr">
        <is>
          <t>01</t>
        </is>
      </c>
      <c r="Y1718" t="inlineStr">
        <is>
          <t>2026-Q1</t>
        </is>
      </c>
    </row>
    <row r="1719" ht="38.25" customHeight="1">
      <c r="A1719" t="inlineStr">
        <is>
          <t>（每天更新！）26届秋招/寒假实习/春招公司信息汇总表，自动秒发</t>
        </is>
      </c>
      <c r="B1719" t="inlineStr">
        <is>
          <t>recv9QP6Fye8le.jpg</t>
        </is>
      </c>
      <c r="C1719" s="2" t="str">
        <f>=HYPERLINK("https://xhslink.com/m/AIRigVOjcSs", "https://xhslink.com/m/AIRigVOjcSs")</f>
        <v>https://xhslink.com/m/AIRigVOjcSs</v>
      </c>
      <c r="D1719"/>
      <c r="E1719">
        <v>55000</v>
      </c>
      <c r="F1719">
        <v>9.9</v>
      </c>
      <c r="G1719"/>
      <c r="H1719"/>
      <c r="I1719">
        <v>9000</v>
      </c>
      <c r="J1719"/>
      <c r="K1719" t="inlineStr">
        <is>
          <t>春招</t>
        </is>
      </c>
      <c r="L1719" t="inlineStr">
        <is>
          <t>🔥低粉爆款</t>
        </is>
      </c>
      <c r="M1719" t="inlineStr">
        <is>
          <t>鲨鲨不想上班的店</t>
        </is>
      </c>
      <c r="N1719">
        <v>13000</v>
      </c>
      <c r="O1719">
        <v>4.58</v>
      </c>
      <c r="P1719">
        <v>58000</v>
      </c>
      <c r="Q1719" t="inlineStr">
        <is>
          <t>68677f554d48950001ec80eb</t>
        </is>
      </c>
      <c r="R1719"/>
      <c r="S1719" t="inlineStr">
        <is>
          <t>求职面试/职场</t>
        </is>
      </c>
      <c r="T1719" t="inlineStr">
        <is>
          <t>4.23</t>
        </is>
      </c>
      <c r="U1719" s="3">
        <v>46112.78107638889</v>
      </c>
      <c r="V1719" t="inlineStr">
        <is>
          <t>虚拟产品</t>
        </is>
      </c>
      <c r="W1719" s="3">
        <v>46053</v>
      </c>
      <c r="X1719" t="inlineStr">
        <is>
          <t>01</t>
        </is>
      </c>
      <c r="Y1719" t="inlineStr">
        <is>
          <t>2026-Q1</t>
        </is>
      </c>
    </row>
    <row r="1720" ht="38.25" customHeight="1">
      <c r="A1720" t="inlineStr">
        <is>
          <t>【手工整理+日更】2026届秋招提前批+正式批+春招岗位汇总表</t>
        </is>
      </c>
      <c r="B1720" t="inlineStr">
        <is>
          <t>recv9QP6Fywtrl.jpg</t>
        </is>
      </c>
      <c r="C1720" s="2" t="str">
        <f>=HYPERLINK("https://xhslink.com/m/3tP3lWjYcY", "https://xhslink.com/m/3tP3lWjYcY")</f>
        <v>https://xhslink.com/m/3tP3lWjYcY</v>
      </c>
      <c r="D1720"/>
      <c r="E1720">
        <v>1603</v>
      </c>
      <c r="F1720">
        <v>24.9</v>
      </c>
      <c r="G1720"/>
      <c r="H1720"/>
      <c r="I1720">
        <v>600</v>
      </c>
      <c r="J1720"/>
      <c r="K1720" t="inlineStr">
        <is>
          <t>秋招</t>
        </is>
      </c>
      <c r="L1720" t="inlineStr">
        <is>
          <t>🔥低粉爆款</t>
        </is>
      </c>
      <c r="M1720" t="inlineStr">
        <is>
          <t>小锦鲤快快游的店</t>
        </is>
      </c>
      <c r="N1720">
        <v>61</v>
      </c>
      <c r="O1720">
        <v>4.27</v>
      </c>
      <c r="P1720">
        <v>1722</v>
      </c>
      <c r="Q1720" t="inlineStr">
        <is>
          <t>688a08f2e019f200014c0ba8</t>
        </is>
      </c>
      <c r="R1720"/>
      <c r="S1720" t="inlineStr">
        <is>
          <t>求职面试/职场</t>
        </is>
      </c>
      <c r="T1720" t="inlineStr">
        <is>
          <t>26.28</t>
        </is>
      </c>
      <c r="U1720" s="3">
        <v>46112.78107638889</v>
      </c>
      <c r="V1720" t="inlineStr">
        <is>
          <t>虚拟产品</t>
        </is>
      </c>
      <c r="W1720" s="3">
        <v>46053</v>
      </c>
      <c r="X1720" t="inlineStr">
        <is>
          <t>01</t>
        </is>
      </c>
      <c r="Y1720" t="inlineStr">
        <is>
          <t>2026-Q1</t>
        </is>
      </c>
    </row>
    <row r="1721" ht="38.25" customHeight="1">
      <c r="A1721" t="inlineStr">
        <is>
          <t>安静养小猫 自习课神器</t>
        </is>
      </c>
      <c r="B1721" t="inlineStr">
        <is>
          <t>recv9QP6FywYQF.jpg</t>
        </is>
      </c>
      <c r="C1721" s="2" t="str">
        <f>=HYPERLINK("https://xhslink.com/m/Zon0dnWVO9", "https://xhslink.com/m/Zon0dnWVO9")</f>
        <v>https://xhslink.com/m/Zon0dnWVO9</v>
      </c>
      <c r="D1721"/>
      <c r="E1721">
        <v>228</v>
      </c>
      <c r="F1721">
        <v>6.9</v>
      </c>
      <c r="G1721"/>
      <c r="H1721"/>
      <c r="I1721">
        <v>200</v>
      </c>
      <c r="J1721"/>
      <c r="K1721" t="inlineStr">
        <is>
          <t>自习</t>
        </is>
      </c>
      <c r="L1721" t="inlineStr">
        <is>
          <t>🔥低粉爆款</t>
        </is>
      </c>
      <c r="M1721" t="inlineStr">
        <is>
          <t>土豆子老师的店</t>
        </is>
      </c>
      <c r="N1721">
        <v>47</v>
      </c>
      <c r="O1721">
        <v>4.1</v>
      </c>
      <c r="P1721">
        <v>590</v>
      </c>
      <c r="Q1721" t="inlineStr">
        <is>
          <t>691c3d8f01312b0001cb03c8</t>
        </is>
      </c>
      <c r="R1721"/>
      <c r="S1721" t="inlineStr">
        <is>
          <t>生活成长</t>
        </is>
      </c>
      <c r="T1721" t="inlineStr">
        <is>
          <t>4.85</t>
        </is>
      </c>
      <c r="U1721" s="3">
        <v>46112.78107638889</v>
      </c>
      <c r="V1721"/>
      <c r="W1721" s="3">
        <v>46053</v>
      </c>
      <c r="X1721" t="inlineStr">
        <is>
          <t>01</t>
        </is>
      </c>
      <c r="Y1721" t="inlineStr">
        <is>
          <t>2026-Q1</t>
        </is>
      </c>
    </row>
    <row r="1722" ht="38.25" customHeight="1">
      <c r="A1722" t="inlineStr">
        <is>
          <t>小书洞 · 【上新绝版学科合集】三联少年刊-少年新知 全年12期，杂志订阅</t>
        </is>
      </c>
      <c r="B1722" t="inlineStr">
        <is>
          <t>__upload_recv9QP6FyfdVv.jpg</t>
        </is>
      </c>
      <c r="C1722" s="2" t="str">
        <f>=HYPERLINK("https://xhslink.com/m/317rYpY4bfA", "https://xhslink.com/m/317rYpY4bfA")</f>
        <v>https://xhslink.com/m/317rYpY4bfA</v>
      </c>
      <c r="D1722"/>
      <c r="E1722">
        <v>9456</v>
      </c>
      <c r="F1722">
        <v>285</v>
      </c>
      <c r="G1722"/>
      <c r="H1722"/>
      <c r="I1722">
        <v>2000</v>
      </c>
      <c r="J1722">
        <v>300</v>
      </c>
      <c r="K1722" t="inlineStr">
        <is>
          <t>学科资料</t>
        </is>
      </c>
      <c r="L1722"/>
      <c r="M1722" t="inlineStr">
        <is>
          <t>仁意文化的店</t>
        </is>
      </c>
      <c r="N1722">
        <v>11000</v>
      </c>
      <c r="O1722">
        <v>4.64</v>
      </c>
      <c r="P1722">
        <v>530000</v>
      </c>
      <c r="Q1722" t="inlineStr">
        <is>
          <t>68d9efe2f8d1f000013109e3</t>
        </is>
      </c>
      <c r="R1722" t="inlineStr">
        <is>
          <t>🚫重复</t>
        </is>
      </c>
      <c r="S1722" t="inlineStr">
        <is>
          <t>中小学教辅/教材</t>
        </is>
      </c>
      <c r="T1722" t="inlineStr">
        <is>
          <t>0.86</t>
        </is>
      </c>
      <c r="U1722" s="3">
        <v>46112.78107638889</v>
      </c>
      <c r="V1722"/>
      <c r="W1722" s="3">
        <v>46053</v>
      </c>
      <c r="X1722" t="inlineStr">
        <is>
          <t>01</t>
        </is>
      </c>
      <c r="Y1722" t="inlineStr">
        <is>
          <t>2026-Q1</t>
        </is>
      </c>
    </row>
    <row r="1723" ht="38.25" customHeight="1">
      <c r="A1723" t="inlineStr">
        <is>
          <t>人教部编版小学道德与法治ppt课件教案一二三四六年级</t>
        </is>
      </c>
      <c r="B1723" t="inlineStr">
        <is>
          <t>recv9QP6Fyuwf7.jpg</t>
        </is>
      </c>
      <c r="C1723" s="2" t="str">
        <f>=HYPERLINK("https://xhslink.com/m/59hzBw8dHWb", "https://xhslink.com/m/59hzBw8dHWb")</f>
        <v>https://xhslink.com/m/59hzBw8dHWb</v>
      </c>
      <c r="D1723"/>
      <c r="E1723">
        <v>9434</v>
      </c>
      <c r="F1723">
        <v>60</v>
      </c>
      <c r="G1723"/>
      <c r="H1723"/>
      <c r="I1723">
        <v>400</v>
      </c>
      <c r="J1723"/>
      <c r="K1723" t="inlineStr">
        <is>
          <t>课件</t>
        </is>
      </c>
      <c r="L1723"/>
      <c r="M1723" t="inlineStr">
        <is>
          <t>艺童老师（秒回秒发）的店</t>
        </is>
      </c>
      <c r="N1723">
        <v>10000</v>
      </c>
      <c r="O1723">
        <v>4.33</v>
      </c>
      <c r="P1723">
        <v>32000</v>
      </c>
      <c r="Q1723" t="inlineStr">
        <is>
          <t>66a8a4a81c4a4b000154be22</t>
        </is>
      </c>
      <c r="R1723" t="inlineStr">
        <is>
          <t>🚫重复</t>
        </is>
      </c>
      <c r="S1723" t="inlineStr">
        <is>
          <t>中小学教辅/教材</t>
        </is>
      </c>
      <c r="T1723" t="inlineStr">
        <is>
          <t>0.94</t>
        </is>
      </c>
      <c r="U1723" s="3">
        <v>46112.78107638889</v>
      </c>
      <c r="V1723"/>
      <c r="W1723" s="3">
        <v>46053</v>
      </c>
      <c r="X1723" t="inlineStr">
        <is>
          <t>01</t>
        </is>
      </c>
      <c r="Y1723" t="inlineStr">
        <is>
          <t>2026-Q1</t>
        </is>
      </c>
    </row>
    <row r="1724" ht="38.25" customHeight="1">
      <c r="A1724" t="inlineStr">
        <is>
          <t>【2025秋新教材】三上语文大单元任务群系列</t>
        </is>
      </c>
      <c r="B1724" t="inlineStr">
        <is>
          <t>recv9QP6FyHOwy.jpg</t>
        </is>
      </c>
      <c r="C1724" s="2" t="str">
        <f>=HYPERLINK("https://xhslink.com/m/Wggz3EW4Ue", "https://xhslink.com/m/Wggz3EW4Ue")</f>
        <v>https://xhslink.com/m/Wggz3EW4Ue</v>
      </c>
      <c r="D1724"/>
      <c r="E1724">
        <v>8535</v>
      </c>
      <c r="F1724">
        <v>66.13</v>
      </c>
      <c r="G1724"/>
      <c r="H1724"/>
      <c r="I1724">
        <v>1000</v>
      </c>
      <c r="J1724"/>
      <c r="K1724" t="inlineStr">
        <is>
          <t>课件</t>
        </is>
      </c>
      <c r="L1724"/>
      <c r="M1724" t="inlineStr">
        <is>
          <t>C加教育咨询的店</t>
        </is>
      </c>
      <c r="N1724">
        <v>29000</v>
      </c>
      <c r="O1724">
        <v>4.49</v>
      </c>
      <c r="P1724">
        <v>87000</v>
      </c>
      <c r="Q1724" t="inlineStr">
        <is>
          <t>69305f27a4503a000103d963</t>
        </is>
      </c>
      <c r="R1724" t="inlineStr">
        <is>
          <t>🚫重复</t>
        </is>
      </c>
      <c r="S1724" t="inlineStr">
        <is>
          <t>中小学教辅/教材</t>
        </is>
      </c>
      <c r="T1724" t="inlineStr">
        <is>
          <t>0.29</t>
        </is>
      </c>
      <c r="U1724" s="3">
        <v>46112.78107638889</v>
      </c>
      <c r="V1724"/>
      <c r="W1724" s="3">
        <v>46053</v>
      </c>
      <c r="X1724" t="inlineStr">
        <is>
          <t>01</t>
        </is>
      </c>
      <c r="Y1724" t="inlineStr">
        <is>
          <t>2026-Q1</t>
        </is>
      </c>
    </row>
    <row r="1725" ht="38.25" customHeight="1">
      <c r="A1725" t="inlineStr">
        <is>
          <t>【K30】25新版三上语文大单元公开课任务群课件+详细教案</t>
        </is>
      </c>
      <c r="B1725" t="inlineStr">
        <is>
          <t>recv9QP6FyhnRL.jpg</t>
        </is>
      </c>
      <c r="C1725" s="2" t="str">
        <f>=HYPERLINK("https://xhslink.com/m/3CRUpqlXSyl", "https://xhslink.com/m/3CRUpqlXSyl")</f>
        <v>https://xhslink.com/m/3CRUpqlXSyl</v>
      </c>
      <c r="D1725"/>
      <c r="E1725">
        <v>6489</v>
      </c>
      <c r="F1725">
        <v>128</v>
      </c>
      <c r="G1725"/>
      <c r="H1725"/>
      <c r="I1725">
        <v>3000</v>
      </c>
      <c r="J1725"/>
      <c r="K1725" t="inlineStr">
        <is>
          <t>课件</t>
        </is>
      </c>
      <c r="L1725"/>
      <c r="M1725" t="inlineStr">
        <is>
          <t>小雪老师的课堂的店</t>
        </is>
      </c>
      <c r="N1725">
        <v>15000</v>
      </c>
      <c r="O1725">
        <v>4.33</v>
      </c>
      <c r="P1725">
        <v>82000</v>
      </c>
      <c r="Q1725" t="inlineStr">
        <is>
          <t>68770cbaa7c1e3000148f977</t>
        </is>
      </c>
      <c r="R1725" t="inlineStr">
        <is>
          <t>🚫重复</t>
        </is>
      </c>
      <c r="S1725" t="inlineStr">
        <is>
          <t>中小学教辅/教材</t>
        </is>
      </c>
      <c r="T1725" t="inlineStr">
        <is>
          <t>0.43</t>
        </is>
      </c>
      <c r="U1725" s="3">
        <v>46112.78107638889</v>
      </c>
      <c r="V1725" t="inlineStr">
        <is>
          <t>虚拟产品</t>
        </is>
      </c>
      <c r="W1725" s="3">
        <v>46053</v>
      </c>
      <c r="X1725" t="inlineStr">
        <is>
          <t>01</t>
        </is>
      </c>
      <c r="Y1725" t="inlineStr">
        <is>
          <t>2026-Q1</t>
        </is>
      </c>
    </row>
    <row r="1726" ht="38.25" customHeight="1">
      <c r="A1726" t="inlineStr">
        <is>
          <t>元旦联欢会（100页PPT）课件！元旦游戏，元旦课件</t>
        </is>
      </c>
      <c r="B1726" t="inlineStr">
        <is>
          <t>recv9QP6FykpQh.jpg</t>
        </is>
      </c>
      <c r="C1726" s="2" t="str">
        <f>=HYPERLINK("https://xhslink.com/m/4hi9QFbZNbh", "https://xhslink.com/m/4hi9QFbZNbh")</f>
        <v>https://xhslink.com/m/4hi9QFbZNbh</v>
      </c>
      <c r="D1726"/>
      <c r="E1726">
        <v>6044</v>
      </c>
      <c r="F1726">
        <v>89</v>
      </c>
      <c r="G1726"/>
      <c r="H1726"/>
      <c r="I1726">
        <v>6000</v>
      </c>
      <c r="J1726"/>
      <c r="K1726" t="inlineStr">
        <is>
          <t>课件</t>
        </is>
      </c>
      <c r="L1726"/>
      <c r="M1726" t="inlineStr">
        <is>
          <t>小兔子老师的课堂的店</t>
        </is>
      </c>
      <c r="N1726">
        <v>5381</v>
      </c>
      <c r="O1726">
        <v>4.42</v>
      </c>
      <c r="P1726">
        <v>13000</v>
      </c>
      <c r="Q1726" t="inlineStr">
        <is>
          <t>694af5b6110a7f0001b18053</t>
        </is>
      </c>
      <c r="R1726" t="inlineStr">
        <is>
          <t>🚫重复</t>
        </is>
      </c>
      <c r="S1726" t="inlineStr">
        <is>
          <t>PPT模板</t>
        </is>
      </c>
      <c r="T1726" t="inlineStr">
        <is>
          <t>1.12</t>
        </is>
      </c>
      <c r="U1726" s="3">
        <v>46112.78107638889</v>
      </c>
      <c r="V1726" t="inlineStr">
        <is>
          <t>虚拟产品</t>
        </is>
      </c>
      <c r="W1726" s="3">
        <v>46053</v>
      </c>
      <c r="X1726" t="inlineStr">
        <is>
          <t>01</t>
        </is>
      </c>
      <c r="Y1726" t="inlineStr">
        <is>
          <t>2026-Q1</t>
        </is>
      </c>
    </row>
    <row r="1727" ht="38.25" customHeight="1">
      <c r="A1727" t="inlineStr">
        <is>
          <t>初高中主题班会课件|持续更新</t>
        </is>
      </c>
      <c r="B1727" t="inlineStr">
        <is>
          <t>recv9QP6FyOqY4.jpg</t>
        </is>
      </c>
      <c r="C1727" s="2" t="str">
        <f>=HYPERLINK("https://xhslink.com/m/6wWRERsuazT", "https://xhslink.com/m/6wWRERsuazT")</f>
        <v>https://xhslink.com/m/6wWRERsuazT</v>
      </c>
      <c r="D1727"/>
      <c r="E1727">
        <v>6028</v>
      </c>
      <c r="F1727">
        <v>69.9</v>
      </c>
      <c r="G1727"/>
      <c r="H1727"/>
      <c r="I1727">
        <v>2000</v>
      </c>
      <c r="J1727"/>
      <c r="K1727" t="inlineStr">
        <is>
          <t>课件</t>
        </is>
      </c>
      <c r="L1727" t="inlineStr">
        <is>
          <t>🔥低粉爆款</t>
        </is>
      </c>
      <c r="M1727" t="inlineStr">
        <is>
          <t>Amy老师的资料库的店</t>
        </is>
      </c>
      <c r="N1727">
        <v>1602</v>
      </c>
      <c r="O1727">
        <v>4.55</v>
      </c>
      <c r="P1727">
        <v>13000</v>
      </c>
      <c r="Q1727" t="inlineStr">
        <is>
          <t>695b4ead23d3ce0001d2f8c2</t>
        </is>
      </c>
      <c r="R1727" t="inlineStr">
        <is>
          <t>🚫重复</t>
        </is>
      </c>
      <c r="S1727" t="inlineStr">
        <is>
          <t>中小学教辅/教材</t>
        </is>
      </c>
      <c r="T1727" t="inlineStr">
        <is>
          <t>3.76</t>
        </is>
      </c>
      <c r="U1727" s="3">
        <v>46112.78107638889</v>
      </c>
      <c r="V1727" t="inlineStr">
        <is>
          <t>虚拟产品</t>
        </is>
      </c>
      <c r="W1727" s="3">
        <v>46053</v>
      </c>
      <c r="X1727" t="inlineStr">
        <is>
          <t>01</t>
        </is>
      </c>
      <c r="Y1727" t="inlineStr">
        <is>
          <t>2026-Q1</t>
        </is>
      </c>
    </row>
    <row r="1728" ht="38.25" customHeight="1">
      <c r="A1728" t="inlineStr">
        <is>
          <t>人教版小学数学课件ppt教案一二三四五六年级上册下册试卷公开课</t>
        </is>
      </c>
      <c r="B1728" t="inlineStr">
        <is>
          <t>recv9QP6FyViNa.jpg</t>
        </is>
      </c>
      <c r="C1728" s="2" t="str">
        <f>=HYPERLINK("https://xhslink.com/m/Ac11VLYvMKE", "https://xhslink.com/m/Ac11VLYvMKE")</f>
        <v>https://xhslink.com/m/Ac11VLYvMKE</v>
      </c>
      <c r="D1728"/>
      <c r="E1728">
        <v>5577</v>
      </c>
      <c r="F1728">
        <v>158</v>
      </c>
      <c r="G1728"/>
      <c r="H1728"/>
      <c r="I1728">
        <v>300</v>
      </c>
      <c r="J1728"/>
      <c r="K1728" t="inlineStr">
        <is>
          <t>课件</t>
        </is>
      </c>
      <c r="L1728" t="inlineStr">
        <is>
          <t>🔥低粉爆款</t>
        </is>
      </c>
      <c r="M1728" t="inlineStr">
        <is>
          <t>玲玲老师教育的店</t>
        </is>
      </c>
      <c r="N1728">
        <v>1665</v>
      </c>
      <c r="O1728">
        <v>4.34</v>
      </c>
      <c r="P1728">
        <v>11000</v>
      </c>
      <c r="Q1728" t="inlineStr">
        <is>
          <t>683538d9e60e770001ba91e0</t>
        </is>
      </c>
      <c r="R1728" t="inlineStr">
        <is>
          <t>🚫重复</t>
        </is>
      </c>
      <c r="S1728" t="inlineStr">
        <is>
          <t>中小学教辅/教材</t>
        </is>
      </c>
      <c r="T1728" t="inlineStr">
        <is>
          <t>3.35</t>
        </is>
      </c>
      <c r="U1728" s="3">
        <v>46112.78107638889</v>
      </c>
      <c r="V1728" t="inlineStr">
        <is>
          <t>虚拟产品</t>
        </is>
      </c>
      <c r="W1728" s="3">
        <v>46053</v>
      </c>
      <c r="X1728" t="inlineStr">
        <is>
          <t>01</t>
        </is>
      </c>
      <c r="Y1728" t="inlineStr">
        <is>
          <t>2026-Q1</t>
        </is>
      </c>
    </row>
    <row r="1729" ht="38.25" customHeight="1">
      <c r="A1729" t="inlineStr">
        <is>
          <t>2025新版三年级语文上册任务群课件ppt+教案</t>
        </is>
      </c>
      <c r="B1729" t="inlineStr">
        <is>
          <t>recv9QP6FyO3BZ.jpg</t>
        </is>
      </c>
      <c r="C1729" s="2" t="str">
        <f>=HYPERLINK("https://xhslink.com/m/3eUJnz97h5t", "https://xhslink.com/m/3eUJnz97h5t")</f>
        <v>https://xhslink.com/m/3eUJnz97h5t</v>
      </c>
      <c r="D1729"/>
      <c r="E1729">
        <v>5018</v>
      </c>
      <c r="F1729">
        <v>69.9</v>
      </c>
      <c r="G1729"/>
      <c r="H1729"/>
      <c r="I1729">
        <v>2000</v>
      </c>
      <c r="J1729"/>
      <c r="K1729" t="inlineStr">
        <is>
          <t>课件</t>
        </is>
      </c>
      <c r="L1729"/>
      <c r="M1729" t="inlineStr">
        <is>
          <t>卢月如的店</t>
        </is>
      </c>
      <c r="N1729">
        <v>2311</v>
      </c>
      <c r="O1729">
        <v>4.56</v>
      </c>
      <c r="P1729">
        <v>15000</v>
      </c>
      <c r="Q1729" t="inlineStr">
        <is>
          <t>691b507934256f000104a1b7</t>
        </is>
      </c>
      <c r="R1729" t="inlineStr">
        <is>
          <t>🚫重复</t>
        </is>
      </c>
      <c r="S1729" t="inlineStr">
        <is>
          <t>中小学教辅/教材</t>
        </is>
      </c>
      <c r="T1729" t="inlineStr">
        <is>
          <t>2.17</t>
        </is>
      </c>
      <c r="U1729" s="3">
        <v>46112.78107638889</v>
      </c>
      <c r="V1729" t="inlineStr">
        <is>
          <t>虚拟产品</t>
        </is>
      </c>
      <c r="W1729" s="3">
        <v>46053</v>
      </c>
      <c r="X1729" t="inlineStr">
        <is>
          <t>01</t>
        </is>
      </c>
      <c r="Y1729" t="inlineStr">
        <is>
          <t>2026-Q1</t>
        </is>
      </c>
    </row>
    <row r="1730" ht="38.25" customHeight="1">
      <c r="A1730" t="inlineStr">
        <is>
          <t>二上语文课件合集（不分课时不退不换）</t>
        </is>
      </c>
      <c r="B1730" t="inlineStr">
        <is>
          <t>recv9QP6FyLvkm.jpg</t>
        </is>
      </c>
      <c r="C1730" s="2" t="str">
        <f>=HYPERLINK("https://xhslink.com/m/81kv6SQjVx0", "https://xhslink.com/m/81kv6SQjVx0")</f>
        <v>https://xhslink.com/m/81kv6SQjVx0</v>
      </c>
      <c r="D1730"/>
      <c r="E1730">
        <v>4591</v>
      </c>
      <c r="F1730">
        <v>150</v>
      </c>
      <c r="G1730"/>
      <c r="H1730"/>
      <c r="I1730">
        <v>200</v>
      </c>
      <c r="J1730"/>
      <c r="K1730" t="inlineStr">
        <is>
          <t>课件</t>
        </is>
      </c>
      <c r="L1730"/>
      <c r="M1730" t="inlineStr">
        <is>
          <t>酷的走不停的Z的店</t>
        </is>
      </c>
      <c r="N1730">
        <v>7894</v>
      </c>
      <c r="O1730">
        <v>4.19</v>
      </c>
      <c r="P1730">
        <v>8355</v>
      </c>
      <c r="Q1730" t="inlineStr">
        <is>
          <t>66a7217f5cf22c00010a3d6a</t>
        </is>
      </c>
      <c r="R1730" t="inlineStr">
        <is>
          <t>🚫重复</t>
        </is>
      </c>
      <c r="S1730" t="inlineStr">
        <is>
          <t>中小学教辅/教材</t>
        </is>
      </c>
      <c r="T1730" t="inlineStr">
        <is>
          <t>0.58</t>
        </is>
      </c>
      <c r="U1730" s="3">
        <v>46112.78107638889</v>
      </c>
      <c r="V1730" t="inlineStr">
        <is>
          <t>虚拟产品</t>
        </is>
      </c>
      <c r="W1730" s="3">
        <v>46053</v>
      </c>
      <c r="X1730" t="inlineStr">
        <is>
          <t>01</t>
        </is>
      </c>
      <c r="Y1730" t="inlineStr">
        <is>
          <t>2026-Q1</t>
        </is>
      </c>
    </row>
    <row r="1731" ht="38.25" customHeight="1">
      <c r="A1731" t="inlineStr">
        <is>
          <t>七年级道法上册新教材单个课时（PPT+教学设计）</t>
        </is>
      </c>
      <c r="B1731" t="inlineStr">
        <is>
          <t>recv9QP6Fy8IRw.jpg</t>
        </is>
      </c>
      <c r="C1731" s="2" t="str">
        <f>=HYPERLINK("https://xhslink.com/m/9XfZIsXzKD5", "https://xhslink.com/m/9XfZIsXzKD5")</f>
        <v>https://xhslink.com/m/9XfZIsXzKD5</v>
      </c>
      <c r="D1731"/>
      <c r="E1731">
        <v>4483</v>
      </c>
      <c r="F1731">
        <v>109.9</v>
      </c>
      <c r="G1731"/>
      <c r="H1731"/>
      <c r="I1731">
        <v>1000</v>
      </c>
      <c r="J1731"/>
      <c r="K1731" t="inlineStr">
        <is>
          <t>课件</t>
        </is>
      </c>
      <c r="L1731"/>
      <c r="M1731" t="inlineStr">
        <is>
          <t>Lucky兔老师的店</t>
        </is>
      </c>
      <c r="N1731">
        <v>2072</v>
      </c>
      <c r="O1731">
        <v>4.52</v>
      </c>
      <c r="P1731">
        <v>13000</v>
      </c>
      <c r="Q1731" t="inlineStr">
        <is>
          <t>686be3147aa7a100010ac8c4</t>
        </is>
      </c>
      <c r="R1731" t="inlineStr">
        <is>
          <t>🚫重复</t>
        </is>
      </c>
      <c r="S1731" t="inlineStr">
        <is>
          <t>中小学教辅/教材</t>
        </is>
      </c>
      <c r="T1731" t="inlineStr">
        <is>
          <t>2.16</t>
        </is>
      </c>
      <c r="U1731" s="3">
        <v>46112.78107638889</v>
      </c>
      <c r="V1731" t="inlineStr">
        <is>
          <t>虚拟产品</t>
        </is>
      </c>
      <c r="W1731" s="3">
        <v>46053</v>
      </c>
      <c r="X1731" t="inlineStr">
        <is>
          <t>01</t>
        </is>
      </c>
      <c r="Y1731" t="inlineStr">
        <is>
          <t>2026-Q1</t>
        </is>
      </c>
    </row>
    <row r="1732" ht="38.25" customHeight="1">
      <c r="A1732" t="inlineStr">
        <is>
          <t>幼儿园大中小班优质公开课资源</t>
        </is>
      </c>
      <c r="B1732" t="inlineStr">
        <is>
          <t>recv9QP6FyDm6A.jpg</t>
        </is>
      </c>
      <c r="C1732" s="2" t="str">
        <f>=HYPERLINK("https://xhslink.com/m/A9EbsFbIyu0", "https://xhslink.com/m/A9EbsFbIyu0")</f>
        <v>https://xhslink.com/m/A9EbsFbIyu0</v>
      </c>
      <c r="D1732"/>
      <c r="E1732">
        <v>3996</v>
      </c>
      <c r="F1732">
        <v>59.9</v>
      </c>
      <c r="G1732"/>
      <c r="H1732"/>
      <c r="I1732">
        <v>300</v>
      </c>
      <c r="J1732"/>
      <c r="K1732" t="inlineStr">
        <is>
          <t>课件</t>
        </is>
      </c>
      <c r="L1732"/>
      <c r="M1732" t="inlineStr">
        <is>
          <t>大碗幼教的店</t>
        </is>
      </c>
      <c r="N1732">
        <v>4570</v>
      </c>
      <c r="O1732">
        <v>4.44</v>
      </c>
      <c r="P1732">
        <v>16000</v>
      </c>
      <c r="Q1732" t="inlineStr">
        <is>
          <t>663d81136b5cb80001a0b024</t>
        </is>
      </c>
      <c r="R1732"/>
      <c r="S1732" t="inlineStr">
        <is>
          <t>幼教资料</t>
        </is>
      </c>
      <c r="T1732" t="inlineStr">
        <is>
          <t>0.87</t>
        </is>
      </c>
      <c r="U1732" s="3">
        <v>46112.78107638889</v>
      </c>
      <c r="V1732" t="inlineStr">
        <is>
          <t>虚拟产品</t>
        </is>
      </c>
      <c r="W1732" s="3">
        <v>46053</v>
      </c>
      <c r="X1732" t="inlineStr">
        <is>
          <t>01</t>
        </is>
      </c>
      <c r="Y1732" t="inlineStr">
        <is>
          <t>2026-Q1</t>
        </is>
      </c>
    </row>
    <row r="1733" ht="38.25" customHeight="1">
      <c r="A1733" t="inlineStr">
        <is>
          <t>人教新教材七上英语课件</t>
        </is>
      </c>
      <c r="B1733" t="inlineStr">
        <is>
          <t>recv9QP6FyBwIw.jpg</t>
        </is>
      </c>
      <c r="C1733" s="2" t="str">
        <f>=HYPERLINK("https://xhslink.com/m/5juo3sLL2bY", "https://xhslink.com/m/5juo3sLL2bY")</f>
        <v>https://xhslink.com/m/5juo3sLL2bY</v>
      </c>
      <c r="D1733"/>
      <c r="E1733">
        <v>4026</v>
      </c>
      <c r="F1733">
        <v>268</v>
      </c>
      <c r="G1733"/>
      <c r="H1733"/>
      <c r="I1733">
        <v>200</v>
      </c>
      <c r="J1733"/>
      <c r="K1733" t="inlineStr">
        <is>
          <t>课件</t>
        </is>
      </c>
      <c r="L1733"/>
      <c r="M1733" t="inlineStr">
        <is>
          <t>阿黎老师小助手的店</t>
        </is>
      </c>
      <c r="N1733">
        <v>43000</v>
      </c>
      <c r="O1733">
        <v>4.43</v>
      </c>
      <c r="P1733">
        <v>35000</v>
      </c>
      <c r="Q1733" t="inlineStr">
        <is>
          <t>66ad89c6a1713b0001f325a2</t>
        </is>
      </c>
      <c r="R1733" t="inlineStr">
        <is>
          <t>🚫重复</t>
        </is>
      </c>
      <c r="S1733" t="inlineStr">
        <is>
          <t>中小学教辅/教材</t>
        </is>
      </c>
      <c r="T1733" t="inlineStr">
        <is>
          <t>0.09</t>
        </is>
      </c>
      <c r="U1733" s="3">
        <v>46112.78107638889</v>
      </c>
      <c r="V1733" t="inlineStr">
        <is>
          <t>虚拟产品</t>
        </is>
      </c>
      <c r="W1733" s="3">
        <v>46053</v>
      </c>
      <c r="X1733" t="inlineStr">
        <is>
          <t>01</t>
        </is>
      </c>
      <c r="Y1733" t="inlineStr">
        <is>
          <t>2026-Q1</t>
        </is>
      </c>
    </row>
    <row r="1734" ht="38.25" customHeight="1">
      <c r="A1734" t="inlineStr">
        <is>
          <t>人教版七，八，九年级英语上下册课件公开课上好课精品课件</t>
        </is>
      </c>
      <c r="B1734" t="inlineStr">
        <is>
          <t>recv9QP6Fynocf.jpg</t>
        </is>
      </c>
      <c r="C1734" s="2" t="str">
        <f>=HYPERLINK("https://xhslink.com/m/4Fv2ygljlan", "https://xhslink.com/m/4Fv2ygljlan")</f>
        <v>https://xhslink.com/m/4Fv2ygljlan</v>
      </c>
      <c r="D1734"/>
      <c r="E1734">
        <v>3134</v>
      </c>
      <c r="F1734">
        <v>120</v>
      </c>
      <c r="G1734"/>
      <c r="H1734"/>
      <c r="I1734">
        <v>600</v>
      </c>
      <c r="J1734"/>
      <c r="K1734" t="inlineStr">
        <is>
          <t>课件</t>
        </is>
      </c>
      <c r="L1734"/>
      <c r="M1734" t="inlineStr">
        <is>
          <t>狼王老师各科课件教学资源的店</t>
        </is>
      </c>
      <c r="N1734">
        <v>2865</v>
      </c>
      <c r="O1734">
        <v>4.36</v>
      </c>
      <c r="P1734">
        <v>6255</v>
      </c>
      <c r="Q1734" t="inlineStr">
        <is>
          <t>67874aa11c894e00018ecbd8</t>
        </is>
      </c>
      <c r="R1734"/>
      <c r="S1734" t="inlineStr">
        <is>
          <t>中小学教辅/教材</t>
        </is>
      </c>
      <c r="T1734" t="inlineStr">
        <is>
          <t>1.09</t>
        </is>
      </c>
      <c r="U1734" s="3">
        <v>46112.78107638889</v>
      </c>
      <c r="V1734" t="inlineStr">
        <is>
          <t>虚拟产品</t>
        </is>
      </c>
      <c r="W1734" s="3">
        <v>46053</v>
      </c>
      <c r="X1734" t="inlineStr">
        <is>
          <t>01</t>
        </is>
      </c>
      <c r="Y1734" t="inlineStr">
        <is>
          <t>2026-Q1</t>
        </is>
      </c>
    </row>
    <row r="1735" ht="38.25" customHeight="1">
      <c r="A1735" t="inlineStr">
        <is>
          <t>【2025秋】三上语文课件PPT+教案</t>
        </is>
      </c>
      <c r="B1735" t="inlineStr">
        <is>
          <t>recv9QP6FyDrT6.jpg</t>
        </is>
      </c>
      <c r="C1735" s="2" t="str">
        <f>=HYPERLINK("https://xhslink.com/m/3DOAs67EBka", "https://xhslink.com/m/3DOAs67EBka")</f>
        <v>https://xhslink.com/m/3DOAs67EBka</v>
      </c>
      <c r="D1735"/>
      <c r="E1735">
        <v>2677</v>
      </c>
      <c r="F1735">
        <v>119</v>
      </c>
      <c r="G1735"/>
      <c r="H1735"/>
      <c r="I1735">
        <v>1000</v>
      </c>
      <c r="J1735"/>
      <c r="K1735" t="inlineStr">
        <is>
          <t>课件</t>
        </is>
      </c>
      <c r="L1735" t="inlineStr">
        <is>
          <t>🔥低粉爆款</t>
        </is>
      </c>
      <c r="M1735" t="inlineStr">
        <is>
          <t>郦明堂的店</t>
        </is>
      </c>
      <c r="N1735">
        <v>422</v>
      </c>
      <c r="O1735">
        <v>4.57</v>
      </c>
      <c r="P1735">
        <v>3875</v>
      </c>
      <c r="Q1735" t="inlineStr">
        <is>
          <t>68b4533ffba5440001e6be64</t>
        </is>
      </c>
      <c r="R1735"/>
      <c r="S1735" t="inlineStr">
        <is>
          <t>中小学教辅/教材</t>
        </is>
      </c>
      <c r="T1735" t="inlineStr">
        <is>
          <t>6.34</t>
        </is>
      </c>
      <c r="U1735" s="3">
        <v>46112.78107638889</v>
      </c>
      <c r="V1735" t="inlineStr">
        <is>
          <t>虚拟产品</t>
        </is>
      </c>
      <c r="W1735" s="3">
        <v>46053</v>
      </c>
      <c r="X1735" t="inlineStr">
        <is>
          <t>01</t>
        </is>
      </c>
      <c r="Y1735" t="inlineStr">
        <is>
          <t>2026-Q1</t>
        </is>
      </c>
    </row>
    <row r="1736" ht="38.25" customHeight="1">
      <c r="A1736" t="inlineStr">
        <is>
          <t>2026执业药师网课中药西药师姜雅刘丹仇牧韩旭正版书视频课件题库</t>
        </is>
      </c>
      <c r="B1736" t="inlineStr">
        <is>
          <t>recv9QP6FynmPd.jpg</t>
        </is>
      </c>
      <c r="C1736" s="2" t="str">
        <f>=HYPERLINK("https://xhslink.com/m/er220gyVJi", "https://xhslink.com/m/er220gyVJi")</f>
        <v>https://xhslink.com/m/er220gyVJi</v>
      </c>
      <c r="D1736"/>
      <c r="E1736">
        <v>2211</v>
      </c>
      <c r="F1736">
        <v>299</v>
      </c>
      <c r="G1736"/>
      <c r="H1736"/>
      <c r="I1736">
        <v>200</v>
      </c>
      <c r="J1736"/>
      <c r="K1736" t="inlineStr">
        <is>
          <t>课件</t>
        </is>
      </c>
      <c r="L1736" t="inlineStr">
        <is>
          <t>🔥低粉爆款</t>
        </is>
      </c>
      <c r="M1736" t="inlineStr">
        <is>
          <t>萌萌超人的店</t>
        </is>
      </c>
      <c r="N1736">
        <v>393</v>
      </c>
      <c r="O1736">
        <v>4.53</v>
      </c>
      <c r="P1736">
        <v>8680</v>
      </c>
      <c r="Q1736" t="inlineStr">
        <is>
          <t>67f3eabcf0efe50001b5fcb0</t>
        </is>
      </c>
      <c r="R1736" t="inlineStr">
        <is>
          <t>🚫重复</t>
        </is>
      </c>
      <c r="S1736" t="inlineStr">
        <is>
          <t>生活成长</t>
        </is>
      </c>
      <c r="T1736" t="inlineStr">
        <is>
          <t>5.63</t>
        </is>
      </c>
      <c r="U1736" s="3">
        <v>46112.78107638889</v>
      </c>
      <c r="V1736" t="inlineStr">
        <is>
          <t>虚拟产品</t>
        </is>
      </c>
      <c r="W1736" s="3">
        <v>46053</v>
      </c>
      <c r="X1736" t="inlineStr">
        <is>
          <t>01</t>
        </is>
      </c>
      <c r="Y1736" t="inlineStr">
        <is>
          <t>2026-Q1</t>
        </is>
      </c>
    </row>
    <row r="1737" ht="38.25" customHeight="1">
      <c r="A1737" t="inlineStr">
        <is>
          <t>2025最新高中政治课件选择性必修三《逻辑与思维》议题式已更新完</t>
        </is>
      </c>
      <c r="B1737" t="inlineStr">
        <is>
          <t>recv9QP6FySnIV.jpg</t>
        </is>
      </c>
      <c r="C1737" s="2" t="str">
        <f>=HYPERLINK("https://xhslink.com/m/A7dyCN0i8OJ", "https://xhslink.com/m/A7dyCN0i8OJ")</f>
        <v>https://xhslink.com/m/A7dyCN0i8OJ</v>
      </c>
      <c r="D1737"/>
      <c r="E1737">
        <v>1985</v>
      </c>
      <c r="F1737">
        <v>60</v>
      </c>
      <c r="G1737"/>
      <c r="H1737"/>
      <c r="I1737">
        <v>200</v>
      </c>
      <c r="J1737"/>
      <c r="K1737" t="inlineStr">
        <is>
          <t>课件</t>
        </is>
      </c>
      <c r="L1737"/>
      <c r="M1737" t="inlineStr">
        <is>
          <t>一起学政治的店</t>
        </is>
      </c>
      <c r="N1737">
        <v>9339</v>
      </c>
      <c r="O1737">
        <v>4.43</v>
      </c>
      <c r="P1737">
        <v>18000</v>
      </c>
      <c r="Q1737" t="inlineStr">
        <is>
          <t>67b8d60129b9f700018f6eea</t>
        </is>
      </c>
      <c r="R1737" t="inlineStr">
        <is>
          <t>🚫重复</t>
        </is>
      </c>
      <c r="S1737" t="inlineStr">
        <is>
          <t>高中/高考资料</t>
        </is>
      </c>
      <c r="T1737" t="inlineStr">
        <is>
          <t>0.21</t>
        </is>
      </c>
      <c r="U1737" s="3">
        <v>46112.78107638889</v>
      </c>
      <c r="V1737" t="inlineStr">
        <is>
          <t>虚拟产品</t>
        </is>
      </c>
      <c r="W1737" s="3">
        <v>46053</v>
      </c>
      <c r="X1737" t="inlineStr">
        <is>
          <t>01</t>
        </is>
      </c>
      <c r="Y1737" t="inlineStr">
        <is>
          <t>2026-Q1</t>
        </is>
      </c>
    </row>
    <row r="1738" ht="38.25" customHeight="1">
      <c r="A1738" t="inlineStr">
        <is>
          <t>2025秋季新版二年级上册语文课件+教案｜请选课文</t>
        </is>
      </c>
      <c r="B1738" t="inlineStr">
        <is>
          <t>recv9QP6FyQv0C.jpg</t>
        </is>
      </c>
      <c r="C1738" s="2" t="str">
        <f>=HYPERLINK("https://xhslink.com/m/AOtvKUukMlS", "https://xhslink.com/m/AOtvKUukMlS")</f>
        <v>https://xhslink.com/m/AOtvKUukMlS</v>
      </c>
      <c r="D1738"/>
      <c r="E1738">
        <v>1860</v>
      </c>
      <c r="F1738">
        <v>128</v>
      </c>
      <c r="G1738"/>
      <c r="H1738"/>
      <c r="I1738">
        <v>600</v>
      </c>
      <c r="J1738"/>
      <c r="K1738" t="inlineStr">
        <is>
          <t>课件</t>
        </is>
      </c>
      <c r="L1738"/>
      <c r="M1738" t="inlineStr">
        <is>
          <t>卢月如的店</t>
        </is>
      </c>
      <c r="N1738">
        <v>2311</v>
      </c>
      <c r="O1738">
        <v>4.56</v>
      </c>
      <c r="P1738">
        <v>15000</v>
      </c>
      <c r="Q1738" t="inlineStr">
        <is>
          <t>68b8ffc4a50cd90001416db6</t>
        </is>
      </c>
      <c r="R1738" t="inlineStr">
        <is>
          <t>🚫重复</t>
        </is>
      </c>
      <c r="S1738" t="inlineStr">
        <is>
          <t>中小学教辅/教材</t>
        </is>
      </c>
      <c r="T1738" t="inlineStr">
        <is>
          <t>0.80</t>
        </is>
      </c>
      <c r="U1738" s="3">
        <v>46112.78107638889</v>
      </c>
      <c r="V1738" t="inlineStr">
        <is>
          <t>虚拟产品</t>
        </is>
      </c>
      <c r="W1738" s="3">
        <v>46053</v>
      </c>
      <c r="X1738" t="inlineStr">
        <is>
          <t>01</t>
        </is>
      </c>
      <c r="Y1738" t="inlineStr">
        <is>
          <t>2026-Q1</t>
        </is>
      </c>
    </row>
    <row r="1739" ht="38.25" customHeight="1">
      <c r="A1739" t="inlineStr">
        <is>
          <t>儿童创意美术课程560节大课视频少儿绘画零基础教学投屏含ppt更新</t>
        </is>
      </c>
      <c r="B1739" t="inlineStr">
        <is>
          <t>recv9QP6FyBLLi.jpg</t>
        </is>
      </c>
      <c r="C1739" s="2" t="str">
        <f>=HYPERLINK("https://xhslink.com/m/6n14nk1ev3m", "https://xhslink.com/m/6n14nk1ev3m")</f>
        <v>https://xhslink.com/m/6n14nk1ev3m</v>
      </c>
      <c r="D1739"/>
      <c r="E1739">
        <v>1660</v>
      </c>
      <c r="F1739">
        <v>79.9</v>
      </c>
      <c r="G1739"/>
      <c r="H1739"/>
      <c r="I1739">
        <v>200</v>
      </c>
      <c r="J1739"/>
      <c r="K1739" t="inlineStr">
        <is>
          <t>课件</t>
        </is>
      </c>
      <c r="L1739"/>
      <c r="M1739" t="inlineStr">
        <is>
          <t>艺匠教育的店</t>
        </is>
      </c>
      <c r="N1739">
        <v>749</v>
      </c>
      <c r="O1739">
        <v>4.52</v>
      </c>
      <c r="P1739">
        <v>3001</v>
      </c>
      <c r="Q1739" t="inlineStr">
        <is>
          <t>69256102b70fce0001be31e9</t>
        </is>
      </c>
      <c r="R1739"/>
      <c r="S1739" t="inlineStr">
        <is>
          <t>中小学教辅/教材</t>
        </is>
      </c>
      <c r="T1739" t="inlineStr">
        <is>
          <t>2.22</t>
        </is>
      </c>
      <c r="U1739" s="3">
        <v>46112.78107638889</v>
      </c>
      <c r="V1739" t="inlineStr">
        <is>
          <t>虚拟产品</t>
        </is>
      </c>
      <c r="W1739" s="3">
        <v>46053</v>
      </c>
      <c r="X1739" t="inlineStr">
        <is>
          <t>01</t>
        </is>
      </c>
      <c r="Y1739" t="inlineStr">
        <is>
          <t>2026-Q1</t>
        </is>
      </c>
    </row>
    <row r="1740" ht="38.25" customHeight="1">
      <c r="A1740" t="inlineStr">
        <is>
          <t>2025人教新八上PPT课件（已WPS加密需授权）更新中</t>
        </is>
      </c>
      <c r="B1740" t="inlineStr">
        <is>
          <t>recv9QP6Fy4hxg.jpg</t>
        </is>
      </c>
      <c r="C1740" s="2" t="str">
        <f>=HYPERLINK("https://xhslink.com/m/2SYmbvXXgQO", "https://xhslink.com/m/2SYmbvXXgQO")</f>
        <v>https://xhslink.com/m/2SYmbvXXgQO</v>
      </c>
      <c r="D1740"/>
      <c r="E1740">
        <v>1694</v>
      </c>
      <c r="F1740">
        <v>499</v>
      </c>
      <c r="G1740"/>
      <c r="H1740"/>
      <c r="I1740">
        <v>400</v>
      </c>
      <c r="J1740"/>
      <c r="K1740" t="inlineStr">
        <is>
          <t>课件</t>
        </is>
      </c>
      <c r="L1740"/>
      <c r="M1740" t="inlineStr">
        <is>
          <t>Tang原创课件的店</t>
        </is>
      </c>
      <c r="N1740">
        <v>72000</v>
      </c>
      <c r="O1740">
        <v>4.51</v>
      </c>
      <c r="P1740">
        <v>75000</v>
      </c>
      <c r="Q1740" t="inlineStr">
        <is>
          <t>68ad7d4571b9e20001216fee</t>
        </is>
      </c>
      <c r="R1740" t="inlineStr">
        <is>
          <t>🚫重复</t>
        </is>
      </c>
      <c r="S1740" t="inlineStr">
        <is>
          <t>PPT模板</t>
        </is>
      </c>
      <c r="T1740" t="inlineStr">
        <is>
          <t>0.02</t>
        </is>
      </c>
      <c r="U1740" s="3">
        <v>46112.78107638889</v>
      </c>
      <c r="V1740" t="inlineStr">
        <is>
          <t>虚拟产品</t>
        </is>
      </c>
      <c r="W1740" s="3">
        <v>46053</v>
      </c>
      <c r="X1740" t="inlineStr">
        <is>
          <t>01</t>
        </is>
      </c>
      <c r="Y1740" t="inlineStr">
        <is>
          <t>2026-Q1</t>
        </is>
      </c>
    </row>
    <row r="1741" ht="38.25" customHeight="1">
      <c r="A1741" t="inlineStr">
        <is>
          <t>秒发货！（旧）九年级全一册PPT课件+教学设计（内容看主页笔记）</t>
        </is>
      </c>
      <c r="B1741" t="inlineStr">
        <is>
          <t>recv9QP6FyIPu7.jpg</t>
        </is>
      </c>
      <c r="C1741" s="2" t="str">
        <f>=HYPERLINK("https://xhslink.com/m/807p88e0tFR", "https://xhslink.com/m/807p88e0tFR")</f>
        <v>https://xhslink.com/m/807p88e0tFR</v>
      </c>
      <c r="D1741"/>
      <c r="E1741">
        <v>1591</v>
      </c>
      <c r="F1741">
        <v>118</v>
      </c>
      <c r="G1741"/>
      <c r="H1741"/>
      <c r="I1741">
        <v>500</v>
      </c>
      <c r="J1741"/>
      <c r="K1741" t="inlineStr">
        <is>
          <t>课件</t>
        </is>
      </c>
      <c r="L1741"/>
      <c r="M1741" t="inlineStr">
        <is>
          <t>小白素材的店</t>
        </is>
      </c>
      <c r="N1741">
        <v>6251</v>
      </c>
      <c r="O1741">
        <v>4.19</v>
      </c>
      <c r="P1741">
        <v>33000</v>
      </c>
      <c r="Q1741" t="inlineStr">
        <is>
          <t>67ec3d729b413400015b0b2a</t>
        </is>
      </c>
      <c r="R1741"/>
      <c r="S1741" t="inlineStr">
        <is>
          <t>中小学教辅/教材</t>
        </is>
      </c>
      <c r="T1741" t="inlineStr">
        <is>
          <t>0.25</t>
        </is>
      </c>
      <c r="U1741" s="3">
        <v>46112.78107638889</v>
      </c>
      <c r="V1741" t="inlineStr">
        <is>
          <t>虚拟产品</t>
        </is>
      </c>
      <c r="W1741" s="3">
        <v>46053</v>
      </c>
      <c r="X1741" t="inlineStr">
        <is>
          <t>01</t>
        </is>
      </c>
      <c r="Y1741" t="inlineStr">
        <is>
          <t>2026-Q1</t>
        </is>
      </c>
    </row>
    <row r="1742" ht="38.25" customHeight="1">
      <c r="A1742" t="inlineStr">
        <is>
          <t>初中中考复习资料 PPT课件*（部分含教学设计、逐字稿）</t>
        </is>
      </c>
      <c r="B1742" t="inlineStr">
        <is>
          <t>recv9QP6FyK9Gn.jpg</t>
        </is>
      </c>
      <c r="C1742" s="2" t="str">
        <f>=HYPERLINK("https://xhslink.com/m/PBj4DEoLM5", "https://xhslink.com/m/PBj4DEoLM5")</f>
        <v>https://xhslink.com/m/PBj4DEoLM5</v>
      </c>
      <c r="D1742"/>
      <c r="E1742">
        <v>1527</v>
      </c>
      <c r="F1742">
        <v>69.9</v>
      </c>
      <c r="G1742"/>
      <c r="H1742"/>
      <c r="I1742">
        <v>200</v>
      </c>
      <c r="J1742"/>
      <c r="K1742" t="inlineStr">
        <is>
          <t>课件</t>
        </is>
      </c>
      <c r="L1742" t="inlineStr">
        <is>
          <t>🔥低粉爆款</t>
        </is>
      </c>
      <c r="M1742" t="inlineStr">
        <is>
          <t>萌小萌i的店</t>
        </is>
      </c>
      <c r="N1742">
        <v>385</v>
      </c>
      <c r="O1742">
        <v>4.24</v>
      </c>
      <c r="P1742">
        <v>9084</v>
      </c>
      <c r="Q1742" t="inlineStr">
        <is>
          <t>68e47b90c192ac00019725ea</t>
        </is>
      </c>
      <c r="R1742" t="inlineStr">
        <is>
          <t>🚫重复</t>
        </is>
      </c>
      <c r="S1742" t="inlineStr">
        <is>
          <t>PPT模板</t>
        </is>
      </c>
      <c r="T1742" t="inlineStr">
        <is>
          <t>3.97</t>
        </is>
      </c>
      <c r="U1742" s="3">
        <v>46112.78107638889</v>
      </c>
      <c r="V1742" t="inlineStr">
        <is>
          <t>虚拟产品</t>
        </is>
      </c>
      <c r="W1742" s="3">
        <v>46053</v>
      </c>
      <c r="X1742" t="inlineStr">
        <is>
          <t>01</t>
        </is>
      </c>
      <c r="Y1742" t="inlineStr">
        <is>
          <t>2026-Q1</t>
        </is>
      </c>
    </row>
    <row r="1743" ht="38.25" customHeight="1">
      <c r="A1743" t="inlineStr">
        <is>
          <t>2025秋季新人教版小学数学一二三五六年级教案课件ppt资料电子版</t>
        </is>
      </c>
      <c r="B1743" t="inlineStr">
        <is>
          <t>recv9QP6FyfHU4.jpg</t>
        </is>
      </c>
      <c r="C1743" s="2" t="str">
        <f>=HYPERLINK("https://xhslink.com/m/4djYt05MzX9", "https://xhslink.com/m/4djYt05MzX9")</f>
        <v>https://xhslink.com/m/4djYt05MzX9</v>
      </c>
      <c r="D1743"/>
      <c r="E1743">
        <v>1437</v>
      </c>
      <c r="F1743">
        <v>59.9</v>
      </c>
      <c r="G1743"/>
      <c r="H1743"/>
      <c r="I1743">
        <v>300</v>
      </c>
      <c r="J1743"/>
      <c r="K1743" t="inlineStr">
        <is>
          <t>课件</t>
        </is>
      </c>
      <c r="L1743" t="inlineStr">
        <is>
          <t>🔥低粉爆款</t>
        </is>
      </c>
      <c r="M1743" t="inlineStr">
        <is>
          <t>小学老师王老师的店</t>
        </is>
      </c>
      <c r="N1743">
        <v>354</v>
      </c>
      <c r="O1743">
        <v>4.28</v>
      </c>
      <c r="P1743">
        <v>1567</v>
      </c>
      <c r="Q1743" t="inlineStr">
        <is>
          <t>68be9874096c870001a35206</t>
        </is>
      </c>
      <c r="R1743"/>
      <c r="S1743" t="inlineStr">
        <is>
          <t>中小学教辅/教材</t>
        </is>
      </c>
      <c r="T1743" t="inlineStr">
        <is>
          <t>4.06</t>
        </is>
      </c>
      <c r="U1743" s="3">
        <v>46112.78107638889</v>
      </c>
      <c r="V1743" t="inlineStr">
        <is>
          <t>虚拟产品</t>
        </is>
      </c>
      <c r="W1743" s="3">
        <v>46053</v>
      </c>
      <c r="X1743" t="inlineStr">
        <is>
          <t>01</t>
        </is>
      </c>
      <c r="Y1743" t="inlineStr">
        <is>
          <t>2026-Q1</t>
        </is>
      </c>
    </row>
    <row r="1744" ht="38.25" customHeight="1">
      <c r="A1744" t="inlineStr">
        <is>
          <t>2026年二级一级建造师视频精讲习题冲刺网课课件题库教程</t>
        </is>
      </c>
      <c r="B1744" t="inlineStr">
        <is>
          <t>recv9QP6Fy0tZh.jpg</t>
        </is>
      </c>
      <c r="C1744" s="2" t="str">
        <f>=HYPERLINK("https://xhslink.com/m/7QQt5tlrUOp", "https://xhslink.com/m/7QQt5tlrUOp")</f>
        <v>https://xhslink.com/m/7QQt5tlrUOp</v>
      </c>
      <c r="D1744"/>
      <c r="E1744">
        <v>1363</v>
      </c>
      <c r="F1744">
        <v>60</v>
      </c>
      <c r="G1744"/>
      <c r="H1744"/>
      <c r="I1744">
        <v>200</v>
      </c>
      <c r="J1744"/>
      <c r="K1744" t="inlineStr">
        <is>
          <t>课件</t>
        </is>
      </c>
      <c r="L1744"/>
      <c r="M1744" t="inlineStr">
        <is>
          <t>大林助考的店</t>
        </is>
      </c>
      <c r="N1744">
        <v>1816</v>
      </c>
      <c r="O1744">
        <v>4.64</v>
      </c>
      <c r="P1744">
        <v>4575</v>
      </c>
      <c r="Q1744" t="inlineStr">
        <is>
          <t>67ed18e41e01cb0001f04bdb</t>
        </is>
      </c>
      <c r="R1744"/>
      <c r="S1744" t="inlineStr">
        <is>
          <t>生活成长</t>
        </is>
      </c>
      <c r="T1744" t="inlineStr">
        <is>
          <t>0.75</t>
        </is>
      </c>
      <c r="U1744" s="3">
        <v>46112.78107638889</v>
      </c>
      <c r="V1744" t="inlineStr">
        <is>
          <t>虚拟产品</t>
        </is>
      </c>
      <c r="W1744" s="3">
        <v>46053</v>
      </c>
      <c r="X1744" t="inlineStr">
        <is>
          <t>01</t>
        </is>
      </c>
      <c r="Y1744" t="inlineStr">
        <is>
          <t>2026-Q1</t>
        </is>
      </c>
    </row>
    <row r="1745" ht="38.25" customHeight="1">
      <c r="A1745" t="inlineStr">
        <is>
          <t>【自动发货】PPT模板背景，可修改秒发货！！</t>
        </is>
      </c>
      <c r="B1745" t="inlineStr">
        <is>
          <t>recv9QP6FyjvuJ.jpg</t>
        </is>
      </c>
      <c r="C1745" s="2" t="str">
        <f>=HYPERLINK("https://xhslink.com/m/5UySnQSrYWS", "https://xhslink.com/m/5UySnQSrYWS")</f>
        <v>https://xhslink.com/m/5UySnQSrYWS</v>
      </c>
      <c r="D1745"/>
      <c r="E1745">
        <v>1381</v>
      </c>
      <c r="F1745">
        <v>19.9</v>
      </c>
      <c r="G1745"/>
      <c r="H1745"/>
      <c r="I1745">
        <v>900</v>
      </c>
      <c r="J1745"/>
      <c r="K1745" t="inlineStr">
        <is>
          <t>课件</t>
        </is>
      </c>
      <c r="L1745"/>
      <c r="M1745" t="inlineStr">
        <is>
          <t>一小只晨晨咨询的店</t>
        </is>
      </c>
      <c r="N1745">
        <v>3455</v>
      </c>
      <c r="O1745">
        <v>4.54</v>
      </c>
      <c r="P1745">
        <v>36000</v>
      </c>
      <c r="Q1745" t="inlineStr">
        <is>
          <t>69314fbfdd329c000123baad</t>
        </is>
      </c>
      <c r="R1745" t="inlineStr">
        <is>
          <t>🚫重复</t>
        </is>
      </c>
      <c r="S1745" t="inlineStr">
        <is>
          <t>PPT模板</t>
        </is>
      </c>
      <c r="T1745" t="inlineStr">
        <is>
          <t>0.40</t>
        </is>
      </c>
      <c r="U1745" s="3">
        <v>46112.78107638889</v>
      </c>
      <c r="V1745" t="inlineStr">
        <is>
          <t>虚拟产品</t>
        </is>
      </c>
      <c r="W1745" s="3">
        <v>46053</v>
      </c>
      <c r="X1745" t="inlineStr">
        <is>
          <t>01</t>
        </is>
      </c>
      <c r="Y1745" t="inlineStr">
        <is>
          <t>2026-Q1</t>
        </is>
      </c>
    </row>
    <row r="1746" ht="38.25" customHeight="1">
      <c r="A1746" t="inlineStr">
        <is>
          <t>人美版新教材｜八年级上册课件</t>
        </is>
      </c>
      <c r="B1746" t="inlineStr">
        <is>
          <t>recv9QP6FywK8m.jpg</t>
        </is>
      </c>
      <c r="C1746" s="2" t="str">
        <f>=HYPERLINK("https://xhslink.com/m/1hV8W69oz31", "https://xhslink.com/m/1hV8W69oz31")</f>
        <v>https://xhslink.com/m/1hV8W69oz31</v>
      </c>
      <c r="D1746"/>
      <c r="E1746">
        <v>1223</v>
      </c>
      <c r="F1746">
        <v>110</v>
      </c>
      <c r="G1746"/>
      <c r="H1746"/>
      <c r="I1746">
        <v>200</v>
      </c>
      <c r="J1746"/>
      <c r="K1746" t="inlineStr">
        <is>
          <t>课件</t>
        </is>
      </c>
      <c r="L1746"/>
      <c r="M1746" t="inlineStr">
        <is>
          <t>美教护肝片的店</t>
        </is>
      </c>
      <c r="N1746">
        <v>11000</v>
      </c>
      <c r="O1746">
        <v>4.29</v>
      </c>
      <c r="P1746">
        <v>21000</v>
      </c>
      <c r="Q1746" t="inlineStr">
        <is>
          <t>6899409deab7930001e0c98d</t>
        </is>
      </c>
      <c r="R1746" t="inlineStr">
        <is>
          <t>🚫重复</t>
        </is>
      </c>
      <c r="S1746" t="inlineStr">
        <is>
          <t>中小学教辅/教材</t>
        </is>
      </c>
      <c r="T1746" t="inlineStr">
        <is>
          <t>0.11</t>
        </is>
      </c>
      <c r="U1746" s="3">
        <v>46112.78107638889</v>
      </c>
      <c r="V1746" t="inlineStr">
        <is>
          <t>虚拟产品</t>
        </is>
      </c>
      <c r="W1746" s="3">
        <v>46053</v>
      </c>
      <c r="X1746" t="inlineStr">
        <is>
          <t>01</t>
        </is>
      </c>
      <c r="Y1746" t="inlineStr">
        <is>
          <t>2026-Q1</t>
        </is>
      </c>
    </row>
    <row r="1747" ht="38.25" customHeight="1">
      <c r="A1747" t="inlineStr">
        <is>
          <t>【更新完】八上历史PPT单课课件及打包课件</t>
        </is>
      </c>
      <c r="B1747" t="inlineStr">
        <is>
          <t>recv9QP6FyT2Dh.jpg</t>
        </is>
      </c>
      <c r="C1747" s="2" t="str">
        <f>=HYPERLINK("https://xhslink.com/m/fQet8cvQUu", "https://xhslink.com/m/fQet8cvQUu")</f>
        <v>https://xhslink.com/m/fQet8cvQUu</v>
      </c>
      <c r="D1747"/>
      <c r="E1747">
        <v>1141</v>
      </c>
      <c r="F1747">
        <v>99</v>
      </c>
      <c r="G1747"/>
      <c r="H1747"/>
      <c r="I1747">
        <v>300</v>
      </c>
      <c r="J1747"/>
      <c r="K1747" t="inlineStr">
        <is>
          <t>课件</t>
        </is>
      </c>
      <c r="L1747"/>
      <c r="M1747" t="inlineStr">
        <is>
          <t>教历史的叶叶的店</t>
        </is>
      </c>
      <c r="N1747">
        <v>3502</v>
      </c>
      <c r="O1747">
        <v>4.25</v>
      </c>
      <c r="P1747">
        <v>2800</v>
      </c>
      <c r="Q1747" t="inlineStr">
        <is>
          <t>68aa7a3195220f0001595990</t>
        </is>
      </c>
      <c r="R1747" t="inlineStr">
        <is>
          <t>🚫重复</t>
        </is>
      </c>
      <c r="S1747" t="inlineStr">
        <is>
          <t>PPT模板</t>
        </is>
      </c>
      <c r="T1747" t="inlineStr">
        <is>
          <t>0.33</t>
        </is>
      </c>
      <c r="U1747" s="3">
        <v>46112.78107638889</v>
      </c>
      <c r="V1747" t="inlineStr">
        <is>
          <t>虚拟产品</t>
        </is>
      </c>
      <c r="W1747" s="3">
        <v>46053</v>
      </c>
      <c r="X1747" t="inlineStr">
        <is>
          <t>01</t>
        </is>
      </c>
      <c r="Y1747" t="inlineStr">
        <is>
          <t>2026-Q1</t>
        </is>
      </c>
    </row>
    <row r="1748" ht="38.25" customHeight="1">
      <c r="A1748" t="inlineStr">
        <is>
          <t>新人教八上Unit7课件(自动发货)</t>
        </is>
      </c>
      <c r="B1748" t="inlineStr">
        <is>
          <t>recv9QP6Fy1jWt.jpg</t>
        </is>
      </c>
      <c r="C1748" s="2" t="str">
        <f>=HYPERLINK("https://xhslink.com/m/4IswReqSTBN", "https://xhslink.com/m/4IswReqSTBN")</f>
        <v>https://xhslink.com/m/4IswReqSTBN</v>
      </c>
      <c r="D1748"/>
      <c r="E1748">
        <v>988</v>
      </c>
      <c r="F1748">
        <v>58</v>
      </c>
      <c r="G1748"/>
      <c r="H1748"/>
      <c r="I1748">
        <v>900</v>
      </c>
      <c r="J1748"/>
      <c r="K1748" t="inlineStr">
        <is>
          <t>课件</t>
        </is>
      </c>
      <c r="L1748"/>
      <c r="M1748" t="inlineStr">
        <is>
          <t>阿黎老师小助手的店</t>
        </is>
      </c>
      <c r="N1748">
        <v>43000</v>
      </c>
      <c r="O1748">
        <v>4.43</v>
      </c>
      <c r="P1748">
        <v>35000</v>
      </c>
      <c r="Q1748" t="inlineStr">
        <is>
          <t>69253674b8c50800016d159b</t>
        </is>
      </c>
      <c r="R1748" t="inlineStr">
        <is>
          <t>🚫重复</t>
        </is>
      </c>
      <c r="S1748" t="inlineStr">
        <is>
          <t>中小学教辅/教材</t>
        </is>
      </c>
      <c r="T1748" t="inlineStr">
        <is>
          <t>0.02</t>
        </is>
      </c>
      <c r="U1748" s="3">
        <v>46112.78107638889</v>
      </c>
      <c r="V1748" t="inlineStr">
        <is>
          <t>虚拟产品</t>
        </is>
      </c>
      <c r="W1748" s="3">
        <v>46053</v>
      </c>
      <c r="X1748" t="inlineStr">
        <is>
          <t>01</t>
        </is>
      </c>
      <c r="Y1748" t="inlineStr">
        <is>
          <t>2026-Q1</t>
        </is>
      </c>
    </row>
    <row r="1749" ht="38.25" customHeight="1">
      <c r="A1749" t="inlineStr">
        <is>
          <t>【年末巨献】三联少年新闻思辨课</t>
        </is>
      </c>
      <c r="B1749" t="inlineStr">
        <is>
          <t>recv9QP6Fy2FEj.jpg</t>
        </is>
      </c>
      <c r="C1749" s="2" t="str">
        <f>=HYPERLINK("https://xhslink.com/m/3lq3wz8klGO", "https://xhslink.com/m/3lq3wz8klGO")</f>
        <v>https://xhslink.com/m/3lq3wz8klGO</v>
      </c>
      <c r="D1749"/>
      <c r="E1749">
        <v>900</v>
      </c>
      <c r="F1749">
        <v>365</v>
      </c>
      <c r="G1749"/>
      <c r="H1749"/>
      <c r="I1749">
        <v>800</v>
      </c>
      <c r="J1749"/>
      <c r="K1749" t="inlineStr">
        <is>
          <t>课件</t>
        </is>
      </c>
      <c r="L1749"/>
      <c r="M1749" t="inlineStr">
        <is>
          <t>三联中读的店</t>
        </is>
      </c>
      <c r="N1749">
        <v>56000</v>
      </c>
      <c r="O1749">
        <v>4.57</v>
      </c>
      <c r="P1749">
        <v>22000</v>
      </c>
      <c r="Q1749" t="inlineStr">
        <is>
          <t>691300cd16054d0015596c6f</t>
        </is>
      </c>
      <c r="R1749"/>
      <c r="S1749" t="inlineStr">
        <is>
          <t>中小学教辅/教材</t>
        </is>
      </c>
      <c r="T1749" t="inlineStr">
        <is>
          <t>0.02</t>
        </is>
      </c>
      <c r="U1749" s="3">
        <v>46112.78107638889</v>
      </c>
      <c r="V1749" t="inlineStr">
        <is>
          <t>虚拟产品</t>
        </is>
      </c>
      <c r="W1749" s="3">
        <v>46053</v>
      </c>
      <c r="X1749" t="inlineStr">
        <is>
          <t>01</t>
        </is>
      </c>
      <c r="Y1749" t="inlineStr">
        <is>
          <t>2026-Q1</t>
        </is>
      </c>
    </row>
    <row r="1750" ht="38.25" customHeight="1">
      <c r="A1750" t="inlineStr">
        <is>
          <t>2025秋季新版语文三年级上册任务群课件PPT+教案+逐字稿</t>
        </is>
      </c>
      <c r="B1750" t="inlineStr">
        <is>
          <t>recv9QP6FyzJ3t.jpg</t>
        </is>
      </c>
      <c r="C1750" s="2" t="str">
        <f>=HYPERLINK("https://xhslink.com/m/AXRiBerCNKM", "https://xhslink.com/m/AXRiBerCNKM")</f>
        <v>https://xhslink.com/m/AXRiBerCNKM</v>
      </c>
      <c r="D1750"/>
      <c r="E1750">
        <v>855</v>
      </c>
      <c r="F1750">
        <v>129</v>
      </c>
      <c r="G1750"/>
      <c r="H1750"/>
      <c r="I1750">
        <v>700</v>
      </c>
      <c r="J1750"/>
      <c r="K1750" t="inlineStr">
        <is>
          <t>课件</t>
        </is>
      </c>
      <c r="L1750" t="inlineStr">
        <is>
          <t>🔥低粉爆款</t>
        </is>
      </c>
      <c r="M1750" t="inlineStr">
        <is>
          <t>暖阳拾光者的店</t>
        </is>
      </c>
      <c r="N1750">
        <v>235</v>
      </c>
      <c r="O1750">
        <v>4.36</v>
      </c>
      <c r="P1750">
        <v>1265</v>
      </c>
      <c r="Q1750" t="inlineStr">
        <is>
          <t>68d7e4086d0808001539ddb0</t>
        </is>
      </c>
      <c r="R1750"/>
      <c r="S1750" t="inlineStr">
        <is>
          <t>中小学教辅/教材</t>
        </is>
      </c>
      <c r="T1750" t="inlineStr">
        <is>
          <t>3.64</t>
        </is>
      </c>
      <c r="U1750" s="3">
        <v>46112.78107638889</v>
      </c>
      <c r="V1750" t="inlineStr">
        <is>
          <t>虚拟产品</t>
        </is>
      </c>
      <c r="W1750" s="3">
        <v>46053</v>
      </c>
      <c r="X1750" t="inlineStr">
        <is>
          <t>01</t>
        </is>
      </c>
      <c r="Y1750" t="inlineStr">
        <is>
          <t>2026-Q1</t>
        </is>
      </c>
    </row>
    <row r="1751" ht="38.25" customHeight="1">
      <c r="A1751" t="inlineStr">
        <is>
          <t>【2025】一年级上册语文课件+教案｜下方选择课文</t>
        </is>
      </c>
      <c r="B1751" t="inlineStr">
        <is>
          <t>recv9QP6FyKkdf.jpg</t>
        </is>
      </c>
      <c r="C1751" s="2" t="str">
        <f>=HYPERLINK("https://xhslink.com/m/36dziqFMzPr", "https://xhslink.com/m/36dziqFMzPr")</f>
        <v>https://xhslink.com/m/36dziqFMzPr</v>
      </c>
      <c r="D1751"/>
      <c r="E1751">
        <v>767</v>
      </c>
      <c r="F1751">
        <v>128</v>
      </c>
      <c r="G1751"/>
      <c r="H1751"/>
      <c r="I1751">
        <v>500</v>
      </c>
      <c r="J1751"/>
      <c r="K1751" t="inlineStr">
        <is>
          <t>课件</t>
        </is>
      </c>
      <c r="L1751"/>
      <c r="M1751" t="inlineStr">
        <is>
          <t>卢月如的店</t>
        </is>
      </c>
      <c r="N1751">
        <v>2311</v>
      </c>
      <c r="O1751">
        <v>4.56</v>
      </c>
      <c r="P1751">
        <v>15000</v>
      </c>
      <c r="Q1751" t="inlineStr">
        <is>
          <t>68b96987f0fbe90001d549ff</t>
        </is>
      </c>
      <c r="R1751" t="inlineStr">
        <is>
          <t>🚫重复</t>
        </is>
      </c>
      <c r="S1751" t="inlineStr">
        <is>
          <t>中小学教辅/教材</t>
        </is>
      </c>
      <c r="T1751" t="inlineStr">
        <is>
          <t>0.33</t>
        </is>
      </c>
      <c r="U1751" s="3">
        <v>46112.78107638889</v>
      </c>
      <c r="V1751" t="inlineStr">
        <is>
          <t>虚拟产品</t>
        </is>
      </c>
      <c r="W1751" s="3">
        <v>46053</v>
      </c>
      <c r="X1751" t="inlineStr">
        <is>
          <t>01</t>
        </is>
      </c>
      <c r="Y1751" t="inlineStr">
        <is>
          <t>2026-Q1</t>
        </is>
      </c>
    </row>
    <row r="1752" ht="38.25" customHeight="1">
      <c r="A1752" t="inlineStr">
        <is>
          <t>新苏少版八年级上册美术课件/教案</t>
        </is>
      </c>
      <c r="B1752" t="inlineStr">
        <is>
          <t>recv9QP6FyHgLZ.jpg</t>
        </is>
      </c>
      <c r="C1752" s="2" t="str">
        <f>=HYPERLINK("https://xhslink.com/m/5ZMeEvYXKrU", "https://xhslink.com/m/5ZMeEvYXKrU")</f>
        <v>https://xhslink.com/m/5ZMeEvYXKrU</v>
      </c>
      <c r="D1752"/>
      <c r="E1752">
        <v>705</v>
      </c>
      <c r="F1752">
        <v>198</v>
      </c>
      <c r="G1752"/>
      <c r="H1752"/>
      <c r="I1752">
        <v>200</v>
      </c>
      <c r="J1752"/>
      <c r="K1752" t="inlineStr">
        <is>
          <t>课件</t>
        </is>
      </c>
      <c r="L1752"/>
      <c r="M1752" t="inlineStr">
        <is>
          <t>猫耳美术课件的店</t>
        </is>
      </c>
      <c r="N1752">
        <v>17000</v>
      </c>
      <c r="O1752">
        <v>4.3</v>
      </c>
      <c r="P1752">
        <v>13000</v>
      </c>
      <c r="Q1752" t="inlineStr">
        <is>
          <t>6897f94b47d5bd0001618923</t>
        </is>
      </c>
      <c r="R1752"/>
      <c r="S1752" t="inlineStr">
        <is>
          <t>中小学教辅/教材</t>
        </is>
      </c>
      <c r="T1752" t="inlineStr">
        <is>
          <t>0.04</t>
        </is>
      </c>
      <c r="U1752" s="3">
        <v>46112.78107638889</v>
      </c>
      <c r="V1752" t="inlineStr">
        <is>
          <t>虚拟产品</t>
        </is>
      </c>
      <c r="W1752" s="3">
        <v>46053</v>
      </c>
      <c r="X1752" t="inlineStr">
        <is>
          <t>01</t>
        </is>
      </c>
      <c r="Y1752" t="inlineStr">
        <is>
          <t>2026-Q1</t>
        </is>
      </c>
    </row>
    <row r="1753" ht="38.25" customHeight="1">
      <c r="A1753" t="inlineStr">
        <is>
          <t>作文课件年度合集（2026年），辛苦请看清楚描述，再下单</t>
        </is>
      </c>
      <c r="B1753" t="inlineStr">
        <is>
          <t>recv9QP6FyNKme.jpg</t>
        </is>
      </c>
      <c r="C1753" s="2" t="str">
        <f>=HYPERLINK("https://xhslink.com/m/78HTpXg2g7a", "https://xhslink.com/m/78HTpXg2g7a")</f>
        <v>https://xhslink.com/m/78HTpXg2g7a</v>
      </c>
      <c r="D1753"/>
      <c r="E1753">
        <v>676</v>
      </c>
      <c r="F1753">
        <v>199</v>
      </c>
      <c r="G1753"/>
      <c r="H1753"/>
      <c r="I1753">
        <v>300</v>
      </c>
      <c r="J1753"/>
      <c r="K1753" t="inlineStr">
        <is>
          <t>课件</t>
        </is>
      </c>
      <c r="L1753"/>
      <c r="M1753" t="inlineStr">
        <is>
          <t>盛思文工作室的店</t>
        </is>
      </c>
      <c r="N1753">
        <v>20000</v>
      </c>
      <c r="O1753">
        <v>4.34</v>
      </c>
      <c r="P1753">
        <v>7442</v>
      </c>
      <c r="Q1753" t="inlineStr">
        <is>
          <t>68c235d20201ec0001e3c0c6</t>
        </is>
      </c>
      <c r="R1753"/>
      <c r="S1753" t="inlineStr">
        <is>
          <t>中小学教辅/教材</t>
        </is>
      </c>
      <c r="T1753" t="inlineStr">
        <is>
          <t>0.03</t>
        </is>
      </c>
      <c r="U1753" s="3">
        <v>46112.78107638889</v>
      </c>
      <c r="V1753" t="inlineStr">
        <is>
          <t>虚拟产品</t>
        </is>
      </c>
      <c r="W1753" s="3">
        <v>46053</v>
      </c>
      <c r="X1753" t="inlineStr">
        <is>
          <t>01</t>
        </is>
      </c>
      <c r="Y1753" t="inlineStr">
        <is>
          <t>2026-Q1</t>
        </is>
      </c>
    </row>
    <row r="1754" ht="38.25" customHeight="1">
      <c r="A1754" t="inlineStr">
        <is>
          <t>苏少版新教材丨八年级上册课件</t>
        </is>
      </c>
      <c r="B1754" t="inlineStr">
        <is>
          <t>recv9QP6FyJX0o.jpg</t>
        </is>
      </c>
      <c r="C1754" s="2" t="str">
        <f>=HYPERLINK("https://xhslink.com/m/2JWMni9hXQr", "https://xhslink.com/m/2JWMni9hXQr")</f>
        <v>https://xhslink.com/m/2JWMni9hXQr</v>
      </c>
      <c r="D1754"/>
      <c r="E1754">
        <v>625</v>
      </c>
      <c r="F1754">
        <v>180</v>
      </c>
      <c r="G1754"/>
      <c r="H1754"/>
      <c r="I1754">
        <v>200</v>
      </c>
      <c r="J1754"/>
      <c r="K1754" t="inlineStr">
        <is>
          <t>课件</t>
        </is>
      </c>
      <c r="L1754"/>
      <c r="M1754" t="inlineStr">
        <is>
          <t>美教护肝片的店</t>
        </is>
      </c>
      <c r="N1754">
        <v>11000</v>
      </c>
      <c r="O1754">
        <v>4.29</v>
      </c>
      <c r="P1754">
        <v>21000</v>
      </c>
      <c r="Q1754" t="inlineStr">
        <is>
          <t>68a08ed14dbac20001c9bf98</t>
        </is>
      </c>
      <c r="R1754" t="inlineStr">
        <is>
          <t>🚫重复</t>
        </is>
      </c>
      <c r="S1754" t="inlineStr">
        <is>
          <t>中小学教辅/教材</t>
        </is>
      </c>
      <c r="T1754" t="inlineStr">
        <is>
          <t>0.06</t>
        </is>
      </c>
      <c r="U1754" s="3">
        <v>46112.78107638889</v>
      </c>
      <c r="V1754" t="inlineStr">
        <is>
          <t>虚拟产品</t>
        </is>
      </c>
      <c r="W1754" s="3">
        <v>46053</v>
      </c>
      <c r="X1754" t="inlineStr">
        <is>
          <t>01</t>
        </is>
      </c>
      <c r="Y1754" t="inlineStr">
        <is>
          <t>2026-Q1</t>
        </is>
      </c>
    </row>
    <row r="1755" ht="38.25" customHeight="1">
      <c r="A1755" t="inlineStr">
        <is>
          <t>人教版新教材｜三年级上册课件</t>
        </is>
      </c>
      <c r="B1755" t="inlineStr">
        <is>
          <t>recv9QP6FyDYbO.jpg</t>
        </is>
      </c>
      <c r="C1755" s="2" t="str">
        <f>=HYPERLINK("https://xhslink.com/m/1rvrPBM0zFY", "https://xhslink.com/m/1rvrPBM0zFY")</f>
        <v>https://xhslink.com/m/1rvrPBM0zFY</v>
      </c>
      <c r="D1755"/>
      <c r="E1755">
        <v>556</v>
      </c>
      <c r="F1755">
        <v>85</v>
      </c>
      <c r="G1755"/>
      <c r="H1755"/>
      <c r="I1755">
        <v>200</v>
      </c>
      <c r="J1755"/>
      <c r="K1755" t="inlineStr">
        <is>
          <t>课件</t>
        </is>
      </c>
      <c r="L1755"/>
      <c r="M1755" t="inlineStr">
        <is>
          <t>美教护肝片的店</t>
        </is>
      </c>
      <c r="N1755">
        <v>11000</v>
      </c>
      <c r="O1755">
        <v>4.29</v>
      </c>
      <c r="P1755">
        <v>21000</v>
      </c>
      <c r="Q1755" t="inlineStr">
        <is>
          <t>689ce24960a5740001953673</t>
        </is>
      </c>
      <c r="R1755" t="inlineStr">
        <is>
          <t>🚫重复</t>
        </is>
      </c>
      <c r="S1755" t="inlineStr">
        <is>
          <t>中小学教辅/教材</t>
        </is>
      </c>
      <c r="T1755" t="inlineStr">
        <is>
          <t>0.05</t>
        </is>
      </c>
      <c r="U1755" s="3">
        <v>46112.78107638889</v>
      </c>
      <c r="V1755" t="inlineStr">
        <is>
          <t>虚拟产品</t>
        </is>
      </c>
      <c r="W1755" s="3">
        <v>46053</v>
      </c>
      <c r="X1755" t="inlineStr">
        <is>
          <t>01</t>
        </is>
      </c>
      <c r="Y1755" t="inlineStr">
        <is>
          <t>2026-Q1</t>
        </is>
      </c>
    </row>
    <row r="1756" ht="38.25" customHeight="1">
      <c r="A1756" t="inlineStr">
        <is>
          <t>新人教英语八上课件【懒人笔记】（自动发货）</t>
        </is>
      </c>
      <c r="B1756" t="inlineStr">
        <is>
          <t>recv9QP6FyGfOb.jpg</t>
        </is>
      </c>
      <c r="C1756" s="2" t="str">
        <f>=HYPERLINK("https://xhslink.com/m/6f6wHhguKUE", "https://xhslink.com/m/6f6wHhguKUE")</f>
        <v>https://xhslink.com/m/6f6wHhguKUE</v>
      </c>
      <c r="D1756"/>
      <c r="E1756">
        <v>541</v>
      </c>
      <c r="F1756">
        <v>468</v>
      </c>
      <c r="G1756"/>
      <c r="H1756"/>
      <c r="I1756">
        <v>400</v>
      </c>
      <c r="J1756"/>
      <c r="K1756" t="inlineStr">
        <is>
          <t>课件</t>
        </is>
      </c>
      <c r="L1756"/>
      <c r="M1756" t="inlineStr">
        <is>
          <t>英语课件资源的店</t>
        </is>
      </c>
      <c r="N1756">
        <v>1339</v>
      </c>
      <c r="O1756">
        <v>4.26</v>
      </c>
      <c r="P1756">
        <v>1566</v>
      </c>
      <c r="Q1756" t="inlineStr">
        <is>
          <t>68e7deb7b56f160001f5ff85</t>
        </is>
      </c>
      <c r="R1756"/>
      <c r="S1756" t="inlineStr">
        <is>
          <t>中小学教辅/教材</t>
        </is>
      </c>
      <c r="T1756" t="inlineStr">
        <is>
          <t>0.40</t>
        </is>
      </c>
      <c r="U1756" s="3">
        <v>46112.78107638889</v>
      </c>
      <c r="V1756" t="inlineStr">
        <is>
          <t>虚拟产品</t>
        </is>
      </c>
      <c r="W1756" s="3">
        <v>46053</v>
      </c>
      <c r="X1756" t="inlineStr">
        <is>
          <t>01</t>
        </is>
      </c>
      <c r="Y1756" t="inlineStr">
        <is>
          <t>2026-Q1</t>
        </is>
      </c>
    </row>
    <row r="1757" ht="38.25" customHeight="1">
      <c r="A1757" t="inlineStr">
        <is>
          <t>幼小衔接数学思维教学计划启蒙幼儿园小中大全套PPT课件教案习题</t>
        </is>
      </c>
      <c r="B1757" t="inlineStr">
        <is>
          <t>recv9QP6FyUAWw.jpg</t>
        </is>
      </c>
      <c r="C1757" s="2" t="str">
        <f>=HYPERLINK("https://xhslink.com/m/Avp6DT93bjt", "https://xhslink.com/m/Avp6DT93bjt")</f>
        <v>https://xhslink.com/m/Avp6DT93bjt</v>
      </c>
      <c r="D1757"/>
      <c r="E1757">
        <v>533</v>
      </c>
      <c r="F1757">
        <v>68</v>
      </c>
      <c r="G1757"/>
      <c r="H1757"/>
      <c r="I1757">
        <v>200</v>
      </c>
      <c r="J1757"/>
      <c r="K1757" t="inlineStr">
        <is>
          <t>课件</t>
        </is>
      </c>
      <c r="L1757"/>
      <c r="M1757" t="inlineStr">
        <is>
          <t>麦兜老师的店</t>
        </is>
      </c>
      <c r="N1757">
        <v>2121</v>
      </c>
      <c r="O1757">
        <v>4.32</v>
      </c>
      <c r="P1757">
        <v>2940</v>
      </c>
      <c r="Q1757" t="inlineStr">
        <is>
          <t>685ec6bff89aa500016a172d</t>
        </is>
      </c>
      <c r="R1757"/>
      <c r="S1757" t="inlineStr">
        <is>
          <t>幼教资料</t>
        </is>
      </c>
      <c r="T1757" t="inlineStr">
        <is>
          <t>0.25</t>
        </is>
      </c>
      <c r="U1757" s="3">
        <v>46112.78107638889</v>
      </c>
      <c r="V1757" t="inlineStr">
        <is>
          <t>虚拟产品</t>
        </is>
      </c>
      <c r="W1757" s="3">
        <v>46053</v>
      </c>
      <c r="X1757" t="inlineStr">
        <is>
          <t>01</t>
        </is>
      </c>
      <c r="Y1757" t="inlineStr">
        <is>
          <t>2026-Q1</t>
        </is>
      </c>
    </row>
    <row r="1758" ht="38.25" customHeight="1">
      <c r="A1758" t="inlineStr">
        <is>
          <t>【2025秋新教材】一上语文课件PPT教案大单元任务群</t>
        </is>
      </c>
      <c r="B1758" t="inlineStr">
        <is>
          <t>recv9QP6FyomjB.jpg</t>
        </is>
      </c>
      <c r="C1758" s="2" t="str">
        <f>=HYPERLINK("https://xhslink.com/m/44wu2ipjyyT", "https://xhslink.com/m/44wu2ipjyyT")</f>
        <v>https://xhslink.com/m/44wu2ipjyyT</v>
      </c>
      <c r="D1758"/>
      <c r="E1758">
        <v>513</v>
      </c>
      <c r="F1758">
        <v>132</v>
      </c>
      <c r="G1758"/>
      <c r="H1758"/>
      <c r="I1758">
        <v>200</v>
      </c>
      <c r="J1758"/>
      <c r="K1758" t="inlineStr">
        <is>
          <t>课件</t>
        </is>
      </c>
      <c r="L1758"/>
      <c r="M1758" t="inlineStr">
        <is>
          <t>小苗苗知识小屋的店</t>
        </is>
      </c>
      <c r="N1758">
        <v>6318</v>
      </c>
      <c r="O1758">
        <v>4.25</v>
      </c>
      <c r="P1758">
        <v>27000</v>
      </c>
      <c r="Q1758" t="inlineStr">
        <is>
          <t>68b7e5de9a16410001bc6545</t>
        </is>
      </c>
      <c r="R1758" t="inlineStr">
        <is>
          <t>🚫重复</t>
        </is>
      </c>
      <c r="S1758" t="inlineStr">
        <is>
          <t>中小学教辅/教材</t>
        </is>
      </c>
      <c r="T1758" t="inlineStr">
        <is>
          <t>0.08</t>
        </is>
      </c>
      <c r="U1758" s="3">
        <v>46112.78107638889</v>
      </c>
      <c r="V1758" t="inlineStr">
        <is>
          <t>虚拟产品</t>
        </is>
      </c>
      <c r="W1758" s="3">
        <v>46053</v>
      </c>
      <c r="X1758" t="inlineStr">
        <is>
          <t>01</t>
        </is>
      </c>
      <c r="Y1758" t="inlineStr">
        <is>
          <t>2026-Q1</t>
        </is>
      </c>
    </row>
    <row r="1759" ht="38.25" customHeight="1">
      <c r="A1759" t="inlineStr">
        <is>
          <t>情绪管理主题班会PPT课件+教案+逐字稿</t>
        </is>
      </c>
      <c r="B1759" t="inlineStr">
        <is>
          <t>recv9QP6Fytt9f.jpg</t>
        </is>
      </c>
      <c r="C1759" s="2" t="str">
        <f>=HYPERLINK("https://xhslink.com/m/k7O4CFRUnD", "https://xhslink.com/m/k7O4CFRUnD")</f>
        <v>https://xhslink.com/m/k7O4CFRUnD</v>
      </c>
      <c r="D1759"/>
      <c r="E1759">
        <v>504</v>
      </c>
      <c r="F1759">
        <v>99</v>
      </c>
      <c r="G1759"/>
      <c r="H1759"/>
      <c r="I1759">
        <v>400</v>
      </c>
      <c r="J1759"/>
      <c r="K1759" t="inlineStr">
        <is>
          <t>课件</t>
        </is>
      </c>
      <c r="L1759"/>
      <c r="M1759" t="inlineStr">
        <is>
          <t>皮卡皮卡的店</t>
        </is>
      </c>
      <c r="N1759">
        <v>14000</v>
      </c>
      <c r="O1759">
        <v>4.56</v>
      </c>
      <c r="P1759">
        <v>54000</v>
      </c>
      <c r="Q1759" t="inlineStr">
        <is>
          <t>68f98a0d7d3b3f000172f9c2</t>
        </is>
      </c>
      <c r="R1759" t="inlineStr">
        <is>
          <t>🚫重复</t>
        </is>
      </c>
      <c r="S1759" t="inlineStr">
        <is>
          <t>PPT模板</t>
        </is>
      </c>
      <c r="T1759" t="inlineStr">
        <is>
          <t>0.04</t>
        </is>
      </c>
      <c r="U1759" s="3">
        <v>46112.78107638889</v>
      </c>
      <c r="V1759" t="inlineStr">
        <is>
          <t>虚拟产品</t>
        </is>
      </c>
      <c r="W1759" s="3">
        <v>46053</v>
      </c>
      <c r="X1759" t="inlineStr">
        <is>
          <t>01</t>
        </is>
      </c>
      <c r="Y1759" t="inlineStr">
        <is>
          <t>2026-Q1</t>
        </is>
      </c>
    </row>
    <row r="1760" ht="38.25" customHeight="1">
      <c r="A1760" t="inlineStr">
        <is>
          <t>新版人教四上第五单元课件教案等资源（加购物车自选）</t>
        </is>
      </c>
      <c r="B1760" t="inlineStr">
        <is>
          <t>recv9QP6FyqLr5.jpg</t>
        </is>
      </c>
      <c r="C1760" s="2" t="str">
        <f>=HYPERLINK("https://xhslink.com/m/AFlhVVBvKna", "https://xhslink.com/m/AFlhVVBvKna")</f>
        <v>https://xhslink.com/m/AFlhVVBvKna</v>
      </c>
      <c r="D1760"/>
      <c r="E1760">
        <v>456</v>
      </c>
      <c r="F1760">
        <v>28</v>
      </c>
      <c r="G1760"/>
      <c r="H1760"/>
      <c r="I1760">
        <v>200</v>
      </c>
      <c r="J1760"/>
      <c r="K1760" t="inlineStr">
        <is>
          <t>课件</t>
        </is>
      </c>
      <c r="L1760"/>
      <c r="M1760" t="inlineStr">
        <is>
          <t>Susie小英手作的店</t>
        </is>
      </c>
      <c r="N1760">
        <v>4205</v>
      </c>
      <c r="O1760">
        <v>4.51</v>
      </c>
      <c r="P1760">
        <v>9682</v>
      </c>
      <c r="Q1760" t="inlineStr">
        <is>
          <t>68e65cabce94ee00012614be</t>
        </is>
      </c>
      <c r="R1760"/>
      <c r="S1760" t="inlineStr">
        <is>
          <t>中小学教辅/教材</t>
        </is>
      </c>
      <c r="T1760" t="inlineStr">
        <is>
          <t>0.11</t>
        </is>
      </c>
      <c r="U1760" s="3">
        <v>46112.78107638889</v>
      </c>
      <c r="V1760" t="inlineStr">
        <is>
          <t>虚拟产品</t>
        </is>
      </c>
      <c r="W1760" s="3">
        <v>46053</v>
      </c>
      <c r="X1760" t="inlineStr">
        <is>
          <t>01</t>
        </is>
      </c>
      <c r="Y1760" t="inlineStr">
        <is>
          <t>2026-Q1</t>
        </is>
      </c>
    </row>
    <row r="1761" ht="38.25" customHeight="1">
      <c r="A1761" t="inlineStr">
        <is>
          <t>【校内同步作文】3年级上册1-8单元作文课件（2025年更新版）</t>
        </is>
      </c>
      <c r="B1761" t="inlineStr">
        <is>
          <t>recv9QP6Fy0HAJ.jpg</t>
        </is>
      </c>
      <c r="C1761" s="2" t="str">
        <f>=HYPERLINK("https://xhslink.com/m/7r27Ms26UjH", "https://xhslink.com/m/7r27Ms26UjH")</f>
        <v>https://xhslink.com/m/7r27Ms26UjH</v>
      </c>
      <c r="D1761"/>
      <c r="E1761">
        <v>364</v>
      </c>
      <c r="F1761">
        <v>199</v>
      </c>
      <c r="G1761"/>
      <c r="H1761"/>
      <c r="I1761">
        <v>300</v>
      </c>
      <c r="J1761"/>
      <c r="K1761" t="inlineStr">
        <is>
          <t>课件</t>
        </is>
      </c>
      <c r="L1761"/>
      <c r="M1761" t="inlineStr">
        <is>
          <t>罗意老师的店</t>
        </is>
      </c>
      <c r="N1761">
        <v>26000</v>
      </c>
      <c r="O1761">
        <v>4.27</v>
      </c>
      <c r="P1761">
        <v>2104</v>
      </c>
      <c r="Q1761" t="inlineStr">
        <is>
          <t>6879f5cb79bc470001ce4cdc</t>
        </is>
      </c>
      <c r="R1761" t="inlineStr">
        <is>
          <t>🚫重复</t>
        </is>
      </c>
      <c r="S1761" t="inlineStr">
        <is>
          <t>中小学教辅/教材</t>
        </is>
      </c>
      <c r="T1761" t="inlineStr">
        <is>
          <t>0.01</t>
        </is>
      </c>
      <c r="U1761" s="3">
        <v>46112.78107638889</v>
      </c>
      <c r="V1761" t="inlineStr">
        <is>
          <t>虚拟产品</t>
        </is>
      </c>
      <c r="W1761" s="3">
        <v>46053</v>
      </c>
      <c r="X1761" t="inlineStr">
        <is>
          <t>01</t>
        </is>
      </c>
      <c r="Y1761" t="inlineStr">
        <is>
          <t>2026-Q1</t>
        </is>
      </c>
    </row>
    <row r="1762" ht="38.25" customHeight="1">
      <c r="A1762" t="inlineStr">
        <is>
          <t>2026咨询工程师视频网课精讲习题冲刺课件题库教程</t>
        </is>
      </c>
      <c r="B1762" t="inlineStr">
        <is>
          <t>recv9QP6FyEBdW.jpg</t>
        </is>
      </c>
      <c r="C1762" s="2" t="str">
        <f>=HYPERLINK("https://xhslink.com/m/1inb0PXCMsS", "https://xhslink.com/m/1inb0PXCMsS")</f>
        <v>https://xhslink.com/m/1inb0PXCMsS</v>
      </c>
      <c r="D1762"/>
      <c r="E1762">
        <v>348</v>
      </c>
      <c r="F1762">
        <v>60</v>
      </c>
      <c r="G1762"/>
      <c r="H1762"/>
      <c r="I1762">
        <v>200</v>
      </c>
      <c r="J1762"/>
      <c r="K1762" t="inlineStr">
        <is>
          <t>课件</t>
        </is>
      </c>
      <c r="L1762"/>
      <c r="M1762" t="inlineStr">
        <is>
          <t>娜娜学姐爱分享的店</t>
        </is>
      </c>
      <c r="N1762">
        <v>449</v>
      </c>
      <c r="O1762">
        <v>4.62</v>
      </c>
      <c r="P1762">
        <v>1544</v>
      </c>
      <c r="Q1762" t="inlineStr">
        <is>
          <t>689738b69e837400011566b2</t>
        </is>
      </c>
      <c r="R1762"/>
      <c r="S1762" t="inlineStr">
        <is>
          <t>无匹配类别</t>
        </is>
      </c>
      <c r="T1762" t="inlineStr">
        <is>
          <t>0.78</t>
        </is>
      </c>
      <c r="U1762" s="3">
        <v>46112.78107638889</v>
      </c>
      <c r="V1762" t="inlineStr">
        <is>
          <t>虚拟产品</t>
        </is>
      </c>
      <c r="W1762" s="3">
        <v>46053</v>
      </c>
      <c r="X1762" t="inlineStr">
        <is>
          <t>01</t>
        </is>
      </c>
      <c r="Y1762" t="inlineStr">
        <is>
          <t>2026-Q1</t>
        </is>
      </c>
    </row>
    <row r="1763" ht="38.25" customHeight="1">
      <c r="A1763" t="inlineStr">
        <is>
          <t>（动态）2026好运加码创意个性可爱马年红包封面序列号</t>
        </is>
      </c>
      <c r="B1763" t="inlineStr">
        <is>
          <t>recvdJwg0YHm5R.jpg</t>
        </is>
      </c>
      <c r="C1763" s="2" t="str">
        <f>=HYPERLINK("https://xhslink.com/m/AFpurjSk2bj", "https://xhslink.com/m/AFpurjSk2bj")</f>
        <v>https://xhslink.com/m/AFpurjSk2bj</v>
      </c>
      <c r="D1763"/>
      <c r="E1763">
        <v>1857</v>
      </c>
      <c r="F1763">
        <v>6.8</v>
      </c>
      <c r="G1763"/>
      <c r="H1763"/>
      <c r="I1763">
        <v>1000</v>
      </c>
      <c r="J1763"/>
      <c r="K1763" t="inlineStr">
        <is>
          <t>100</t>
        </is>
      </c>
      <c r="L1763"/>
      <c r="M1763" t="inlineStr">
        <is>
          <t>自然醒的绘画的店</t>
        </is>
      </c>
      <c r="N1763">
        <v>6399</v>
      </c>
      <c r="O1763">
        <v>4.45</v>
      </c>
      <c r="P1763">
        <v>42000</v>
      </c>
      <c r="Q1763" t="inlineStr">
        <is>
          <t>694bae8e1224b70001a602de</t>
        </is>
      </c>
      <c r="R1763" t="inlineStr">
        <is>
          <t>🚫重复</t>
        </is>
      </c>
      <c r="S1763" t="inlineStr">
        <is>
          <t>头像壁纸</t>
        </is>
      </c>
      <c r="T1763" t="inlineStr">
        <is>
          <t>0.29</t>
        </is>
      </c>
      <c r="U1763" s="3">
        <v>46112.78107638889</v>
      </c>
      <c r="V1763"/>
      <c r="W1763" s="3">
        <v>46068.66951388889</v>
      </c>
      <c r="X1763" t="inlineStr">
        <is>
          <t>02</t>
        </is>
      </c>
      <c r="Y1763" t="inlineStr">
        <is>
          <t>2026-Q1</t>
        </is>
      </c>
    </row>
    <row r="1764" ht="38.25" customHeight="1">
      <c r="A1764" t="inlineStr">
        <is>
          <t>（动态）2026趣味牛马赚钱给你花搞怪可爱红包封面</t>
        </is>
      </c>
      <c r="B1764" t="inlineStr">
        <is>
          <t>__upload_recvdJwg0Y6FE2.jpg</t>
        </is>
      </c>
      <c r="C1764" s="2" t="str">
        <f>=HYPERLINK("https://xhslink.com/m/A5iRVaiKfvU", "https://xhslink.com/m/A5iRVaiKfvU")</f>
        <v>https://xhslink.com/m/A5iRVaiKfvU</v>
      </c>
      <c r="D1764"/>
      <c r="E1764">
        <v>232</v>
      </c>
      <c r="F1764">
        <v>6.8</v>
      </c>
      <c r="G1764"/>
      <c r="H1764"/>
      <c r="I1764">
        <v>150</v>
      </c>
      <c r="J1764">
        <v>100</v>
      </c>
      <c r="K1764" t="inlineStr">
        <is>
          <t>红包封面</t>
        </is>
      </c>
      <c r="L1764"/>
      <c r="M1764" t="inlineStr">
        <is>
          <t>自然醒的绘画的店</t>
        </is>
      </c>
      <c r="N1764">
        <v>6399</v>
      </c>
      <c r="O1764">
        <v>4.45</v>
      </c>
      <c r="P1764">
        <v>42000</v>
      </c>
      <c r="Q1764" t="inlineStr">
        <is>
          <t>68b69d970c1e9b00018a67ca</t>
        </is>
      </c>
      <c r="R1764" t="inlineStr">
        <is>
          <t>🚫重复</t>
        </is>
      </c>
      <c r="S1764" t="inlineStr">
        <is>
          <t>头像壁纸</t>
        </is>
      </c>
      <c r="T1764" t="inlineStr">
        <is>
          <t>0.04</t>
        </is>
      </c>
      <c r="U1764" s="3">
        <v>46112.78107638889</v>
      </c>
      <c r="V1764"/>
      <c r="W1764" s="3">
        <v>46068.66951388889</v>
      </c>
      <c r="X1764" t="inlineStr">
        <is>
          <t>02</t>
        </is>
      </c>
      <c r="Y1764" t="inlineStr">
        <is>
          <t>2026-Q1</t>
        </is>
      </c>
    </row>
    <row r="1765" ht="38.25" customHeight="1">
      <c r="A1765" t="inlineStr">
        <is>
          <t>【多款可选】微信红包封面｜自动发货【有效期90天】v入口看详情</t>
        </is>
      </c>
      <c r="B1765" t="inlineStr">
        <is>
          <t>recvdJwg0Yd7Tp.jpg</t>
        </is>
      </c>
      <c r="C1765" s="2" t="str">
        <f>=HYPERLINK("https://xhslink.com/m/1IuteTDce2z", "https://xhslink.com/m/1IuteTDce2z")</f>
        <v>https://xhslink.com/m/1IuteTDce2z</v>
      </c>
      <c r="D1765"/>
      <c r="E1765">
        <v>1368</v>
      </c>
      <c r="F1765">
        <v>99</v>
      </c>
      <c r="G1765"/>
      <c r="H1765">
        <v>100</v>
      </c>
      <c r="I1765"/>
      <c r="J1765"/>
      <c r="K1765" t="inlineStr">
        <is>
          <t>红包封面</t>
        </is>
      </c>
      <c r="L1765"/>
      <c r="M1765" t="inlineStr">
        <is>
          <t>Jenny Studio：）的店</t>
        </is>
      </c>
      <c r="N1765">
        <v>9107</v>
      </c>
      <c r="O1765">
        <v>4.65</v>
      </c>
      <c r="P1765">
        <v>31000</v>
      </c>
      <c r="Q1765" t="inlineStr">
        <is>
          <t>6991e2467db7d20001084a85</t>
        </is>
      </c>
      <c r="R1765"/>
      <c r="S1765" t="inlineStr">
        <is>
          <t>无匹配类别</t>
        </is>
      </c>
      <c r="T1765" t="inlineStr">
        <is>
          <t>0.15</t>
        </is>
      </c>
      <c r="U1765" s="3">
        <v>46112.78107638889</v>
      </c>
      <c r="V1765"/>
      <c r="W1765" s="3">
        <v>46080.54703703704</v>
      </c>
      <c r="X1765" t="inlineStr">
        <is>
          <t>02</t>
        </is>
      </c>
      <c r="Y1765" t="inlineStr">
        <is>
          <t>2026-Q1</t>
        </is>
      </c>
    </row>
    <row r="1766" ht="38.25" customHeight="1">
      <c r="A1766" t="inlineStr">
        <is>
          <t>BerryPPT · InsightX100©100个商业模型模板</t>
        </is>
      </c>
      <c r="B1766" t="inlineStr">
        <is>
          <t>recvdJwg0Yr1UF.jpg</t>
        </is>
      </c>
      <c r="C1766" s="2" t="str">
        <f>=HYPERLINK("https://xhslink.com/m/221ZjxynJyq", "https://xhslink.com/m/221ZjxynJyq")</f>
        <v>https://xhslink.com/m/221ZjxynJyq</v>
      </c>
      <c r="D1766"/>
      <c r="E1766">
        <v>2184</v>
      </c>
      <c r="F1766">
        <v>89.99</v>
      </c>
      <c r="G1766"/>
      <c r="H1766">
        <v>100</v>
      </c>
      <c r="I1766"/>
      <c r="J1766"/>
      <c r="K1766" t="inlineStr">
        <is>
          <t>红包封面</t>
        </is>
      </c>
      <c r="L1766"/>
      <c r="M1766" t="inlineStr">
        <is>
          <t>BerryPPT旗舰店</t>
        </is>
      </c>
      <c r="N1766">
        <v>13000</v>
      </c>
      <c r="O1766">
        <v>4.2</v>
      </c>
      <c r="P1766">
        <v>5103</v>
      </c>
      <c r="Q1766" t="inlineStr">
        <is>
          <t>66f63f7275e23c00019c389b</t>
        </is>
      </c>
      <c r="R1766" t="inlineStr">
        <is>
          <t>🚫重复</t>
        </is>
      </c>
      <c r="S1766" t="inlineStr">
        <is>
          <t>PPT模板</t>
        </is>
      </c>
      <c r="T1766" t="inlineStr">
        <is>
          <t>0.17</t>
        </is>
      </c>
      <c r="U1766" s="3">
        <v>46112.78107638889</v>
      </c>
      <c r="V1766"/>
      <c r="W1766" s="3">
        <v>46080.54703703704</v>
      </c>
      <c r="X1766" t="inlineStr">
        <is>
          <t>02</t>
        </is>
      </c>
      <c r="Y1766" t="inlineStr">
        <is>
          <t>2026-Q1</t>
        </is>
      </c>
    </row>
    <row r="1767" ht="38.25" customHeight="1">
      <c r="A1767" t="inlineStr">
        <is>
          <t>网络女频小说封面现代素锦风格无人款版权无忧48h出单</t>
        </is>
      </c>
      <c r="B1767" t="inlineStr">
        <is>
          <t>recvdJwg0Yko65.jpg</t>
        </is>
      </c>
      <c r="C1767" s="2" t="str">
        <f>=HYPERLINK("https://xhslink.com/m/8xLYn8jPfBF", "https://xhslink.com/m/8xLYn8jPfBF")</f>
        <v>https://xhslink.com/m/8xLYn8jPfBF</v>
      </c>
      <c r="D1767"/>
      <c r="E1767">
        <v>3504</v>
      </c>
      <c r="F1767">
        <v>480</v>
      </c>
      <c r="G1767"/>
      <c r="H1767">
        <v>250</v>
      </c>
      <c r="I1767"/>
      <c r="J1767"/>
      <c r="K1767" t="inlineStr">
        <is>
          <t>红包封面</t>
        </is>
      </c>
      <c r="L1767" t="inlineStr">
        <is>
          <t>🔥低粉爆款</t>
        </is>
      </c>
      <c r="M1767" t="inlineStr">
        <is>
          <t>念辞阁网络小说封面的店</t>
        </is>
      </c>
      <c r="N1767">
        <v>947</v>
      </c>
      <c r="O1767">
        <v>4.52</v>
      </c>
      <c r="P1767">
        <v>9787</v>
      </c>
      <c r="Q1767" t="inlineStr">
        <is>
          <t>690069a0cdf9d60001675b0c</t>
        </is>
      </c>
      <c r="R1767" t="inlineStr">
        <is>
          <t>🚫重复</t>
        </is>
      </c>
      <c r="S1767" t="inlineStr">
        <is>
          <t>设计素材</t>
        </is>
      </c>
      <c r="T1767" t="inlineStr">
        <is>
          <t>3.70</t>
        </is>
      </c>
      <c r="U1767" s="3">
        <v>46112.78107638889</v>
      </c>
      <c r="V1767"/>
      <c r="W1767" s="3">
        <v>46080.54703703704</v>
      </c>
      <c r="X1767" t="inlineStr">
        <is>
          <t>02</t>
        </is>
      </c>
      <c r="Y1767" t="inlineStr">
        <is>
          <t>2026-Q1</t>
        </is>
      </c>
    </row>
    <row r="1768" ht="38.25" customHeight="1">
      <c r="A1768" t="inlineStr">
        <is>
          <t>（单拍不发）补款加急！加急在5h内的需要和客服特别备注！</t>
        </is>
      </c>
      <c r="B1768" t="inlineStr">
        <is>
          <t>recvdJwg0Yiija.jpg</t>
        </is>
      </c>
      <c r="C1768" s="2" t="str">
        <f>=HYPERLINK("https://xhslink.com/m/8XXquYDjXCc", "https://xhslink.com/m/8XXquYDjXCc")</f>
        <v>https://xhslink.com/m/8XXquYDjXCc</v>
      </c>
      <c r="D1768"/>
      <c r="E1768">
        <v>1348</v>
      </c>
      <c r="F1768">
        <v>150</v>
      </c>
      <c r="G1768"/>
      <c r="H1768">
        <v>100</v>
      </c>
      <c r="I1768"/>
      <c r="J1768"/>
      <c r="K1768" t="inlineStr">
        <is>
          <t>红包封面</t>
        </is>
      </c>
      <c r="L1768"/>
      <c r="M1768" t="inlineStr">
        <is>
          <t>念辞阁网络小说封面的店</t>
        </is>
      </c>
      <c r="N1768">
        <v>947</v>
      </c>
      <c r="O1768">
        <v>4.52</v>
      </c>
      <c r="P1768">
        <v>9787</v>
      </c>
      <c r="Q1768" t="inlineStr">
        <is>
          <t>696b2287b706d700019cabb4</t>
        </is>
      </c>
      <c r="R1768" t="inlineStr">
        <is>
          <t>🚫重复</t>
        </is>
      </c>
      <c r="S1768" t="inlineStr">
        <is>
          <t>头像壁纸</t>
        </is>
      </c>
      <c r="T1768" t="inlineStr">
        <is>
          <t>1.42</t>
        </is>
      </c>
      <c r="U1768" s="3">
        <v>46112.78107638889</v>
      </c>
      <c r="V1768"/>
      <c r="W1768" s="3">
        <v>46080.54703703704</v>
      </c>
      <c r="X1768" t="inlineStr">
        <is>
          <t>02</t>
        </is>
      </c>
      <c r="Y1768" t="inlineStr">
        <is>
          <t>2026-Q1</t>
        </is>
      </c>
    </row>
    <row r="1769" ht="38.25" customHeight="1">
      <c r="A1769" t="inlineStr">
        <is>
          <t>杨梅红2026新春大红包限量发放</t>
        </is>
      </c>
      <c r="B1769" t="inlineStr">
        <is>
          <t>recvdJwg0Y5Rse.jpg</t>
        </is>
      </c>
      <c r="C1769" s="2" t="str">
        <f>=HYPERLINK("https://xhslink.com/m/3U1k7WnRlcQ", "https://xhslink.com/m/3U1k7WnRlcQ")</f>
        <v>https://xhslink.com/m/3U1k7WnRlcQ</v>
      </c>
      <c r="D1769"/>
      <c r="E1769">
        <v>223</v>
      </c>
      <c r="F1769">
        <v>199</v>
      </c>
      <c r="G1769"/>
      <c r="H1769">
        <v>100</v>
      </c>
      <c r="I1769"/>
      <c r="J1769"/>
      <c r="K1769" t="inlineStr">
        <is>
          <t>红包封面</t>
        </is>
      </c>
      <c r="L1769"/>
      <c r="M1769" t="inlineStr">
        <is>
          <t>麦禾美艺术的店</t>
        </is>
      </c>
      <c r="N1769">
        <v>2887</v>
      </c>
      <c r="O1769">
        <v>4.22</v>
      </c>
      <c r="P1769">
        <v>1341</v>
      </c>
      <c r="Q1769" t="inlineStr">
        <is>
          <t>69685b8197daad000127d161</t>
        </is>
      </c>
      <c r="R1769"/>
      <c r="S1769" t="inlineStr">
        <is>
          <t>无匹配类别</t>
        </is>
      </c>
      <c r="T1769" t="inlineStr">
        <is>
          <t>0.08</t>
        </is>
      </c>
      <c r="U1769" s="3">
        <v>46112.78107638889</v>
      </c>
      <c r="V1769"/>
      <c r="W1769" s="3">
        <v>46080.54703703704</v>
      </c>
      <c r="X1769" t="inlineStr">
        <is>
          <t>02</t>
        </is>
      </c>
      <c r="Y1769" t="inlineStr">
        <is>
          <t>2026-Q1</t>
        </is>
      </c>
    </row>
    <row r="1770" ht="38.25" customHeight="1">
      <c r="A1770" t="inlineStr">
        <is>
          <t>2026头版头条马年拍照框素材源文件</t>
        </is>
      </c>
      <c r="B1770" t="inlineStr">
        <is>
          <t>recvdJwg0YIW07.jpg</t>
        </is>
      </c>
      <c r="C1770" s="2" t="str">
        <f>=HYPERLINK("https://xhslink.com/m/7khEnA0BEem", "https://xhslink.com/m/7khEnA0BEem")</f>
        <v>https://xhslink.com/m/7khEnA0BEem</v>
      </c>
      <c r="D1770"/>
      <c r="E1770">
        <v>186</v>
      </c>
      <c r="F1770">
        <v>58</v>
      </c>
      <c r="G1770"/>
      <c r="H1770">
        <v>100</v>
      </c>
      <c r="I1770"/>
      <c r="J1770"/>
      <c r="K1770" t="inlineStr">
        <is>
          <t>红包封面</t>
        </is>
      </c>
      <c r="L1770"/>
      <c r="M1770" t="inlineStr">
        <is>
          <t>光影设计的店</t>
        </is>
      </c>
      <c r="N1770">
        <v>9760</v>
      </c>
      <c r="O1770">
        <v>4.64</v>
      </c>
      <c r="P1770">
        <v>5304</v>
      </c>
      <c r="Q1770" t="inlineStr">
        <is>
          <t>69322f6446e53000013fd13a</t>
        </is>
      </c>
      <c r="R1770"/>
      <c r="S1770" t="inlineStr">
        <is>
          <t>设计素材</t>
        </is>
      </c>
      <c r="T1770" t="inlineStr">
        <is>
          <t>0.02</t>
        </is>
      </c>
      <c r="U1770" s="3">
        <v>46112.78107638889</v>
      </c>
      <c r="V1770"/>
      <c r="W1770" s="3">
        <v>46080.54703703704</v>
      </c>
      <c r="X1770" t="inlineStr">
        <is>
          <t>02</t>
        </is>
      </c>
      <c r="Y1770" t="inlineStr">
        <is>
          <t>2026-Q1</t>
        </is>
      </c>
    </row>
    <row r="1771" ht="38.25" customHeight="1">
      <c r="A1771" t="inlineStr">
        <is>
          <t>创意红包封面方形小号红包袋可爱卡通2026过年小孩儿童压岁包通用</t>
        </is>
      </c>
      <c r="B1771" t="inlineStr">
        <is>
          <t>recvdJwg0YOrXP.jpg</t>
        </is>
      </c>
      <c r="C1771" s="2" t="str">
        <f>=HYPERLINK("https://xhslink.com/m/7Ruu35uTvTj", "https://xhslink.com/m/7Ruu35uTvTj")</f>
        <v>https://xhslink.com/m/7Ruu35uTvTj</v>
      </c>
      <c r="D1771"/>
      <c r="E1771">
        <v>213</v>
      </c>
      <c r="F1771">
        <v>17.8</v>
      </c>
      <c r="G1771"/>
      <c r="H1771">
        <v>100</v>
      </c>
      <c r="I1771">
        <v>1000</v>
      </c>
      <c r="J1771"/>
      <c r="K1771" t="inlineStr">
        <is>
          <t>红包封面</t>
        </is>
      </c>
      <c r="L1771"/>
      <c r="M1771" t="inlineStr">
        <is>
          <t>掂过碌蔗红包工厂的店</t>
        </is>
      </c>
      <c r="N1771">
        <v>1499</v>
      </c>
      <c r="O1771">
        <v>4.62</v>
      </c>
      <c r="P1771">
        <v>21000</v>
      </c>
      <c r="Q1771" t="inlineStr">
        <is>
          <t>6938cf1816b37a0015a07313</t>
        </is>
      </c>
      <c r="R1771" t="inlineStr">
        <is>
          <t>🚫重复</t>
        </is>
      </c>
      <c r="S1771" t="inlineStr">
        <is>
          <t>头像壁纸</t>
        </is>
      </c>
      <c r="T1771" t="inlineStr">
        <is>
          <t>0.14</t>
        </is>
      </c>
      <c r="U1771" s="3">
        <v>46112.78107638889</v>
      </c>
      <c r="V1771"/>
      <c r="W1771" s="3">
        <v>46080.54703703704</v>
      </c>
      <c r="X1771" t="inlineStr">
        <is>
          <t>02</t>
        </is>
      </c>
      <c r="Y1771" t="inlineStr">
        <is>
          <t>2026-Q1</t>
        </is>
      </c>
    </row>
    <row r="1772" ht="38.25" customHeight="1">
      <c r="A1772" t="inlineStr">
        <is>
          <t>镭射封面labubu红包袋2026年儿童卡通创意春节压岁新年利是封红包</t>
        </is>
      </c>
      <c r="B1772" t="inlineStr">
        <is>
          <t>recvdJwg0YND0S.jpg</t>
        </is>
      </c>
      <c r="C1772" s="2" t="str">
        <f>=HYPERLINK("https://xhslink.com/m/5vsbBU1uez4", "https://xhslink.com/m/5vsbBU1uez4")</f>
        <v>https://xhslink.com/m/5vsbBU1uez4</v>
      </c>
      <c r="D1772"/>
      <c r="E1772">
        <v>170</v>
      </c>
      <c r="F1772">
        <v>16.8</v>
      </c>
      <c r="G1772"/>
      <c r="H1772">
        <v>100</v>
      </c>
      <c r="I1772">
        <v>1000</v>
      </c>
      <c r="J1772"/>
      <c r="K1772" t="inlineStr">
        <is>
          <t>红包封面</t>
        </is>
      </c>
      <c r="L1772"/>
      <c r="M1772" t="inlineStr">
        <is>
          <t>掂过碌蔗红包工厂的店</t>
        </is>
      </c>
      <c r="N1772">
        <v>1499</v>
      </c>
      <c r="O1772">
        <v>4.62</v>
      </c>
      <c r="P1772">
        <v>21000</v>
      </c>
      <c r="Q1772" t="inlineStr">
        <is>
          <t>695de4b711535800156b4dd0</t>
        </is>
      </c>
      <c r="R1772" t="inlineStr">
        <is>
          <t>🚫重复</t>
        </is>
      </c>
      <c r="S1772" t="inlineStr">
        <is>
          <t>中小学教辅/教材</t>
        </is>
      </c>
      <c r="T1772" t="inlineStr">
        <is>
          <t>0.11</t>
        </is>
      </c>
      <c r="U1772" s="3">
        <v>46112.78107638889</v>
      </c>
      <c r="V1772"/>
      <c r="W1772" s="3">
        <v>46080.54703703704</v>
      </c>
      <c r="X1772" t="inlineStr">
        <is>
          <t>02</t>
        </is>
      </c>
      <c r="Y1772" t="inlineStr">
        <is>
          <t>2026-Q1</t>
        </is>
      </c>
    </row>
    <row r="1773" ht="38.25" customHeight="1">
      <c r="A1773" t="inlineStr">
        <is>
          <t>初高中主题班会课件|持续更新</t>
        </is>
      </c>
      <c r="B1773" t="inlineStr">
        <is>
          <t>recvdJwg0YoEtT.jpg</t>
        </is>
      </c>
      <c r="C1773" s="2" t="str">
        <f>=HYPERLINK("https://xhslink.com/m/5UOaqaXyJfB", "https://xhslink.com/m/5UOaqaXyJfB")</f>
        <v>https://xhslink.com/m/5UOaqaXyJfB</v>
      </c>
      <c r="D1773"/>
      <c r="E1773">
        <v>6056</v>
      </c>
      <c r="F1773">
        <v>8.8</v>
      </c>
      <c r="G1773"/>
      <c r="H1773">
        <v>300</v>
      </c>
      <c r="I1773">
        <v>1000</v>
      </c>
      <c r="J1773"/>
      <c r="K1773" t="inlineStr">
        <is>
          <t>班主任</t>
        </is>
      </c>
      <c r="L1773" t="inlineStr">
        <is>
          <t>🔥低粉爆款</t>
        </is>
      </c>
      <c r="M1773" t="inlineStr">
        <is>
          <t>Amy老师的资料库的店</t>
        </is>
      </c>
      <c r="N1773">
        <v>1628</v>
      </c>
      <c r="O1773">
        <v>4.53</v>
      </c>
      <c r="P1773">
        <v>14000</v>
      </c>
      <c r="Q1773" t="inlineStr">
        <is>
          <t>68393c72ad85e20001d3f567</t>
        </is>
      </c>
      <c r="R1773" t="inlineStr">
        <is>
          <t>🚫重复</t>
        </is>
      </c>
      <c r="S1773" t="inlineStr">
        <is>
          <t>中小学教辅/教材</t>
        </is>
      </c>
      <c r="T1773" t="inlineStr">
        <is>
          <t>3.72</t>
        </is>
      </c>
      <c r="U1773" s="3">
        <v>46112.78107638889</v>
      </c>
      <c r="V1773"/>
      <c r="W1773" s="3">
        <v>46080.54703703704</v>
      </c>
      <c r="X1773" t="inlineStr">
        <is>
          <t>02</t>
        </is>
      </c>
      <c r="Y1773" t="inlineStr">
        <is>
          <t>2026-Q1</t>
        </is>
      </c>
    </row>
    <row r="1774" ht="38.25" customHeight="1">
      <c r="A1774" t="inlineStr">
        <is>
          <t>虚拟定制-班主任基本功大赛2025整理资料包</t>
        </is>
      </c>
      <c r="B1774" t="inlineStr">
        <is>
          <t>recvdJwg0YvEGt.jpg</t>
        </is>
      </c>
      <c r="C1774" s="2" t="str">
        <f>=HYPERLINK("https://xhslink.com/m/6T86I4i4m3P", "https://xhslink.com/m/6T86I4i4m3P")</f>
        <v>https://xhslink.com/m/6T86I4i4m3P</v>
      </c>
      <c r="D1774"/>
      <c r="E1774">
        <v>4068</v>
      </c>
      <c r="F1774">
        <v>19.9</v>
      </c>
      <c r="G1774"/>
      <c r="H1774">
        <v>100</v>
      </c>
      <c r="I1774">
        <v>1000</v>
      </c>
      <c r="J1774"/>
      <c r="K1774" t="inlineStr">
        <is>
          <t>班主任</t>
        </is>
      </c>
      <c r="L1774" t="inlineStr">
        <is>
          <t>🔥低粉爆款</t>
        </is>
      </c>
      <c r="M1774" t="inlineStr">
        <is>
          <t>小梁老师吖的店</t>
        </is>
      </c>
      <c r="N1774">
        <v>1184</v>
      </c>
      <c r="O1774">
        <v>4.16</v>
      </c>
      <c r="P1774">
        <v>6283</v>
      </c>
      <c r="Q1774" t="inlineStr">
        <is>
          <t>67c174269759260001c9ac59</t>
        </is>
      </c>
      <c r="R1774"/>
      <c r="S1774" t="inlineStr">
        <is>
          <t>老师资料</t>
        </is>
      </c>
      <c r="T1774" t="inlineStr">
        <is>
          <t>3.44</t>
        </is>
      </c>
      <c r="U1774" s="3">
        <v>46112.78107638889</v>
      </c>
      <c r="V1774"/>
      <c r="W1774" s="3">
        <v>46080.54703703704</v>
      </c>
      <c r="X1774" t="inlineStr">
        <is>
          <t>02</t>
        </is>
      </c>
      <c r="Y1774" t="inlineStr">
        <is>
          <t>2026-Q1</t>
        </is>
      </c>
    </row>
    <row r="1775" ht="38.25" customHeight="1">
      <c r="A1775" t="inlineStr">
        <is>
          <t>创意期末评语模板 班主任学生评语模板 word文档可编辑</t>
        </is>
      </c>
      <c r="B1775" t="inlineStr">
        <is>
          <t>recvdJwg0YyriG.jpg</t>
        </is>
      </c>
      <c r="C1775" s="2" t="str">
        <f>=HYPERLINK("https://xhslink.com/m/6mzbZJAZKlD", "https://xhslink.com/m/6mzbZJAZKlD")</f>
        <v>https://xhslink.com/m/6mzbZJAZKlD</v>
      </c>
      <c r="D1775"/>
      <c r="E1775">
        <v>1004</v>
      </c>
      <c r="F1775">
        <v>29.9</v>
      </c>
      <c r="G1775"/>
      <c r="H1775">
        <v>250</v>
      </c>
      <c r="I1775">
        <v>1000</v>
      </c>
      <c r="J1775"/>
      <c r="K1775" t="inlineStr">
        <is>
          <t>班主任</t>
        </is>
      </c>
      <c r="L1775"/>
      <c r="M1775" t="inlineStr">
        <is>
          <t>予舴的店</t>
        </is>
      </c>
      <c r="N1775">
        <v>1195</v>
      </c>
      <c r="O1775">
        <v>4.08</v>
      </c>
      <c r="P1775">
        <v>3048</v>
      </c>
      <c r="Q1775" t="inlineStr">
        <is>
          <t>674d5e36ec68d70001b5d549</t>
        </is>
      </c>
      <c r="R1775"/>
      <c r="S1775" t="inlineStr">
        <is>
          <t>老师资料</t>
        </is>
      </c>
      <c r="T1775" t="inlineStr">
        <is>
          <t>0.84</t>
        </is>
      </c>
      <c r="U1775" s="3">
        <v>46112.78107638889</v>
      </c>
      <c r="V1775"/>
      <c r="W1775" s="3">
        <v>46080.54703703704</v>
      </c>
      <c r="X1775" t="inlineStr">
        <is>
          <t>02</t>
        </is>
      </c>
      <c r="Y1775" t="inlineStr">
        <is>
          <t>2026-Q1</t>
        </is>
      </c>
    </row>
    <row r="1776" ht="38.25" customHeight="1">
      <c r="A1776" t="inlineStr">
        <is>
          <t>班主任工作资料（精品评语、工作手册）</t>
        </is>
      </c>
      <c r="B1776" t="inlineStr">
        <is>
          <t>recvdJwg0Y9F5d.jpg</t>
        </is>
      </c>
      <c r="C1776" s="2" t="str">
        <f>=HYPERLINK("https://xhslink.com/m/48ldhEXhxH2", "https://xhslink.com/m/48ldhEXhxH2")</f>
        <v>https://xhslink.com/m/48ldhEXhxH2</v>
      </c>
      <c r="D1776"/>
      <c r="E1776">
        <v>771</v>
      </c>
      <c r="F1776">
        <v>39.9</v>
      </c>
      <c r="G1776"/>
      <c r="H1776">
        <v>200</v>
      </c>
      <c r="I1776"/>
      <c r="J1776"/>
      <c r="K1776" t="inlineStr">
        <is>
          <t>班主任</t>
        </is>
      </c>
      <c r="L1776"/>
      <c r="M1776" t="inlineStr">
        <is>
          <t>做班主任的音乐老师的店</t>
        </is>
      </c>
      <c r="N1776">
        <v>27000</v>
      </c>
      <c r="O1776">
        <v>4.11</v>
      </c>
      <c r="P1776">
        <v>4058</v>
      </c>
      <c r="Q1776" t="inlineStr">
        <is>
          <t>693e2a004f2ba20001f51214</t>
        </is>
      </c>
      <c r="R1776" t="inlineStr">
        <is>
          <t>🚫重复</t>
        </is>
      </c>
      <c r="S1776" t="inlineStr">
        <is>
          <t>老师资料</t>
        </is>
      </c>
      <c r="T1776" t="inlineStr">
        <is>
          <t>0.03</t>
        </is>
      </c>
      <c r="U1776" s="3">
        <v>46112.78107638889</v>
      </c>
      <c r="V1776"/>
      <c r="W1776" s="3">
        <v>46080.54703703704</v>
      </c>
      <c r="X1776" t="inlineStr">
        <is>
          <t>02</t>
        </is>
      </c>
      <c r="Y1776" t="inlineStr">
        <is>
          <t>2026-Q1</t>
        </is>
      </c>
    </row>
    <row r="1777" ht="38.25" customHeight="1">
      <c r="A1777" t="inlineStr">
        <is>
          <t>【8475】班主任工作总结PPT课件+发言稿（共25张ppt）</t>
        </is>
      </c>
      <c r="B1777" t="inlineStr">
        <is>
          <t>recvdJwg0YN9Rq.jpg</t>
        </is>
      </c>
      <c r="C1777" s="2" t="str">
        <f>=HYPERLINK("https://xhslink.com/m/62ktcwPNjp2", "https://xhslink.com/m/62ktcwPNjp2")</f>
        <v>https://xhslink.com/m/62ktcwPNjp2</v>
      </c>
      <c r="D1777"/>
      <c r="E1777">
        <v>327</v>
      </c>
      <c r="F1777">
        <v>8</v>
      </c>
      <c r="G1777"/>
      <c r="H1777">
        <v>150</v>
      </c>
      <c r="I1777"/>
      <c r="J1777"/>
      <c r="K1777" t="inlineStr">
        <is>
          <t>班主任</t>
        </is>
      </c>
      <c r="L1777"/>
      <c r="M1777" t="inlineStr">
        <is>
          <t>文轩教育的店</t>
        </is>
      </c>
      <c r="N1777">
        <v>699</v>
      </c>
      <c r="O1777">
        <v>4.35</v>
      </c>
      <c r="P1777">
        <v>4712</v>
      </c>
      <c r="Q1777" t="inlineStr">
        <is>
          <t>687c6f7d4f80eb0001c93926</t>
        </is>
      </c>
      <c r="R1777"/>
      <c r="S1777" t="inlineStr">
        <is>
          <t>PPT模板</t>
        </is>
      </c>
      <c r="T1777" t="inlineStr">
        <is>
          <t>0.47</t>
        </is>
      </c>
      <c r="U1777" s="3">
        <v>46112.78107638889</v>
      </c>
      <c r="V1777"/>
      <c r="W1777" s="3">
        <v>46080.54703703704</v>
      </c>
      <c r="X1777" t="inlineStr">
        <is>
          <t>02</t>
        </is>
      </c>
      <c r="Y1777" t="inlineStr">
        <is>
          <t>2026-Q1</t>
        </is>
      </c>
    </row>
    <row r="1778" ht="38.25" customHeight="1">
      <c r="A1778" t="inlineStr">
        <is>
          <t>B43、做颗星星有棱有角班主任经验分享PPT+演讲稿</t>
        </is>
      </c>
      <c r="B1778" t="inlineStr">
        <is>
          <t>recvdJwg0Yn3BG.jpg</t>
        </is>
      </c>
      <c r="C1778" s="2" t="str">
        <f>=HYPERLINK("https://xhslink.com/m/9DIOvx08ZBE", "https://xhslink.com/m/9DIOvx08ZBE")</f>
        <v>https://xhslink.com/m/9DIOvx08ZBE</v>
      </c>
      <c r="D1778"/>
      <c r="E1778">
        <v>122</v>
      </c>
      <c r="F1778">
        <v>9.8</v>
      </c>
      <c r="G1778"/>
      <c r="H1778">
        <v>100</v>
      </c>
      <c r="I1778"/>
      <c r="J1778"/>
      <c r="K1778" t="inlineStr">
        <is>
          <t>班主任</t>
        </is>
      </c>
      <c r="L1778"/>
      <c r="M1778" t="inlineStr">
        <is>
          <t>幼師打工人的店</t>
        </is>
      </c>
      <c r="N1778">
        <v>9687</v>
      </c>
      <c r="O1778">
        <v>4.5</v>
      </c>
      <c r="P1778">
        <v>23000</v>
      </c>
      <c r="Q1778" t="inlineStr">
        <is>
          <t>69704a2bd69f530001a811ea</t>
        </is>
      </c>
      <c r="R1778"/>
      <c r="S1778" t="inlineStr">
        <is>
          <t>PPT模板</t>
        </is>
      </c>
      <c r="T1778" t="inlineStr">
        <is>
          <t>0.01</t>
        </is>
      </c>
      <c r="U1778" s="3">
        <v>46112.78107638889</v>
      </c>
      <c r="V1778"/>
      <c r="W1778" s="3">
        <v>46080.54703703704</v>
      </c>
      <c r="X1778" t="inlineStr">
        <is>
          <t>02</t>
        </is>
      </c>
      <c r="Y1778" t="inlineStr">
        <is>
          <t>2026-Q1</t>
        </is>
      </c>
    </row>
    <row r="1779" ht="38.25" customHeight="1">
      <c r="A1779" t="inlineStr">
        <is>
          <t>性格色彩在线测试 职场色彩类型 工作规划测评</t>
        </is>
      </c>
      <c r="B1779" t="inlineStr">
        <is>
          <t>recvdJwg0YTLTE.jpg</t>
        </is>
      </c>
      <c r="C1779" s="2" t="str">
        <f>=HYPERLINK("https://xhslink.com/m/2DcoiVkFKht", "https://xhslink.com/m/2DcoiVkFKht")</f>
        <v>https://xhslink.com/m/2DcoiVkFKht</v>
      </c>
      <c r="D1779"/>
      <c r="E1779">
        <v>1426</v>
      </c>
      <c r="F1779">
        <v>1.99</v>
      </c>
      <c r="G1779"/>
      <c r="H1779">
        <v>350</v>
      </c>
      <c r="I1779">
        <v>1000</v>
      </c>
      <c r="J1779"/>
      <c r="K1779" t="inlineStr">
        <is>
          <t>职场</t>
        </is>
      </c>
      <c r="L1779" t="inlineStr">
        <is>
          <t>🔥低粉爆款</t>
        </is>
      </c>
      <c r="M1779" t="inlineStr">
        <is>
          <t>轻松上班的Aria的店</t>
        </is>
      </c>
      <c r="N1779">
        <v>141</v>
      </c>
      <c r="O1779">
        <v>4.12</v>
      </c>
      <c r="P1779">
        <v>1501</v>
      </c>
      <c r="Q1779" t="inlineStr">
        <is>
          <t>68c82d9ce8b4ad00015b63ed</t>
        </is>
      </c>
      <c r="R1779"/>
      <c r="S1779" t="inlineStr">
        <is>
          <t>生活成长</t>
        </is>
      </c>
      <c r="T1779" t="inlineStr">
        <is>
          <t>10.11</t>
        </is>
      </c>
      <c r="U1779" s="3">
        <v>46112.78107638889</v>
      </c>
      <c r="V1779"/>
      <c r="W1779" s="3">
        <v>46080.54703703704</v>
      </c>
      <c r="X1779" t="inlineStr">
        <is>
          <t>02</t>
        </is>
      </c>
      <c r="Y1779" t="inlineStr">
        <is>
          <t>2026-Q1</t>
        </is>
      </c>
    </row>
    <row r="1780" ht="38.25" customHeight="1">
      <c r="A1780" t="inlineStr">
        <is>
          <t>职场性格色彩在线测试   色彩类型  恋爱色彩类型测试 仅资料费用</t>
        </is>
      </c>
      <c r="B1780" t="inlineStr">
        <is>
          <t>recvdJwg0YC1zH.jpg</t>
        </is>
      </c>
      <c r="C1780" s="2" t="str">
        <f>=HYPERLINK("https://xhslink.com/m/5TkqBNyuJxf", "https://xhslink.com/m/5TkqBNyuJxf")</f>
        <v>https://xhslink.com/m/5TkqBNyuJxf</v>
      </c>
      <c r="D1780"/>
      <c r="E1780">
        <v>636</v>
      </c>
      <c r="F1780">
        <v>1.99</v>
      </c>
      <c r="G1780"/>
      <c r="H1780">
        <v>300</v>
      </c>
      <c r="I1780"/>
      <c r="J1780"/>
      <c r="K1780" t="inlineStr">
        <is>
          <t>职场</t>
        </is>
      </c>
      <c r="L1780"/>
      <c r="M1780" t="inlineStr">
        <is>
          <t>Yuki讲性格的店</t>
        </is>
      </c>
      <c r="N1780">
        <v>2336</v>
      </c>
      <c r="O1780">
        <v>4.02</v>
      </c>
      <c r="P1780">
        <v>22000</v>
      </c>
      <c r="Q1780" t="inlineStr">
        <is>
          <t>694172c144a3450001f487fd</t>
        </is>
      </c>
      <c r="R1780"/>
      <c r="S1780" t="inlineStr">
        <is>
          <t>生活成长</t>
        </is>
      </c>
      <c r="T1780" t="inlineStr">
        <is>
          <t>0.27</t>
        </is>
      </c>
      <c r="U1780" s="3">
        <v>46112.78107638889</v>
      </c>
      <c r="V1780"/>
      <c r="W1780" s="3">
        <v>46080.54703703704</v>
      </c>
      <c r="X1780" t="inlineStr">
        <is>
          <t>02</t>
        </is>
      </c>
      <c r="Y1780" t="inlineStr">
        <is>
          <t>2026-Q1</t>
        </is>
      </c>
    </row>
    <row r="1781" ht="38.25" customHeight="1">
      <c r="A1781" t="inlineStr">
        <is>
          <t>2025幼儿园最新超火公开课</t>
        </is>
      </c>
      <c r="B1781" t="inlineStr">
        <is>
          <t>recvdJwg0Y3efk.jpg</t>
        </is>
      </c>
      <c r="C1781" s="2" t="str">
        <f>=HYPERLINK("https://xhslink.com/m/5l8BTDEQWlT", "https://xhslink.com/m/5l8BTDEQWlT")</f>
        <v>https://xhslink.com/m/5l8BTDEQWlT</v>
      </c>
      <c r="D1781"/>
      <c r="E1781">
        <v>5098</v>
      </c>
      <c r="F1781">
        <v>15</v>
      </c>
      <c r="G1781"/>
      <c r="H1781">
        <v>100</v>
      </c>
      <c r="I1781">
        <v>1000</v>
      </c>
      <c r="J1781"/>
      <c r="K1781" t="inlineStr">
        <is>
          <t>ai赋能</t>
        </is>
      </c>
      <c r="L1781"/>
      <c r="M1781" t="inlineStr">
        <is>
          <t>饼饼幼教咨询的店</t>
        </is>
      </c>
      <c r="N1781">
        <v>5737</v>
      </c>
      <c r="O1781">
        <v>4.46</v>
      </c>
      <c r="P1781">
        <v>41000</v>
      </c>
      <c r="Q1781" t="inlineStr">
        <is>
          <t>692bc620b70fce0001034f84</t>
        </is>
      </c>
      <c r="R1781" t="inlineStr">
        <is>
          <t>🚫重复</t>
        </is>
      </c>
      <c r="S1781" t="inlineStr">
        <is>
          <t>幼教资料</t>
        </is>
      </c>
      <c r="T1781" t="inlineStr">
        <is>
          <t>0.89</t>
        </is>
      </c>
      <c r="U1781" s="3">
        <v>46112.78107638889</v>
      </c>
      <c r="V1781"/>
      <c r="W1781" s="3">
        <v>46080.54703703704</v>
      </c>
      <c r="X1781" t="inlineStr">
        <is>
          <t>02</t>
        </is>
      </c>
      <c r="Y1781" t="inlineStr">
        <is>
          <t>2026-Q1</t>
        </is>
      </c>
    </row>
    <row r="1782" ht="38.25" customHeight="1">
      <c r="A1782" t="inlineStr">
        <is>
          <t>AI赋能的知识通道（赠送幸运兑换码）</t>
        </is>
      </c>
      <c r="B1782" t="inlineStr">
        <is>
          <t>recvdJwg0Yb3tC.jpg</t>
        </is>
      </c>
      <c r="C1782" s="2" t="str">
        <f>=HYPERLINK("https://xhslink.com/m/8OTT4JocfVA", "https://xhslink.com/m/8OTT4JocfVA")</f>
        <v>https://xhslink.com/m/8OTT4JocfVA</v>
      </c>
      <c r="D1782"/>
      <c r="E1782">
        <v>481</v>
      </c>
      <c r="F1782">
        <v>25</v>
      </c>
      <c r="G1782"/>
      <c r="H1782">
        <v>300</v>
      </c>
      <c r="I1782"/>
      <c r="J1782"/>
      <c r="K1782" t="inlineStr">
        <is>
          <t>ai赋能</t>
        </is>
      </c>
      <c r="L1782"/>
      <c r="M1782" t="inlineStr">
        <is>
          <t>AGI的店</t>
        </is>
      </c>
      <c r="N1782">
        <v>231</v>
      </c>
      <c r="O1782">
        <v>4.05</v>
      </c>
      <c r="P1782">
        <v>505</v>
      </c>
      <c r="Q1782" t="inlineStr">
        <is>
          <t>6955f76ebfa59100013c9cae</t>
        </is>
      </c>
      <c r="R1782" t="inlineStr">
        <is>
          <t>🚫重复</t>
        </is>
      </c>
      <c r="S1782" t="inlineStr">
        <is>
          <t>AI</t>
        </is>
      </c>
      <c r="T1782" t="inlineStr">
        <is>
          <t>2.08</t>
        </is>
      </c>
      <c r="U1782" s="3">
        <v>46112.78107638889</v>
      </c>
      <c r="V1782"/>
      <c r="W1782" s="3">
        <v>46080.54703703704</v>
      </c>
      <c r="X1782" t="inlineStr">
        <is>
          <t>02</t>
        </is>
      </c>
      <c r="Y1782" t="inlineStr">
        <is>
          <t>2026-Q1</t>
        </is>
      </c>
    </row>
    <row r="1783" ht="38.25" customHeight="1">
      <c r="A1783" t="inlineStr">
        <is>
          <t>外研社 · 图解零基础英语实用语法</t>
        </is>
      </c>
      <c r="B1783" t="inlineStr">
        <is>
          <t>recvdJwg0YFfKv.jpg</t>
        </is>
      </c>
      <c r="C1783" s="2" t="str">
        <f>=HYPERLINK("https://xhslink.com/m/6RdpqjYggMu", "https://xhslink.com/m/6RdpqjYggMu")</f>
        <v>https://xhslink.com/m/6RdpqjYggMu</v>
      </c>
      <c r="D1783"/>
      <c r="E1783">
        <v>26000</v>
      </c>
      <c r="F1783">
        <v>33.9</v>
      </c>
      <c r="G1783"/>
      <c r="H1783">
        <v>150</v>
      </c>
      <c r="I1783">
        <v>1000</v>
      </c>
      <c r="J1783"/>
      <c r="K1783" t="inlineStr">
        <is>
          <t>英语</t>
        </is>
      </c>
      <c r="L1783"/>
      <c r="M1783" t="inlineStr">
        <is>
          <t>外研社旗舰店</t>
        </is>
      </c>
      <c r="N1783">
        <v>98000</v>
      </c>
      <c r="O1783">
        <v>4.71</v>
      </c>
      <c r="P1783">
        <v>222000</v>
      </c>
      <c r="Q1783" t="inlineStr">
        <is>
          <t>6253e833202f0400018c3df4</t>
        </is>
      </c>
      <c r="R1783" t="inlineStr">
        <is>
          <t>🚫重复</t>
        </is>
      </c>
      <c r="S1783" t="inlineStr">
        <is>
          <t>英语资料</t>
        </is>
      </c>
      <c r="T1783" t="inlineStr">
        <is>
          <t>0.27</t>
        </is>
      </c>
      <c r="U1783" s="3">
        <v>46112.78107638889</v>
      </c>
      <c r="V1783"/>
      <c r="W1783" s="3">
        <v>46080.54703703704</v>
      </c>
      <c r="X1783" t="inlineStr">
        <is>
          <t>02</t>
        </is>
      </c>
      <c r="Y1783" t="inlineStr">
        <is>
          <t>2026-Q1</t>
        </is>
      </c>
    </row>
    <row r="1784" ht="38.25" customHeight="1">
      <c r="A1784" t="inlineStr">
        <is>
          <t>易思通 · 学习英语从无助到入门（主页有试读专辑，找不到请咨询客服）</t>
        </is>
      </c>
      <c r="B1784" t="inlineStr">
        <is>
          <t>__upload_recvdJwg0YLesl.jpg</t>
        </is>
      </c>
      <c r="C1784" s="2" t="str">
        <f>=HYPERLINK("https://xhslink.com/m/4O6fAdd6jbN", "https://xhslink.com/m/4O6fAdd6jbN")</f>
        <v>https://xhslink.com/m/4O6fAdd6jbN</v>
      </c>
      <c r="D1784"/>
      <c r="E1784">
        <v>20000</v>
      </c>
      <c r="F1784">
        <v>148</v>
      </c>
      <c r="G1784"/>
      <c r="H1784">
        <v>1000</v>
      </c>
      <c r="I1784">
        <v>1000</v>
      </c>
      <c r="J1784">
        <v>100</v>
      </c>
      <c r="K1784" t="inlineStr">
        <is>
          <t>英语</t>
        </is>
      </c>
      <c r="L1784"/>
      <c r="M1784" t="inlineStr">
        <is>
          <t>易思通的店</t>
        </is>
      </c>
      <c r="N1784">
        <v>12000</v>
      </c>
      <c r="O1784">
        <v>4.53</v>
      </c>
      <c r="P1784">
        <v>23000</v>
      </c>
      <c r="Q1784" t="inlineStr">
        <is>
          <t>65da9c4c1e19210001cfc89d</t>
        </is>
      </c>
      <c r="R1784"/>
      <c r="S1784" t="inlineStr">
        <is>
          <t>英语资料</t>
        </is>
      </c>
      <c r="T1784" t="inlineStr">
        <is>
          <t>1.67</t>
        </is>
      </c>
      <c r="U1784" s="3">
        <v>46112.78107638889</v>
      </c>
      <c r="V1784"/>
      <c r="W1784" s="3">
        <v>46080.54703703704</v>
      </c>
      <c r="X1784" t="inlineStr">
        <is>
          <t>02</t>
        </is>
      </c>
      <c r="Y1784" t="inlineStr">
        <is>
          <t>2026-Q1</t>
        </is>
      </c>
    </row>
    <row r="1785" ht="38.25" customHeight="1">
      <c r="A1785" t="inlineStr">
        <is>
          <t>【26年1-4月】Skye的雅思口语全家桶_短信自动秒发</t>
        </is>
      </c>
      <c r="B1785" t="inlineStr">
        <is>
          <t>__upload_recvdJwg0YHiUR.jpg</t>
        </is>
      </c>
      <c r="C1785" s="2" t="str">
        <f>=HYPERLINK("https://xhslink.com/m/A6SHTMCKOQF", "https://xhslink.com/m/A6SHTMCKOQF")</f>
        <v>https://xhslink.com/m/A6SHTMCKOQF</v>
      </c>
      <c r="D1785"/>
      <c r="E1785">
        <v>6407</v>
      </c>
      <c r="F1785">
        <v>89</v>
      </c>
      <c r="G1785"/>
      <c r="H1785">
        <v>500</v>
      </c>
      <c r="I1785">
        <v>1000</v>
      </c>
      <c r="J1785">
        <v>200</v>
      </c>
      <c r="K1785" t="inlineStr">
        <is>
          <t>英语</t>
        </is>
      </c>
      <c r="L1785"/>
      <c r="M1785" t="inlineStr">
        <is>
          <t>Skye学英语【全家桶版】的店</t>
        </is>
      </c>
      <c r="N1785">
        <v>19000</v>
      </c>
      <c r="O1785">
        <v>4.6</v>
      </c>
      <c r="P1785">
        <v>16000</v>
      </c>
      <c r="Q1785" t="inlineStr">
        <is>
          <t>67b6df429759260001bd23fd</t>
        </is>
      </c>
      <c r="R1785" t="inlineStr">
        <is>
          <t>🚫重复</t>
        </is>
      </c>
      <c r="S1785" t="inlineStr">
        <is>
          <t>英语资料</t>
        </is>
      </c>
      <c r="T1785" t="inlineStr">
        <is>
          <t>0.34</t>
        </is>
      </c>
      <c r="U1785" s="3">
        <v>46112.78107638889</v>
      </c>
      <c r="V1785"/>
      <c r="W1785" s="3">
        <v>46080.54703703704</v>
      </c>
      <c r="X1785" t="inlineStr">
        <is>
          <t>02</t>
        </is>
      </c>
      <c r="Y1785" t="inlineStr">
        <is>
          <t>2026-Q1</t>
        </is>
      </c>
    </row>
    <row r="1786" ht="38.25" customHeight="1">
      <c r="A1786" t="inlineStr">
        <is>
          <t>八年级英语笔记本（含160节高清讲解视频）</t>
        </is>
      </c>
      <c r="B1786" t="inlineStr">
        <is>
          <t>__upload_recvdJwg0Y5fUP.jpg</t>
        </is>
      </c>
      <c r="C1786" s="2" t="str">
        <f>=HYPERLINK("https://xhslink.com/m/9jTZ0tkKZrx", "https://xhslink.com/m/9jTZ0tkKZrx")</f>
        <v>https://xhslink.com/m/9jTZ0tkKZrx</v>
      </c>
      <c r="D1786"/>
      <c r="E1786">
        <v>4397</v>
      </c>
      <c r="F1786">
        <v>59.9</v>
      </c>
      <c r="G1786"/>
      <c r="H1786">
        <v>200</v>
      </c>
      <c r="I1786">
        <v>1000</v>
      </c>
      <c r="J1786">
        <v>200</v>
      </c>
      <c r="K1786" t="inlineStr">
        <is>
          <t>英语</t>
        </is>
      </c>
      <c r="L1786"/>
      <c r="M1786" t="inlineStr">
        <is>
          <t>英语Anna老师🧡的店</t>
        </is>
      </c>
      <c r="N1786">
        <v>6773</v>
      </c>
      <c r="O1786">
        <v>4.36</v>
      </c>
      <c r="P1786">
        <v>11000</v>
      </c>
      <c r="Q1786" t="inlineStr">
        <is>
          <t>685a4a0fe47da70001e85b90</t>
        </is>
      </c>
      <c r="R1786" t="inlineStr">
        <is>
          <t>🚫重复</t>
        </is>
      </c>
      <c r="S1786" t="inlineStr">
        <is>
          <t>中小学教辅/教材</t>
        </is>
      </c>
      <c r="T1786" t="inlineStr">
        <is>
          <t>0.65</t>
        </is>
      </c>
      <c r="U1786" s="3">
        <v>46112.78107638889</v>
      </c>
      <c r="V1786"/>
      <c r="W1786" s="3">
        <v>46080.54703703704</v>
      </c>
      <c r="X1786" t="inlineStr">
        <is>
          <t>02</t>
        </is>
      </c>
      <c r="Y1786" t="inlineStr">
        <is>
          <t>2026-Q1</t>
        </is>
      </c>
    </row>
    <row r="1787" ht="38.25" customHeight="1">
      <c r="A1787" t="inlineStr">
        <is>
          <t>外研社 · 剑桥英语语法（剑桥“英语在用”English in Use丛书）</t>
        </is>
      </c>
      <c r="B1787" t="inlineStr">
        <is>
          <t>__upload_recvdJwg0YCo4x.jpg</t>
        </is>
      </c>
      <c r="C1787" s="2" t="str">
        <f>=HYPERLINK("https://xhslink.com/m/jam97YW5yg", "https://xhslink.com/m/jam97YW5yg")</f>
        <v>https://xhslink.com/m/jam97YW5yg</v>
      </c>
      <c r="D1787"/>
      <c r="E1787">
        <v>3872</v>
      </c>
      <c r="F1787">
        <v>49.9</v>
      </c>
      <c r="G1787"/>
      <c r="H1787">
        <v>150</v>
      </c>
      <c r="I1787">
        <v>1000</v>
      </c>
      <c r="J1787">
        <v>200</v>
      </c>
      <c r="K1787" t="inlineStr">
        <is>
          <t>英语</t>
        </is>
      </c>
      <c r="L1787"/>
      <c r="M1787" t="inlineStr">
        <is>
          <t>外研社旗舰店</t>
        </is>
      </c>
      <c r="N1787">
        <v>98000</v>
      </c>
      <c r="O1787">
        <v>4.71</v>
      </c>
      <c r="P1787">
        <v>222000</v>
      </c>
      <c r="Q1787" t="inlineStr">
        <is>
          <t>650b9d2a12d599000153c167</t>
        </is>
      </c>
      <c r="R1787" t="inlineStr">
        <is>
          <t>🚫重复</t>
        </is>
      </c>
      <c r="S1787" t="inlineStr">
        <is>
          <t>英语资料</t>
        </is>
      </c>
      <c r="T1787" t="inlineStr">
        <is>
          <t>0.04</t>
        </is>
      </c>
      <c r="U1787" s="3">
        <v>46112.78107638889</v>
      </c>
      <c r="V1787"/>
      <c r="W1787" s="3">
        <v>46080.54703703704</v>
      </c>
      <c r="X1787" t="inlineStr">
        <is>
          <t>02</t>
        </is>
      </c>
      <c r="Y1787" t="inlineStr">
        <is>
          <t>2026-Q1</t>
        </is>
      </c>
    </row>
    <row r="1788" ht="38.25" customHeight="1">
      <c r="A1788" t="inlineStr">
        <is>
          <t>200个句子搞定初中1600个单词资料包 音频词汇表自测表学习计划表</t>
        </is>
      </c>
      <c r="B1788" t="inlineStr">
        <is>
          <t>__upload_recvdJwg0YEERh.jpg</t>
        </is>
      </c>
      <c r="C1788" s="2" t="str">
        <f>=HYPERLINK("https://xhslink.com/m/4xoJZ0d04Uc", "https://xhslink.com/m/4xoJZ0d04Uc")</f>
        <v>https://xhslink.com/m/4xoJZ0d04Uc</v>
      </c>
      <c r="D1788"/>
      <c r="E1788">
        <v>2750</v>
      </c>
      <c r="F1788">
        <v>3.9</v>
      </c>
      <c r="G1788"/>
      <c r="H1788">
        <v>300</v>
      </c>
      <c r="I1788">
        <v>1000</v>
      </c>
      <c r="J1788">
        <v>200</v>
      </c>
      <c r="K1788" t="inlineStr">
        <is>
          <t>英语</t>
        </is>
      </c>
      <c r="L1788"/>
      <c r="M1788" t="inlineStr">
        <is>
          <t>花儿老师Ivy的店</t>
        </is>
      </c>
      <c r="N1788">
        <v>5197</v>
      </c>
      <c r="O1788">
        <v>4.57</v>
      </c>
      <c r="P1788">
        <v>8989</v>
      </c>
      <c r="Q1788" t="inlineStr">
        <is>
          <t>6784552103b5e4000143db5d</t>
        </is>
      </c>
      <c r="R1788" t="inlineStr">
        <is>
          <t>🚫重复</t>
        </is>
      </c>
      <c r="S1788" t="inlineStr">
        <is>
          <t>中小学教辅/教材</t>
        </is>
      </c>
      <c r="T1788" t="inlineStr">
        <is>
          <t>0.53</t>
        </is>
      </c>
      <c r="U1788" s="3">
        <v>46112.78107638889</v>
      </c>
      <c r="V1788"/>
      <c r="W1788" s="3">
        <v>46080.54703703704</v>
      </c>
      <c r="X1788" t="inlineStr">
        <is>
          <t>02</t>
        </is>
      </c>
      <c r="Y1788" t="inlineStr">
        <is>
          <t>2026-Q1</t>
        </is>
      </c>
    </row>
    <row r="1789" ht="38.25" customHeight="1">
      <c r="A1789" t="inlineStr">
        <is>
          <t>世界十大名著全套中英文10册傲慢与偏见简爱飘英语小说经典文学</t>
        </is>
      </c>
      <c r="B1789" t="inlineStr">
        <is>
          <t>__upload_recvdJwg0YG2mO.jpg</t>
        </is>
      </c>
      <c r="C1789" s="2" t="str">
        <f>=HYPERLINK("https://xhslink.com/m/ACchiKcS9Qv", "https://xhslink.com/m/ACchiKcS9Qv")</f>
        <v>https://xhslink.com/m/ACchiKcS9Qv</v>
      </c>
      <c r="D1789"/>
      <c r="E1789">
        <v>2505</v>
      </c>
      <c r="F1789">
        <v>89.8</v>
      </c>
      <c r="G1789"/>
      <c r="H1789">
        <v>100</v>
      </c>
      <c r="I1789">
        <v>1000</v>
      </c>
      <c r="J1789">
        <v>200</v>
      </c>
      <c r="K1789" t="inlineStr">
        <is>
          <t>英语</t>
        </is>
      </c>
      <c r="L1789"/>
      <c r="M1789" t="inlineStr">
        <is>
          <t>蒲公英图书A的店</t>
        </is>
      </c>
      <c r="N1789">
        <v>2515</v>
      </c>
      <c r="O1789">
        <v>4.7</v>
      </c>
      <c r="P1789">
        <v>26000</v>
      </c>
      <c r="Q1789" t="inlineStr">
        <is>
          <t>68b299f0f38f970001dd9b2d</t>
        </is>
      </c>
      <c r="R1789"/>
      <c r="S1789" t="inlineStr">
        <is>
          <t>英语资料</t>
        </is>
      </c>
      <c r="T1789" t="inlineStr">
        <is>
          <t>1.00</t>
        </is>
      </c>
      <c r="U1789" s="3">
        <v>46112.78107638889</v>
      </c>
      <c r="V1789"/>
      <c r="W1789" s="3">
        <v>46080.54703703704</v>
      </c>
      <c r="X1789" t="inlineStr">
        <is>
          <t>02</t>
        </is>
      </c>
      <c r="Y1789" t="inlineStr">
        <is>
          <t>2026-Q1</t>
        </is>
      </c>
    </row>
    <row r="1790" ht="38.25" customHeight="1">
      <c r="A1790" t="inlineStr">
        <is>
          <t>高中英语完形填空+阅读理解 高一二三 高考复习 电子版</t>
        </is>
      </c>
      <c r="B1790" t="inlineStr">
        <is>
          <t>__upload_recvdJwg0YtsUP.jpg</t>
        </is>
      </c>
      <c r="C1790" s="2" t="str">
        <f>=HYPERLINK("https://xhslink.com/m/6Q5TonUEvzQ", "https://xhslink.com/m/6Q5TonUEvzQ")</f>
        <v>https://xhslink.com/m/6Q5TonUEvzQ</v>
      </c>
      <c r="D1790"/>
      <c r="E1790">
        <v>1619</v>
      </c>
      <c r="F1790">
        <v>6.8</v>
      </c>
      <c r="G1790"/>
      <c r="H1790">
        <v>100</v>
      </c>
      <c r="I1790">
        <v>1000</v>
      </c>
      <c r="J1790">
        <v>200</v>
      </c>
      <c r="K1790" t="inlineStr">
        <is>
          <t>英语</t>
        </is>
      </c>
      <c r="L1790"/>
      <c r="M1790" t="inlineStr">
        <is>
          <t>宋老师（金榜题名）的店</t>
        </is>
      </c>
      <c r="N1790">
        <v>1337</v>
      </c>
      <c r="O1790">
        <v>4.06</v>
      </c>
      <c r="P1790">
        <v>5798</v>
      </c>
      <c r="Q1790" t="inlineStr">
        <is>
          <t>67e261893d0cf4000125dbbe</t>
        </is>
      </c>
      <c r="R1790"/>
      <c r="S1790" t="inlineStr">
        <is>
          <t>高中/高考资料</t>
        </is>
      </c>
      <c r="T1790" t="inlineStr">
        <is>
          <t>1.21</t>
        </is>
      </c>
      <c r="U1790" s="3">
        <v>46112.78107638889</v>
      </c>
      <c r="V1790"/>
      <c r="W1790" s="3">
        <v>46080.54703703704</v>
      </c>
      <c r="X1790" t="inlineStr">
        <is>
          <t>02</t>
        </is>
      </c>
      <c r="Y1790" t="inlineStr">
        <is>
          <t>2026-Q1</t>
        </is>
      </c>
    </row>
    <row r="1791" ht="38.25" customHeight="1">
      <c r="A1791" t="inlineStr">
        <is>
          <t>（雪梨老师）英语启蒙-小学通关900句</t>
        </is>
      </c>
      <c r="B1791" t="inlineStr">
        <is>
          <t>__upload_recvdJwg0YHfOp.jpg</t>
        </is>
      </c>
      <c r="C1791" s="2" t="str">
        <f>=HYPERLINK("https://xhslink.com/m/5rEyceozLU0", "https://xhslink.com/m/5rEyceozLU0")</f>
        <v>https://xhslink.com/m/5rEyceozLU0</v>
      </c>
      <c r="D1791"/>
      <c r="E1791">
        <v>1205</v>
      </c>
      <c r="F1791">
        <v>149.9</v>
      </c>
      <c r="G1791"/>
      <c r="H1791">
        <v>250</v>
      </c>
      <c r="I1791">
        <v>1000</v>
      </c>
      <c r="J1791">
        <v>200</v>
      </c>
      <c r="K1791" t="inlineStr">
        <is>
          <t>英语</t>
        </is>
      </c>
      <c r="L1791"/>
      <c r="M1791" t="inlineStr">
        <is>
          <t>雪梨老师英语教辅的店</t>
        </is>
      </c>
      <c r="N1791">
        <v>89000</v>
      </c>
      <c r="O1791">
        <v>4.52</v>
      </c>
      <c r="P1791">
        <v>175000</v>
      </c>
      <c r="Q1791" t="inlineStr">
        <is>
          <t>6912ee8c0323f20001c83c29</t>
        </is>
      </c>
      <c r="R1791"/>
      <c r="S1791" t="inlineStr">
        <is>
          <t>中小学教辅/教材</t>
        </is>
      </c>
      <c r="T1791" t="inlineStr">
        <is>
          <t>0.01</t>
        </is>
      </c>
      <c r="U1791" s="3">
        <v>46112.78107638889</v>
      </c>
      <c r="V1791"/>
      <c r="W1791" s="3">
        <v>46080.54703703704</v>
      </c>
      <c r="X1791" t="inlineStr">
        <is>
          <t>02</t>
        </is>
      </c>
      <c r="Y1791" t="inlineStr">
        <is>
          <t>2026-Q1</t>
        </is>
      </c>
    </row>
    <row r="1792" ht="38.25" customHeight="1">
      <c r="A1792" t="inlineStr">
        <is>
          <t>高考高频词汇完形填空600阅读理解300背诵版+默写版(发百度网盘链</t>
        </is>
      </c>
      <c r="B1792" t="inlineStr">
        <is>
          <t>__upload_recvdJwg0Y1TLM.jpg</t>
        </is>
      </c>
      <c r="C1792" s="2" t="str">
        <f>=HYPERLINK("https://xhslink.com/m/m4U3vHBSoW", "https://xhslink.com/m/m4U3vHBSoW")</f>
        <v>https://xhslink.com/m/m4U3vHBSoW</v>
      </c>
      <c r="D1792"/>
      <c r="E1792">
        <v>1118</v>
      </c>
      <c r="F1792">
        <v>4.99</v>
      </c>
      <c r="G1792"/>
      <c r="H1792">
        <v>100</v>
      </c>
      <c r="I1792">
        <v>1000</v>
      </c>
      <c r="J1792">
        <v>200</v>
      </c>
      <c r="K1792" t="inlineStr">
        <is>
          <t>英语</t>
        </is>
      </c>
      <c r="L1792"/>
      <c r="M1792" t="inlineStr">
        <is>
          <t>Nancy老师爱英语的店</t>
        </is>
      </c>
      <c r="N1792">
        <v>1900</v>
      </c>
      <c r="O1792">
        <v>4.5</v>
      </c>
      <c r="P1792">
        <v>5146</v>
      </c>
      <c r="Q1792" t="inlineStr">
        <is>
          <t>683309c7d9a0a40001df9c2c</t>
        </is>
      </c>
      <c r="R1792"/>
      <c r="S1792" t="inlineStr">
        <is>
          <t>高中/高考资料</t>
        </is>
      </c>
      <c r="T1792" t="inlineStr">
        <is>
          <t>0.59</t>
        </is>
      </c>
      <c r="U1792" s="3">
        <v>46112.78107638889</v>
      </c>
      <c r="V1792"/>
      <c r="W1792" s="3">
        <v>46080.54703703704</v>
      </c>
      <c r="X1792" t="inlineStr">
        <is>
          <t>02</t>
        </is>
      </c>
      <c r="Y1792" t="inlineStr">
        <is>
          <t>2026-Q1</t>
        </is>
      </c>
    </row>
    <row r="1793" ht="38.25" customHeight="1">
      <c r="A1793" t="inlineStr">
        <is>
          <t>灵格AI英语-终身畅学卡：视频听读 AI练口语 沉浸口语 成人英语</t>
        </is>
      </c>
      <c r="B1793" t="inlineStr">
        <is>
          <t>__upload_recvdJwg0YNDyK.jpg</t>
        </is>
      </c>
      <c r="C1793" s="2" t="str">
        <f>=HYPERLINK("https://xhslink.com/m/1T1KorGNTbP", "https://xhslink.com/m/1T1KorGNTbP")</f>
        <v>https://xhslink.com/m/1T1KorGNTbP</v>
      </c>
      <c r="D1793"/>
      <c r="E1793">
        <v>964</v>
      </c>
      <c r="F1793">
        <v>199</v>
      </c>
      <c r="G1793"/>
      <c r="H1793">
        <v>250</v>
      </c>
      <c r="I1793"/>
      <c r="J1793">
        <v>100</v>
      </c>
      <c r="K1793" t="inlineStr">
        <is>
          <t>英语</t>
        </is>
      </c>
      <c r="L1793"/>
      <c r="M1793" t="inlineStr">
        <is>
          <t>灵格AI英语的店</t>
        </is>
      </c>
      <c r="N1793">
        <v>22000</v>
      </c>
      <c r="O1793">
        <v>4.2</v>
      </c>
      <c r="P1793">
        <v>963</v>
      </c>
      <c r="Q1793" t="inlineStr">
        <is>
          <t>68c7d793fb0cef00011d67ed</t>
        </is>
      </c>
      <c r="R1793"/>
      <c r="S1793" t="inlineStr">
        <is>
          <t>英语资料</t>
        </is>
      </c>
      <c r="T1793" t="inlineStr">
        <is>
          <t>0.04</t>
        </is>
      </c>
      <c r="U1793" s="3">
        <v>46112.78107638889</v>
      </c>
      <c r="V1793"/>
      <c r="W1793" s="3">
        <v>46080.54703703704</v>
      </c>
      <c r="X1793" t="inlineStr">
        <is>
          <t>02</t>
        </is>
      </c>
      <c r="Y1793" t="inlineStr">
        <is>
          <t>2026-Q1</t>
        </is>
      </c>
    </row>
    <row r="1794" ht="38.25" customHeight="1">
      <c r="A1794" t="inlineStr">
        <is>
          <t>新八下人教版英语讲义＋配套课件</t>
        </is>
      </c>
      <c r="B1794" t="inlineStr">
        <is>
          <t>__upload_recvdJwg0YAtx0.jpg</t>
        </is>
      </c>
      <c r="C1794" s="2" t="str">
        <f>=HYPERLINK("https://xhslink.com/m/39Rkyq9Qac4", "https://xhslink.com/m/39Rkyq9Qac4")</f>
        <v>https://xhslink.com/m/39Rkyq9Qac4</v>
      </c>
      <c r="D1794"/>
      <c r="E1794">
        <v>941</v>
      </c>
      <c r="F1794">
        <v>69.9</v>
      </c>
      <c r="G1794"/>
      <c r="H1794">
        <v>500</v>
      </c>
      <c r="I1794"/>
      <c r="J1794">
        <v>100</v>
      </c>
      <c r="K1794" t="inlineStr">
        <is>
          <t>英语</t>
        </is>
      </c>
      <c r="L1794"/>
      <c r="M1794" t="inlineStr">
        <is>
          <t>Monica原创精品讲义（课件)的店</t>
        </is>
      </c>
      <c r="N1794">
        <v>5834</v>
      </c>
      <c r="O1794">
        <v>4.64</v>
      </c>
      <c r="P1794">
        <v>8882</v>
      </c>
      <c r="Q1794" t="inlineStr">
        <is>
          <t>693f60bf3753f700016890aa</t>
        </is>
      </c>
      <c r="R1794" t="inlineStr">
        <is>
          <t>🚫重复</t>
        </is>
      </c>
      <c r="S1794" t="inlineStr">
        <is>
          <t>中小学教辅/教材</t>
        </is>
      </c>
      <c r="T1794" t="inlineStr">
        <is>
          <t>0.16</t>
        </is>
      </c>
      <c r="U1794" s="3">
        <v>46112.78107638889</v>
      </c>
      <c r="V1794"/>
      <c r="W1794" s="3">
        <v>46080.54703703704</v>
      </c>
      <c r="X1794" t="inlineStr">
        <is>
          <t>02</t>
        </is>
      </c>
      <c r="Y1794" t="inlineStr">
        <is>
          <t>2026-Q1</t>
        </is>
      </c>
    </row>
    <row r="1795" ht="38.25" customHeight="1">
      <c r="A1795" t="inlineStr">
        <is>
          <t>最新七下人教版英语寒假讲义＋课件</t>
        </is>
      </c>
      <c r="B1795" t="inlineStr">
        <is>
          <t>__upload_recvdJwg0Ycob8.jpg</t>
        </is>
      </c>
      <c r="C1795" s="2" t="str">
        <f>=HYPERLINK("https://xhslink.com/m/AUh3n4KoFGt", "https://xhslink.com/m/AUh3n4KoFGt")</f>
        <v>https://xhslink.com/m/AUh3n4KoFGt</v>
      </c>
      <c r="D1795"/>
      <c r="E1795">
        <v>909</v>
      </c>
      <c r="F1795">
        <v>85</v>
      </c>
      <c r="G1795"/>
      <c r="H1795">
        <v>250</v>
      </c>
      <c r="I1795"/>
      <c r="J1795">
        <v>100</v>
      </c>
      <c r="K1795" t="inlineStr">
        <is>
          <t>英语</t>
        </is>
      </c>
      <c r="L1795"/>
      <c r="M1795" t="inlineStr">
        <is>
          <t>Monica原创精品讲义（课件)的店</t>
        </is>
      </c>
      <c r="N1795">
        <v>5834</v>
      </c>
      <c r="O1795">
        <v>4.64</v>
      </c>
      <c r="P1795">
        <v>8882</v>
      </c>
      <c r="Q1795" t="inlineStr">
        <is>
          <t>67addd3129b9f70001b46db3</t>
        </is>
      </c>
      <c r="R1795" t="inlineStr">
        <is>
          <t>🚫重复</t>
        </is>
      </c>
      <c r="S1795" t="inlineStr">
        <is>
          <t>中小学教辅/教材</t>
        </is>
      </c>
      <c r="T1795" t="inlineStr">
        <is>
          <t>0.16</t>
        </is>
      </c>
      <c r="U1795" s="3">
        <v>46112.78107638889</v>
      </c>
      <c r="V1795"/>
      <c r="W1795" s="3">
        <v>46080.54703703704</v>
      </c>
      <c r="X1795" t="inlineStr">
        <is>
          <t>02</t>
        </is>
      </c>
      <c r="Y1795" t="inlineStr">
        <is>
          <t>2026-Q1</t>
        </is>
      </c>
    </row>
    <row r="1796" ht="38.25" customHeight="1">
      <c r="A1796" t="inlineStr">
        <is>
          <t>雅思口语21天陪跑营（9分老师直播课）（可随时入营）</t>
        </is>
      </c>
      <c r="B1796" t="inlineStr">
        <is>
          <t>__upload_recvdJwg0Yt8rz.jpg</t>
        </is>
      </c>
      <c r="C1796" s="2" t="str">
        <f>=HYPERLINK("https://xhslink.com/m/6fj4WQ5tikD", "https://xhslink.com/m/6fj4WQ5tikD")</f>
        <v>https://xhslink.com/m/6fj4WQ5tikD</v>
      </c>
      <c r="D1796"/>
      <c r="E1796">
        <v>898</v>
      </c>
      <c r="F1796">
        <v>399</v>
      </c>
      <c r="G1796"/>
      <c r="H1796">
        <v>150</v>
      </c>
      <c r="I1796"/>
      <c r="J1796">
        <v>100</v>
      </c>
      <c r="K1796" t="inlineStr">
        <is>
          <t>英语</t>
        </is>
      </c>
      <c r="L1796"/>
      <c r="M1796" t="inlineStr">
        <is>
          <t>雅思9分Frankie的店</t>
        </is>
      </c>
      <c r="N1796">
        <v>31000</v>
      </c>
      <c r="O1796">
        <v>4.49</v>
      </c>
      <c r="P1796">
        <v>3365</v>
      </c>
      <c r="Q1796" t="inlineStr">
        <is>
          <t>6834e9e2e60e770001b8c5e7</t>
        </is>
      </c>
      <c r="R1796" t="inlineStr">
        <is>
          <t>🚫重复</t>
        </is>
      </c>
      <c r="S1796" t="inlineStr">
        <is>
          <t>英语资料</t>
        </is>
      </c>
      <c r="T1796" t="inlineStr">
        <is>
          <t>0.03</t>
        </is>
      </c>
      <c r="U1796" s="3">
        <v>46112.78107638889</v>
      </c>
      <c r="V1796"/>
      <c r="W1796" s="3">
        <v>46080.54703703704</v>
      </c>
      <c r="X1796" t="inlineStr">
        <is>
          <t>02</t>
        </is>
      </c>
      <c r="Y1796" t="inlineStr">
        <is>
          <t>2026-Q1</t>
        </is>
      </c>
    </row>
    <row r="1797" ht="38.25" customHeight="1">
      <c r="A1797" t="inlineStr">
        <is>
          <t>【Mia英语重塑课】英语早该这样学！持续更新中，更新完涨价！</t>
        </is>
      </c>
      <c r="B1797" t="inlineStr">
        <is>
          <t>__upload_recvdJwg0YNzu1.jpg</t>
        </is>
      </c>
      <c r="C1797" s="2" t="str">
        <f>=HYPERLINK("https://xhslink.com/m/93MEXUwihox", "https://xhslink.com/m/93MEXUwihox")</f>
        <v>https://xhslink.com/m/93MEXUwihox</v>
      </c>
      <c r="D1797"/>
      <c r="E1797">
        <v>792</v>
      </c>
      <c r="F1797">
        <v>398</v>
      </c>
      <c r="G1797"/>
      <c r="H1797">
        <v>250</v>
      </c>
      <c r="I1797"/>
      <c r="J1797">
        <v>100</v>
      </c>
      <c r="K1797" t="inlineStr">
        <is>
          <t>英语</t>
        </is>
      </c>
      <c r="L1797"/>
      <c r="M1797" t="inlineStr">
        <is>
          <t>土豆联盟英语课堂的店</t>
        </is>
      </c>
      <c r="N1797">
        <v>6636</v>
      </c>
      <c r="O1797">
        <v>4.26</v>
      </c>
      <c r="P1797">
        <v>1024</v>
      </c>
      <c r="Q1797" t="inlineStr">
        <is>
          <t>691c22a1d3476600012c7b84</t>
        </is>
      </c>
      <c r="R1797"/>
      <c r="S1797" t="inlineStr">
        <is>
          <t>英语资料</t>
        </is>
      </c>
      <c r="T1797" t="inlineStr">
        <is>
          <t>0.12</t>
        </is>
      </c>
      <c r="U1797" s="3">
        <v>46112.78107638889</v>
      </c>
      <c r="V1797"/>
      <c r="W1797" s="3">
        <v>46080.54703703704</v>
      </c>
      <c r="X1797" t="inlineStr">
        <is>
          <t>02</t>
        </is>
      </c>
      <c r="Y1797" t="inlineStr">
        <is>
          <t>2026-Q1</t>
        </is>
      </c>
    </row>
    <row r="1798" ht="38.25" customHeight="1">
      <c r="A1798" t="inlineStr">
        <is>
          <t>英语原声 100部英文版儿童纪录片 中英文双语字幕1080P高清画质</t>
        </is>
      </c>
      <c r="B1798" t="inlineStr">
        <is>
          <t>__upload_recvdJwg0Y4L8o.jpg</t>
        </is>
      </c>
      <c r="C1798" s="2" t="str">
        <f>=HYPERLINK("https://xhslink.com/m/4AS3wTr5Icd", "https://xhslink.com/m/4AS3wTr5Icd")</f>
        <v>https://xhslink.com/m/4AS3wTr5Icd</v>
      </c>
      <c r="D1798"/>
      <c r="E1798">
        <v>610</v>
      </c>
      <c r="F1798">
        <v>29.88</v>
      </c>
      <c r="G1798"/>
      <c r="H1798">
        <v>200</v>
      </c>
      <c r="I1798"/>
      <c r="J1798">
        <v>100</v>
      </c>
      <c r="K1798" t="inlineStr">
        <is>
          <t>英语</t>
        </is>
      </c>
      <c r="L1798"/>
      <c r="M1798" t="inlineStr">
        <is>
          <t>✨星星育儿学堂的店</t>
        </is>
      </c>
      <c r="N1798">
        <v>55000</v>
      </c>
      <c r="O1798">
        <v>4.56</v>
      </c>
      <c r="P1798">
        <v>9131</v>
      </c>
      <c r="Q1798" t="inlineStr">
        <is>
          <t>69244bc9e8b9d4000133d157</t>
        </is>
      </c>
      <c r="R1798"/>
      <c r="S1798" t="inlineStr">
        <is>
          <t>中小学教辅/教材</t>
        </is>
      </c>
      <c r="T1798" t="inlineStr">
        <is>
          <t>0.01</t>
        </is>
      </c>
      <c r="U1798" s="3">
        <v>46112.78107638889</v>
      </c>
      <c r="V1798"/>
      <c r="W1798" s="3">
        <v>46080.54703703704</v>
      </c>
      <c r="X1798" t="inlineStr">
        <is>
          <t>02</t>
        </is>
      </c>
      <c r="Y1798" t="inlineStr">
        <is>
          <t>2026-Q1</t>
        </is>
      </c>
    </row>
    <row r="1799" ht="38.25" customHeight="1">
      <c r="A1799" t="inlineStr">
        <is>
          <t>高考英语高频词688/发pdf/发电子档</t>
        </is>
      </c>
      <c r="B1799" t="inlineStr">
        <is>
          <t>__upload_recvdJwg0Ys7zD.jpg</t>
        </is>
      </c>
      <c r="C1799" s="2" t="str">
        <f>=HYPERLINK("https://xhslink.com/m/6cecRqViBU9", "https://xhslink.com/m/6cecRqViBU9")</f>
        <v>https://xhslink.com/m/6cecRqViBU9</v>
      </c>
      <c r="D1799"/>
      <c r="E1799">
        <v>573</v>
      </c>
      <c r="F1799">
        <v>5</v>
      </c>
      <c r="G1799"/>
      <c r="H1799">
        <v>150</v>
      </c>
      <c r="I1799"/>
      <c r="J1799">
        <v>100</v>
      </c>
      <c r="K1799" t="inlineStr">
        <is>
          <t>英语</t>
        </is>
      </c>
      <c r="L1799"/>
      <c r="M1799" t="inlineStr">
        <is>
          <t>Sumi教英语的店</t>
        </is>
      </c>
      <c r="N1799">
        <v>2596</v>
      </c>
      <c r="O1799">
        <v>4.1</v>
      </c>
      <c r="P1799">
        <v>1433</v>
      </c>
      <c r="Q1799" t="inlineStr">
        <is>
          <t>68d7fc5a002e7e0001ccc4f6</t>
        </is>
      </c>
      <c r="R1799"/>
      <c r="S1799" t="inlineStr">
        <is>
          <t>高中/高考资料</t>
        </is>
      </c>
      <c r="T1799" t="inlineStr">
        <is>
          <t>0.22</t>
        </is>
      </c>
      <c r="U1799" s="3">
        <v>46112.78107638889</v>
      </c>
      <c r="V1799"/>
      <c r="W1799" s="3">
        <v>46080.54703703704</v>
      </c>
      <c r="X1799" t="inlineStr">
        <is>
          <t>02</t>
        </is>
      </c>
      <c r="Y1799" t="inlineStr">
        <is>
          <t>2026-Q1</t>
        </is>
      </c>
    </row>
    <row r="1800" ht="38.25" customHeight="1">
      <c r="A1800" t="inlineStr">
        <is>
          <t>八同步英语笔记本（YL新版）</t>
        </is>
      </c>
      <c r="B1800" t="inlineStr">
        <is>
          <t>__upload_recvdJwg0Yf7xb.jpg</t>
        </is>
      </c>
      <c r="C1800" s="2" t="str">
        <f>=HYPERLINK("https://xhslink.com/m/1CHPYgDrOlO", "https://xhslink.com/m/1CHPYgDrOlO")</f>
        <v>https://xhslink.com/m/1CHPYgDrOlO</v>
      </c>
      <c r="D1800"/>
      <c r="E1800">
        <v>562</v>
      </c>
      <c r="F1800">
        <v>68</v>
      </c>
      <c r="G1800"/>
      <c r="H1800">
        <v>250</v>
      </c>
      <c r="I1800"/>
      <c r="J1800">
        <v>100</v>
      </c>
      <c r="K1800" t="inlineStr">
        <is>
          <t>英语</t>
        </is>
      </c>
      <c r="L1800"/>
      <c r="M1800" t="inlineStr">
        <is>
          <t>译林英语周老师的店</t>
        </is>
      </c>
      <c r="N1800">
        <v>3959</v>
      </c>
      <c r="O1800">
        <v>4.65</v>
      </c>
      <c r="P1800">
        <v>3009</v>
      </c>
      <c r="Q1800" t="inlineStr">
        <is>
          <t>694fb1f9b1e66600013beb0a</t>
        </is>
      </c>
      <c r="R1800"/>
      <c r="S1800" t="inlineStr">
        <is>
          <t>英语资料</t>
        </is>
      </c>
      <c r="T1800" t="inlineStr">
        <is>
          <t>0.14</t>
        </is>
      </c>
      <c r="U1800" s="3">
        <v>46112.78107638889</v>
      </c>
      <c r="V1800"/>
      <c r="W1800" s="3">
        <v>46080.54703703704</v>
      </c>
      <c r="X1800" t="inlineStr">
        <is>
          <t>02</t>
        </is>
      </c>
      <c r="Y1800" t="inlineStr">
        <is>
          <t>2026-Q1</t>
        </is>
      </c>
    </row>
    <row r="1801" ht="38.25" customHeight="1">
      <c r="A1801" t="inlineStr">
        <is>
          <t>汪勋老师 · 汪勋团队精英语文通关课｜1-6年级｜非直播时段</t>
        </is>
      </c>
      <c r="B1801" t="inlineStr">
        <is>
          <t>__upload_recvdJwg0YO5mJ.jpg</t>
        </is>
      </c>
      <c r="C1801" s="2" t="str">
        <f>=HYPERLINK("https://xhslink.com/m/8AOd7jDERzY", "https://xhslink.com/m/8AOd7jDERzY")</f>
        <v>https://xhslink.com/m/8AOd7jDERzY</v>
      </c>
      <c r="D1801"/>
      <c r="E1801">
        <v>547</v>
      </c>
      <c r="F1801">
        <v>2980</v>
      </c>
      <c r="G1801"/>
      <c r="H1801">
        <v>100</v>
      </c>
      <c r="I1801"/>
      <c r="J1801">
        <v>100</v>
      </c>
      <c r="K1801" t="inlineStr">
        <is>
          <t>英语</t>
        </is>
      </c>
      <c r="L1801"/>
      <c r="M1801" t="inlineStr">
        <is>
          <t>汪勋老师教育旗舰店</t>
        </is>
      </c>
      <c r="N1801">
        <v>12000</v>
      </c>
      <c r="O1801">
        <v>4.52</v>
      </c>
      <c r="P1801">
        <v>32000</v>
      </c>
      <c r="Q1801" t="inlineStr">
        <is>
          <t>68cbfa189c4f880001df5be2</t>
        </is>
      </c>
      <c r="R1801"/>
      <c r="S1801" t="inlineStr">
        <is>
          <t>中小学教辅/教材</t>
        </is>
      </c>
      <c r="T1801" t="inlineStr">
        <is>
          <t>0.05</t>
        </is>
      </c>
      <c r="U1801" s="3">
        <v>46112.78107638889</v>
      </c>
      <c r="V1801"/>
      <c r="W1801" s="3">
        <v>46080.54703703704</v>
      </c>
      <c r="X1801" t="inlineStr">
        <is>
          <t>02</t>
        </is>
      </c>
      <c r="Y1801" t="inlineStr">
        <is>
          <t>2026-Q1</t>
        </is>
      </c>
    </row>
    <row r="1802" ht="38.25" customHeight="1">
      <c r="A1802" t="inlineStr">
        <is>
          <t>T · （新人教） 八下英语笔记本</t>
        </is>
      </c>
      <c r="B1802" t="inlineStr">
        <is>
          <t>__upload_recvdJwg0YvH3c.jpg</t>
        </is>
      </c>
      <c r="C1802" s="2" t="str">
        <f>=HYPERLINK("https://xhslink.com/m/4FVLwjgr3b7", "https://xhslink.com/m/4FVLwjgr3b7")</f>
        <v>https://xhslink.com/m/4FVLwjgr3b7</v>
      </c>
      <c r="D1802"/>
      <c r="E1802">
        <v>544</v>
      </c>
      <c r="F1802">
        <v>67.9</v>
      </c>
      <c r="G1802"/>
      <c r="H1802">
        <v>150</v>
      </c>
      <c r="I1802"/>
      <c r="J1802">
        <v>100</v>
      </c>
      <c r="K1802" t="inlineStr">
        <is>
          <t>英语</t>
        </is>
      </c>
      <c r="L1802"/>
      <c r="M1802" t="inlineStr">
        <is>
          <t>七七的英语笔记 人教版的店</t>
        </is>
      </c>
      <c r="N1802">
        <v>57000</v>
      </c>
      <c r="O1802">
        <v>4.49</v>
      </c>
      <c r="P1802">
        <v>3324</v>
      </c>
      <c r="Q1802" t="inlineStr">
        <is>
          <t>6922f40c33d9ce000144a2b3</t>
        </is>
      </c>
      <c r="R1802"/>
      <c r="S1802" t="inlineStr">
        <is>
          <t>中小学教辅/教材</t>
        </is>
      </c>
      <c r="T1802" t="inlineStr">
        <is>
          <t>0.01</t>
        </is>
      </c>
      <c r="U1802" s="3">
        <v>46112.78107638889</v>
      </c>
      <c r="V1802"/>
      <c r="W1802" s="3">
        <v>46080.54703703704</v>
      </c>
      <c r="X1802" t="inlineStr">
        <is>
          <t>02</t>
        </is>
      </c>
      <c r="Y1802" t="inlineStr">
        <is>
          <t>2026-Q1</t>
        </is>
      </c>
    </row>
    <row r="1803" ht="38.25" customHeight="1">
      <c r="A1803" t="inlineStr">
        <is>
          <t>26年1-4月原创雅思囗语素材p1+p2+p3（接地气生活化素材）</t>
        </is>
      </c>
      <c r="B1803" t="inlineStr">
        <is>
          <t>__upload_recvdJwg0YaWYx.jpg</t>
        </is>
      </c>
      <c r="C1803" s="2" t="str">
        <f>=HYPERLINK("https://xhslink.com/m/1rXon7fBA", "https://xhslink.com/m/1rXon7fBA")</f>
        <v>https://xhslink.com/m/1rXon7fBA</v>
      </c>
      <c r="D1803"/>
      <c r="E1803">
        <v>21000</v>
      </c>
      <c r="F1803">
        <v>69</v>
      </c>
      <c r="G1803"/>
      <c r="H1803">
        <v>1000</v>
      </c>
      <c r="I1803">
        <v>1000</v>
      </c>
      <c r="J1803">
        <v>100</v>
      </c>
      <c r="K1803" t="inlineStr">
        <is>
          <t>素材</t>
        </is>
      </c>
      <c r="L1803"/>
      <c r="M1803" t="inlineStr">
        <is>
          <t>考雅过过过的店</t>
        </is>
      </c>
      <c r="N1803">
        <v>21000</v>
      </c>
      <c r="O1803">
        <v>4.51</v>
      </c>
      <c r="P1803">
        <v>39000</v>
      </c>
      <c r="Q1803" t="inlineStr">
        <is>
          <t>6934d92d6911000001779f79</t>
        </is>
      </c>
      <c r="R1803" t="inlineStr">
        <is>
          <t>🚫重复</t>
        </is>
      </c>
      <c r="S1803" t="inlineStr">
        <is>
          <t>英语资料</t>
        </is>
      </c>
      <c r="T1803" t="inlineStr">
        <is>
          <t>1.00</t>
        </is>
      </c>
      <c r="U1803" s="3">
        <v>46112.78107638889</v>
      </c>
      <c r="V1803"/>
      <c r="W1803" s="3">
        <v>46080.54703703704</v>
      </c>
      <c r="X1803" t="inlineStr">
        <is>
          <t>02</t>
        </is>
      </c>
      <c r="Y1803" t="inlineStr">
        <is>
          <t>2026-Q1</t>
        </is>
      </c>
    </row>
    <row r="1804" ht="38.25" customHeight="1">
      <c r="A1804" t="inlineStr">
        <is>
          <t>元素图案 素材集含透明底 自动发货在发货信息</t>
        </is>
      </c>
      <c r="B1804" t="inlineStr">
        <is>
          <t>__upload_recvdJwg0YWIGE.jpg</t>
        </is>
      </c>
      <c r="C1804" s="2" t="str">
        <f>=HYPERLINK("https://xhslink.com/m/8FfjL2JQwU9", "https://xhslink.com/m/8FfjL2JQwU9")</f>
        <v>https://xhslink.com/m/8FfjL2JQwU9</v>
      </c>
      <c r="D1804"/>
      <c r="E1804">
        <v>3690</v>
      </c>
      <c r="F1804">
        <v>9.9</v>
      </c>
      <c r="G1804"/>
      <c r="H1804">
        <v>600</v>
      </c>
      <c r="I1804">
        <v>1000</v>
      </c>
      <c r="J1804">
        <v>100</v>
      </c>
      <c r="K1804" t="inlineStr">
        <is>
          <t>素材</t>
        </is>
      </c>
      <c r="L1804"/>
      <c r="M1804" t="inlineStr">
        <is>
          <t>醉桃的店</t>
        </is>
      </c>
      <c r="N1804">
        <v>5073</v>
      </c>
      <c r="O1804">
        <v>4.37</v>
      </c>
      <c r="P1804">
        <v>4538</v>
      </c>
      <c r="Q1804" t="inlineStr">
        <is>
          <t>68931b379e83740001ec6307</t>
        </is>
      </c>
      <c r="R1804" t="inlineStr">
        <is>
          <t>🚫重复</t>
        </is>
      </c>
      <c r="S1804" t="inlineStr">
        <is>
          <t>设计素材</t>
        </is>
      </c>
      <c r="T1804" t="inlineStr">
        <is>
          <t>0.73</t>
        </is>
      </c>
      <c r="U1804" s="3">
        <v>46112.78107638889</v>
      </c>
      <c r="V1804"/>
      <c r="W1804" s="3">
        <v>46080.54703703704</v>
      </c>
      <c r="X1804" t="inlineStr">
        <is>
          <t>02</t>
        </is>
      </c>
      <c r="Y1804" t="inlineStr">
        <is>
          <t>2026-Q1</t>
        </is>
      </c>
    </row>
    <row r="1805" ht="38.25" customHeight="1">
      <c r="A1805" t="inlineStr">
        <is>
          <t>2026四六级题库app激活码 备考正版题库激活</t>
        </is>
      </c>
      <c r="B1805" t="inlineStr">
        <is>
          <t>__upload_recvdJwg0YMzsO.jpg</t>
        </is>
      </c>
      <c r="C1805" s="2" t="str">
        <f>=HYPERLINK("https://xhslink.com/m/1lN4Dy0ZPR3", "https://xhslink.com/m/1lN4Dy0ZPR3")</f>
        <v>https://xhslink.com/m/1lN4Dy0ZPR3</v>
      </c>
      <c r="D1805"/>
      <c r="E1805">
        <v>24000</v>
      </c>
      <c r="F1805">
        <v>5</v>
      </c>
      <c r="G1805"/>
      <c r="H1805">
        <v>150</v>
      </c>
      <c r="I1805">
        <v>1000</v>
      </c>
      <c r="J1805">
        <v>100</v>
      </c>
      <c r="K1805" t="inlineStr">
        <is>
          <t>四级考试</t>
        </is>
      </c>
      <c r="L1805" t="inlineStr">
        <is>
          <t>🔥低粉爆款</t>
        </is>
      </c>
      <c r="M1805" t="inlineStr">
        <is>
          <t>永恒学子NF的店</t>
        </is>
      </c>
      <c r="N1805">
        <v>4127</v>
      </c>
      <c r="O1805">
        <v>4.27</v>
      </c>
      <c r="P1805">
        <v>34000</v>
      </c>
      <c r="Q1805" t="inlineStr">
        <is>
          <t>66c2fead3a772100017583b5</t>
        </is>
      </c>
      <c r="R1805" t="inlineStr">
        <is>
          <t>🚫重复</t>
        </is>
      </c>
      <c r="S1805" t="inlineStr">
        <is>
          <t>英语资料</t>
        </is>
      </c>
      <c r="T1805" t="inlineStr">
        <is>
          <t>5.82</t>
        </is>
      </c>
      <c r="U1805" s="3">
        <v>46112.78107638889</v>
      </c>
      <c r="V1805"/>
      <c r="W1805" s="3">
        <v>46080.54703703704</v>
      </c>
      <c r="X1805" t="inlineStr">
        <is>
          <t>02</t>
        </is>
      </c>
      <c r="Y1805" t="inlineStr">
        <is>
          <t>2026-Q1</t>
        </is>
      </c>
    </row>
    <row r="1806" ht="38.25" customHeight="1">
      <c r="A1806" t="inlineStr">
        <is>
          <t>【D209】英语四级真题（1998～2025.6）+真题详解+听力+高频词汇</t>
        </is>
      </c>
      <c r="B1806" t="inlineStr">
        <is>
          <t>__upload_recvdJwg0YQs13.jpg</t>
        </is>
      </c>
      <c r="C1806" s="2" t="str">
        <f>=HYPERLINK("https://xhslink.com/m/AWhVg3S3Faq", "https://xhslink.com/m/AWhVg3S3Faq")</f>
        <v>https://xhslink.com/m/AWhVg3S3Faq</v>
      </c>
      <c r="D1806"/>
      <c r="E1806">
        <v>7149</v>
      </c>
      <c r="F1806">
        <v>0.99</v>
      </c>
      <c r="G1806"/>
      <c r="H1806">
        <v>1000</v>
      </c>
      <c r="I1806">
        <v>5000</v>
      </c>
      <c r="J1806">
        <v>100</v>
      </c>
      <c r="K1806" t="inlineStr">
        <is>
          <t>四级考试</t>
        </is>
      </c>
      <c r="L1806" t="inlineStr">
        <is>
          <t>🔥低粉爆款</t>
        </is>
      </c>
      <c r="M1806" t="inlineStr">
        <is>
          <t>妙言老师的店</t>
        </is>
      </c>
      <c r="N1806">
        <v>2163</v>
      </c>
      <c r="O1806">
        <v>4.59</v>
      </c>
      <c r="P1806">
        <v>30000</v>
      </c>
      <c r="Q1806" t="inlineStr">
        <is>
          <t>68c2a326c33f61000135f275</t>
        </is>
      </c>
      <c r="R1806" t="inlineStr">
        <is>
          <t>🚫重复</t>
        </is>
      </c>
      <c r="S1806" t="inlineStr">
        <is>
          <t>英语资料</t>
        </is>
      </c>
      <c r="T1806" t="inlineStr">
        <is>
          <t>3.31</t>
        </is>
      </c>
      <c r="U1806" s="3">
        <v>46112.78107638889</v>
      </c>
      <c r="V1806"/>
      <c r="W1806" s="3">
        <v>46080.54703703704</v>
      </c>
      <c r="X1806" t="inlineStr">
        <is>
          <t>02</t>
        </is>
      </c>
      <c r="Y1806" t="inlineStr">
        <is>
          <t>2026-Q1</t>
        </is>
      </c>
    </row>
    <row r="1807" ht="38.25" customHeight="1">
      <c r="A1807" t="inlineStr">
        <is>
          <t>英语四级六级历年真题PDF版 1990~2025.6 真题</t>
        </is>
      </c>
      <c r="B1807" t="inlineStr">
        <is>
          <t>__upload_recvdJwg0Y3hwZ.jpg</t>
        </is>
      </c>
      <c r="C1807" s="2" t="str">
        <f>=HYPERLINK("https://xhslink.com/m/2rxg1LpVp08", "https://xhslink.com/m/2rxg1LpVp08")</f>
        <v>https://xhslink.com/m/2rxg1LpVp08</v>
      </c>
      <c r="D1807"/>
      <c r="E1807">
        <v>5776</v>
      </c>
      <c r="F1807">
        <v>0.99</v>
      </c>
      <c r="G1807"/>
      <c r="H1807">
        <v>150</v>
      </c>
      <c r="I1807">
        <v>1000</v>
      </c>
      <c r="J1807">
        <v>100</v>
      </c>
      <c r="K1807" t="inlineStr">
        <is>
          <t>四级考试</t>
        </is>
      </c>
      <c r="L1807" t="inlineStr">
        <is>
          <t>🔥低粉爆款</t>
        </is>
      </c>
      <c r="M1807" t="inlineStr">
        <is>
          <t>离雨淬阁的店</t>
        </is>
      </c>
      <c r="N1807">
        <v>765</v>
      </c>
      <c r="O1807">
        <v>4.32</v>
      </c>
      <c r="P1807">
        <v>30000</v>
      </c>
      <c r="Q1807" t="inlineStr">
        <is>
          <t>6837082b2e3a0000018c74f4</t>
        </is>
      </c>
      <c r="R1807" t="inlineStr">
        <is>
          <t>🚫重复</t>
        </is>
      </c>
      <c r="S1807" t="inlineStr">
        <is>
          <t>英语资料</t>
        </is>
      </c>
      <c r="T1807" t="inlineStr">
        <is>
          <t>7.55</t>
        </is>
      </c>
      <c r="U1807" s="3">
        <v>46112.78107638889</v>
      </c>
      <c r="V1807"/>
      <c r="W1807" s="3">
        <v>46080.54703703704</v>
      </c>
      <c r="X1807" t="inlineStr">
        <is>
          <t>02</t>
        </is>
      </c>
      <c r="Y1807" t="inlineStr">
        <is>
          <t>2026-Q1</t>
        </is>
      </c>
    </row>
    <row r="1808" ht="38.25" customHeight="1">
      <c r="A1808" t="inlineStr">
        <is>
          <t>2026一数·必刷100讲·高考数学核心方法</t>
        </is>
      </c>
      <c r="B1808" t="inlineStr">
        <is>
          <t>__upload_recvdJwg0YYU5B.jpg</t>
        </is>
      </c>
      <c r="C1808" s="2" t="str">
        <f>=HYPERLINK("https://xhslink.com/m/3d1gCuo1Kf7", "https://xhslink.com/m/3d1gCuo1Kf7")</f>
        <v>https://xhslink.com/m/3d1gCuo1Kf7</v>
      </c>
      <c r="D1808"/>
      <c r="E1808">
        <v>14000</v>
      </c>
      <c r="F1808">
        <v>55.8</v>
      </c>
      <c r="G1808"/>
      <c r="H1808">
        <v>100</v>
      </c>
      <c r="I1808">
        <v>1000</v>
      </c>
      <c r="J1808">
        <v>100</v>
      </c>
      <c r="K1808" t="inlineStr">
        <is>
          <t>高中英语</t>
        </is>
      </c>
      <c r="L1808"/>
      <c r="M1808" t="inlineStr">
        <is>
          <t>一数教辅的店</t>
        </is>
      </c>
      <c r="N1808">
        <v>49000</v>
      </c>
      <c r="O1808">
        <v>4.73</v>
      </c>
      <c r="P1808">
        <v>43000</v>
      </c>
      <c r="Q1808" t="inlineStr">
        <is>
          <t>686b8adf5b41e8000136b09f</t>
        </is>
      </c>
      <c r="R1808" t="inlineStr">
        <is>
          <t>🚫重复</t>
        </is>
      </c>
      <c r="S1808" t="inlineStr">
        <is>
          <t>高中/高考资料</t>
        </is>
      </c>
      <c r="T1808" t="inlineStr">
        <is>
          <t>0.29</t>
        </is>
      </c>
      <c r="U1808" s="3">
        <v>46112.78107638889</v>
      </c>
      <c r="V1808"/>
      <c r="W1808" s="3">
        <v>46080.54703703704</v>
      </c>
      <c r="X1808" t="inlineStr">
        <is>
          <t>02</t>
        </is>
      </c>
      <c r="Y1808" t="inlineStr">
        <is>
          <t>2026-Q1</t>
        </is>
      </c>
    </row>
    <row r="1809" ht="38.25" customHeight="1">
      <c r="A1809" t="inlineStr">
        <is>
          <t>华理社 · 【现货】初中+高中英语时文阅读提分训练3+X 小升初 789年级 中考</t>
        </is>
      </c>
      <c r="B1809" t="inlineStr">
        <is>
          <t>__upload_recvdJwg0Yh4ub.jpg</t>
        </is>
      </c>
      <c r="C1809" s="2" t="str">
        <f>=HYPERLINK("https://xhslink.com/m/4tyDBcyPKqz", "https://xhslink.com/m/4tyDBcyPKqz")</f>
        <v>https://xhslink.com/m/4tyDBcyPKqz</v>
      </c>
      <c r="D1809"/>
      <c r="E1809">
        <v>7174</v>
      </c>
      <c r="F1809">
        <v>46.8</v>
      </c>
      <c r="G1809"/>
      <c r="H1809">
        <v>300</v>
      </c>
      <c r="I1809">
        <v>1000</v>
      </c>
      <c r="J1809">
        <v>100</v>
      </c>
      <c r="K1809" t="inlineStr">
        <is>
          <t>高中英语</t>
        </is>
      </c>
      <c r="L1809"/>
      <c r="M1809" t="inlineStr">
        <is>
          <t>华理社旗舰店</t>
        </is>
      </c>
      <c r="N1809">
        <v>15000</v>
      </c>
      <c r="O1809">
        <v>4.91</v>
      </c>
      <c r="P1809">
        <v>47000</v>
      </c>
      <c r="Q1809" t="inlineStr">
        <is>
          <t>6912ea3d571d6600016056a6</t>
        </is>
      </c>
      <c r="R1809" t="inlineStr">
        <is>
          <t>🚫重复</t>
        </is>
      </c>
      <c r="S1809" t="inlineStr">
        <is>
          <t>中小学教辅/教材</t>
        </is>
      </c>
      <c r="T1809" t="inlineStr">
        <is>
          <t>0.48</t>
        </is>
      </c>
      <c r="U1809" s="3">
        <v>46112.78107638889</v>
      </c>
      <c r="V1809"/>
      <c r="W1809" s="3">
        <v>46080.54703703704</v>
      </c>
      <c r="X1809" t="inlineStr">
        <is>
          <t>02</t>
        </is>
      </c>
      <c r="Y1809" t="inlineStr">
        <is>
          <t>2026-Q1</t>
        </is>
      </c>
    </row>
    <row r="1810" ht="38.25" customHeight="1">
      <c r="A1810" t="inlineStr">
        <is>
          <t>高考英语必背核心3500考纲词+718高频词+1000短语（电子版）</t>
        </is>
      </c>
      <c r="B1810" t="inlineStr">
        <is>
          <t>__upload_recvdJwg0YeE2f.jpg</t>
        </is>
      </c>
      <c r="C1810" s="2" t="str">
        <f>=HYPERLINK("https://xhslink.com/m/6Q4EXM4KGeZ", "https://xhslink.com/m/6Q4EXM4KGeZ")</f>
        <v>https://xhslink.com/m/6Q4EXM4KGeZ</v>
      </c>
      <c r="D1810"/>
      <c r="E1810">
        <v>5369</v>
      </c>
      <c r="F1810">
        <v>9.9</v>
      </c>
      <c r="G1810"/>
      <c r="H1810">
        <v>300</v>
      </c>
      <c r="I1810">
        <v>1000</v>
      </c>
      <c r="J1810">
        <v>100</v>
      </c>
      <c r="K1810" t="inlineStr">
        <is>
          <t>高中英语</t>
        </is>
      </c>
      <c r="L1810"/>
      <c r="M1810" t="inlineStr">
        <is>
          <t>猫叔英语研究所的店</t>
        </is>
      </c>
      <c r="N1810">
        <v>3722</v>
      </c>
      <c r="O1810">
        <v>4.65</v>
      </c>
      <c r="P1810">
        <v>17000</v>
      </c>
      <c r="Q1810" t="inlineStr">
        <is>
          <t>682c54babd112700013d969c</t>
        </is>
      </c>
      <c r="R1810" t="inlineStr">
        <is>
          <t>🚫重复</t>
        </is>
      </c>
      <c r="S1810" t="inlineStr">
        <is>
          <t>高中/高考资料</t>
        </is>
      </c>
      <c r="T1810" t="inlineStr">
        <is>
          <t>1.44</t>
        </is>
      </c>
      <c r="U1810" s="3">
        <v>46112.78107638889</v>
      </c>
      <c r="V1810"/>
      <c r="W1810" s="3">
        <v>46080.54703703704</v>
      </c>
      <c r="X1810" t="inlineStr">
        <is>
          <t>02</t>
        </is>
      </c>
      <c r="Y1810" t="inlineStr">
        <is>
          <t>2026-Q1</t>
        </is>
      </c>
    </row>
    <row r="1811" ht="38.25" customHeight="1">
      <c r="A1811" t="inlineStr">
        <is>
          <t>上海华二高三英语词汇合集</t>
        </is>
      </c>
      <c r="B1811" t="inlineStr">
        <is>
          <t>__upload_recvdJwg0Ycnnu.jpg</t>
        </is>
      </c>
      <c r="C1811" s="2" t="str">
        <f>=HYPERLINK("https://xhslink.com/m/3firjDDyQiT", "https://xhslink.com/m/3firjDDyQiT")</f>
        <v>https://xhslink.com/m/3firjDDyQiT</v>
      </c>
      <c r="D1811"/>
      <c r="E1811">
        <v>1410</v>
      </c>
      <c r="F1811">
        <v>40</v>
      </c>
      <c r="G1811"/>
      <c r="H1811">
        <v>150</v>
      </c>
      <c r="I1811">
        <v>1000</v>
      </c>
      <c r="J1811">
        <v>100</v>
      </c>
      <c r="K1811" t="inlineStr">
        <is>
          <t>高中英语</t>
        </is>
      </c>
      <c r="L1811"/>
      <c r="M1811" t="inlineStr">
        <is>
          <t>沪上家长Club的店</t>
        </is>
      </c>
      <c r="N1811">
        <v>2967</v>
      </c>
      <c r="O1811">
        <v>4.62</v>
      </c>
      <c r="P1811">
        <v>11000</v>
      </c>
      <c r="Q1811" t="inlineStr">
        <is>
          <t>686cdfe8b38c8000019da518</t>
        </is>
      </c>
      <c r="R1811" t="inlineStr">
        <is>
          <t>🚫重复</t>
        </is>
      </c>
      <c r="S1811" t="inlineStr">
        <is>
          <t>高中/高考资料</t>
        </is>
      </c>
      <c r="T1811" t="inlineStr">
        <is>
          <t>0.48</t>
        </is>
      </c>
      <c r="U1811" s="3">
        <v>46112.78107638889</v>
      </c>
      <c r="V1811"/>
      <c r="W1811" s="3">
        <v>46080.54703703704</v>
      </c>
      <c r="X1811" t="inlineStr">
        <is>
          <t>02</t>
        </is>
      </c>
      <c r="Y1811" t="inlineStr">
        <is>
          <t>2026-Q1</t>
        </is>
      </c>
    </row>
    <row r="1812" ht="38.25" customHeight="1">
      <c r="A1812" t="inlineStr">
        <is>
          <t>二十一世纪学生英文报时文精读 小学初中px 人民日报英语yx</t>
        </is>
      </c>
      <c r="B1812" t="inlineStr">
        <is>
          <t>__upload_recvdJwg0YSWeU.jpg</t>
        </is>
      </c>
      <c r="C1812" s="2" t="str">
        <f>=HYPERLINK("https://xhslink.com/m/7sT4fUAj0gx", "https://xhslink.com/m/7sT4fUAj0gx")</f>
        <v>https://xhslink.com/m/7sT4fUAj0gx</v>
      </c>
      <c r="D1812"/>
      <c r="E1812">
        <v>1315</v>
      </c>
      <c r="F1812">
        <v>49</v>
      </c>
      <c r="G1812"/>
      <c r="H1812">
        <v>100</v>
      </c>
      <c r="I1812">
        <v>1000</v>
      </c>
      <c r="J1812">
        <v>100</v>
      </c>
      <c r="K1812" t="inlineStr">
        <is>
          <t>高中英语</t>
        </is>
      </c>
      <c r="L1812"/>
      <c r="M1812" t="inlineStr">
        <is>
          <t>陪读诺诺妈的店</t>
        </is>
      </c>
      <c r="N1812">
        <v>1889</v>
      </c>
      <c r="O1812">
        <v>4.26</v>
      </c>
      <c r="P1812">
        <v>11000</v>
      </c>
      <c r="Q1812" t="inlineStr">
        <is>
          <t>684a34574584bd00153054ef</t>
        </is>
      </c>
      <c r="R1812" t="inlineStr">
        <is>
          <t>🚫重复</t>
        </is>
      </c>
      <c r="S1812" t="inlineStr">
        <is>
          <t>中小学教辅/教材</t>
        </is>
      </c>
      <c r="T1812" t="inlineStr">
        <is>
          <t>0.70</t>
        </is>
      </c>
      <c r="U1812" s="3">
        <v>46112.78107638889</v>
      </c>
      <c r="V1812"/>
      <c r="W1812" s="3">
        <v>46080.54703703704</v>
      </c>
      <c r="X1812" t="inlineStr">
        <is>
          <t>02</t>
        </is>
      </c>
      <c r="Y1812" t="inlineStr">
        <is>
          <t>2026-Q1</t>
        </is>
      </c>
    </row>
    <row r="1813" ht="38.25" customHeight="1">
      <c r="A1813" t="inlineStr">
        <is>
          <t>PASS · 绿卡一手掌握-高考必背古诗文72篇一手掌握-高中英语3500词通用版</t>
        </is>
      </c>
      <c r="B1813" t="inlineStr">
        <is>
          <t>__upload_recvdJwg0YxgGZ.jpg</t>
        </is>
      </c>
      <c r="C1813" s="2" t="str">
        <f>=HYPERLINK("https://xhslink.com/m/7cNUmHG1Aqt", "https://xhslink.com/m/7cNUmHG1Aqt")</f>
        <v>https://xhslink.com/m/7cNUmHG1Aqt</v>
      </c>
      <c r="D1813"/>
      <c r="E1813">
        <v>952</v>
      </c>
      <c r="F1813">
        <v>6.9</v>
      </c>
      <c r="G1813"/>
      <c r="H1813">
        <v>350</v>
      </c>
      <c r="I1813"/>
      <c r="J1813">
        <v>100</v>
      </c>
      <c r="K1813" t="inlineStr">
        <is>
          <t>高中英语</t>
        </is>
      </c>
      <c r="L1813"/>
      <c r="M1813" t="inlineStr">
        <is>
          <t>PASS绿卡图书旗舰店</t>
        </is>
      </c>
      <c r="N1813">
        <v>717000</v>
      </c>
      <c r="O1813">
        <v>4.31</v>
      </c>
      <c r="P1813">
        <v>25000</v>
      </c>
      <c r="Q1813" t="inlineStr">
        <is>
          <t>68ec50a8d3eed20001509388</t>
        </is>
      </c>
      <c r="R1813"/>
      <c r="S1813" t="inlineStr">
        <is>
          <t>高中/高考资料</t>
        </is>
      </c>
      <c r="T1813" t="inlineStr">
        <is>
          <t>0.00</t>
        </is>
      </c>
      <c r="U1813" s="3">
        <v>46112.78107638889</v>
      </c>
      <c r="V1813"/>
      <c r="W1813" s="3">
        <v>46080.54703703704</v>
      </c>
      <c r="X1813" t="inlineStr">
        <is>
          <t>02</t>
        </is>
      </c>
      <c r="Y1813" t="inlineStr">
        <is>
          <t>2026-Q1</t>
        </is>
      </c>
    </row>
    <row r="1814" ht="38.25" customHeight="1">
      <c r="A1814" t="inlineStr">
        <is>
          <t>初中单元期中期末月考检测卷初一初二初三人教版电子版</t>
        </is>
      </c>
      <c r="B1814" t="inlineStr">
        <is>
          <t>__upload_recvdJwg0YE2As.jpg</t>
        </is>
      </c>
      <c r="C1814" s="2" t="str">
        <f>=HYPERLINK("https://xhslink.com/m/7kJLJfXFBca", "https://xhslink.com/m/7kJLJfXFBca")</f>
        <v>https://xhslink.com/m/7kJLJfXFBca</v>
      </c>
      <c r="D1814"/>
      <c r="E1814">
        <v>7050</v>
      </c>
      <c r="F1814">
        <v>29.8</v>
      </c>
      <c r="G1814"/>
      <c r="H1814">
        <v>250</v>
      </c>
      <c r="I1814">
        <v>1000</v>
      </c>
      <c r="J1814">
        <v>100</v>
      </c>
      <c r="K1814" t="inlineStr">
        <is>
          <t>初中英语</t>
        </is>
      </c>
      <c r="L1814"/>
      <c r="M1814" t="inlineStr">
        <is>
          <t>中考提分宝库的店</t>
        </is>
      </c>
      <c r="N1814">
        <v>22000</v>
      </c>
      <c r="O1814">
        <v>4.29</v>
      </c>
      <c r="P1814">
        <v>77000</v>
      </c>
      <c r="Q1814" t="inlineStr">
        <is>
          <t>67167588edb7ca00012ca592</t>
        </is>
      </c>
      <c r="R1814" t="inlineStr">
        <is>
          <t>🚫重复</t>
        </is>
      </c>
      <c r="S1814" t="inlineStr">
        <is>
          <t>中小学教辅/教材</t>
        </is>
      </c>
      <c r="T1814" t="inlineStr">
        <is>
          <t>0.32</t>
        </is>
      </c>
      <c r="U1814" s="3">
        <v>46112.78107638889</v>
      </c>
      <c r="V1814"/>
      <c r="W1814" s="3">
        <v>46080.54703703704</v>
      </c>
      <c r="X1814" t="inlineStr">
        <is>
          <t>02</t>
        </is>
      </c>
      <c r="Y1814" t="inlineStr">
        <is>
          <t>2026-Q1</t>
        </is>
      </c>
    </row>
    <row r="1815" ht="38.25" customHeight="1">
      <c r="A1815" t="inlineStr">
        <is>
          <t>【新教材】初中各科学习笔记(电子版）知识点复习-自动发货</t>
        </is>
      </c>
      <c r="B1815" t="inlineStr">
        <is>
          <t>__upload_recvdJwg0YpXn2.jpg</t>
        </is>
      </c>
      <c r="C1815" s="2" t="str">
        <f>=HYPERLINK("https://xhslink.com/m/8LVMtOq4OJ2", "https://xhslink.com/m/8LVMtOq4OJ2")</f>
        <v>https://xhslink.com/m/8LVMtOq4OJ2</v>
      </c>
      <c r="D1815"/>
      <c r="E1815">
        <v>4872</v>
      </c>
      <c r="F1815">
        <v>39.9</v>
      </c>
      <c r="G1815"/>
      <c r="H1815">
        <v>150</v>
      </c>
      <c r="I1815">
        <v>1000</v>
      </c>
      <c r="J1815">
        <v>100</v>
      </c>
      <c r="K1815" t="inlineStr">
        <is>
          <t>初中英语</t>
        </is>
      </c>
      <c r="L1815"/>
      <c r="M1815" t="inlineStr">
        <is>
          <t>三水爱学习的店</t>
        </is>
      </c>
      <c r="N1815">
        <v>11000</v>
      </c>
      <c r="O1815">
        <v>4.39</v>
      </c>
      <c r="P1815">
        <v>24000</v>
      </c>
      <c r="Q1815" t="inlineStr">
        <is>
          <t>681c7831794ce20001b6ca83</t>
        </is>
      </c>
      <c r="R1815" t="inlineStr">
        <is>
          <t>🚫重复</t>
        </is>
      </c>
      <c r="S1815" t="inlineStr">
        <is>
          <t>中小学教辅/教材</t>
        </is>
      </c>
      <c r="T1815" t="inlineStr">
        <is>
          <t>0.44</t>
        </is>
      </c>
      <c r="U1815" s="3">
        <v>46112.78107638889</v>
      </c>
      <c r="V1815"/>
      <c r="W1815" s="3">
        <v>46080.54703703704</v>
      </c>
      <c r="X1815" t="inlineStr">
        <is>
          <t>02</t>
        </is>
      </c>
      <c r="Y1815" t="inlineStr">
        <is>
          <t>2026-Q1</t>
        </is>
      </c>
    </row>
    <row r="1816" ht="38.25" customHeight="1">
      <c r="A1816" t="inlineStr">
        <is>
          <t>学而思 · 初中英语语法中考考频分区速学词汇语法单词考点复习</t>
        </is>
      </c>
      <c r="B1816" t="inlineStr">
        <is>
          <t>__upload_recvdJwg0YXZmn.jpg</t>
        </is>
      </c>
      <c r="C1816" s="2" t="str">
        <f>=HYPERLINK("https://xhslink.com/m/1GqyUxZcHTP", "https://xhslink.com/m/1GqyUxZcHTP")</f>
        <v>https://xhslink.com/m/1GqyUxZcHTP</v>
      </c>
      <c r="D1816"/>
      <c r="E1816">
        <v>4310</v>
      </c>
      <c r="F1816">
        <v>59.9</v>
      </c>
      <c r="G1816"/>
      <c r="H1816">
        <v>250</v>
      </c>
      <c r="I1816">
        <v>1000</v>
      </c>
      <c r="J1816">
        <v>100</v>
      </c>
      <c r="K1816" t="inlineStr">
        <is>
          <t>初中英语</t>
        </is>
      </c>
      <c r="L1816"/>
      <c r="M1816" t="inlineStr">
        <is>
          <t>张学姐的店</t>
        </is>
      </c>
      <c r="N1816">
        <v>6184</v>
      </c>
      <c r="O1816">
        <v>4.53</v>
      </c>
      <c r="P1816">
        <v>14000</v>
      </c>
      <c r="Q1816" t="inlineStr">
        <is>
          <t>65af69e1c4fe9f0001542f90</t>
        </is>
      </c>
      <c r="R1816" t="inlineStr">
        <is>
          <t>🚫重复</t>
        </is>
      </c>
      <c r="S1816" t="inlineStr">
        <is>
          <t>中小学教辅/教材</t>
        </is>
      </c>
      <c r="T1816" t="inlineStr">
        <is>
          <t>0.70</t>
        </is>
      </c>
      <c r="U1816" s="3">
        <v>46112.78107638889</v>
      </c>
      <c r="V1816"/>
      <c r="W1816" s="3">
        <v>46080.54703703704</v>
      </c>
      <c r="X1816" t="inlineStr">
        <is>
          <t>02</t>
        </is>
      </c>
      <c r="Y1816" t="inlineStr">
        <is>
          <t>2026-Q1</t>
        </is>
      </c>
    </row>
    <row r="1817" ht="38.25" customHeight="1">
      <c r="A1817" t="inlineStr">
        <is>
          <t>初中英语作文全套提升辅导资料全国通用版（电子资料）</t>
        </is>
      </c>
      <c r="B1817" t="inlineStr">
        <is>
          <t>__upload_recvdJwg0YQzOL.jpg</t>
        </is>
      </c>
      <c r="C1817" s="2" t="str">
        <f>=HYPERLINK("https://xhslink.com/m/8hqMC50Auu3", "https://xhslink.com/m/8hqMC50Auu3")</f>
        <v>https://xhslink.com/m/8hqMC50Auu3</v>
      </c>
      <c r="D1817"/>
      <c r="E1817">
        <v>3405</v>
      </c>
      <c r="F1817">
        <v>19.9</v>
      </c>
      <c r="G1817"/>
      <c r="H1817">
        <v>200</v>
      </c>
      <c r="I1817">
        <v>1000</v>
      </c>
      <c r="J1817">
        <v>100</v>
      </c>
      <c r="K1817" t="inlineStr">
        <is>
          <t>初中英语</t>
        </is>
      </c>
      <c r="L1817"/>
      <c r="M1817" t="inlineStr">
        <is>
          <t>目标100000粉的在职老师的店</t>
        </is>
      </c>
      <c r="N1817">
        <v>21000</v>
      </c>
      <c r="O1817">
        <v>4.61</v>
      </c>
      <c r="P1817">
        <v>8223</v>
      </c>
      <c r="Q1817" t="inlineStr">
        <is>
          <t>676ab7ccb1267e0001d0f699</t>
        </is>
      </c>
      <c r="R1817"/>
      <c r="S1817" t="inlineStr">
        <is>
          <t>中小学教辅/教材</t>
        </is>
      </c>
      <c r="T1817" t="inlineStr">
        <is>
          <t>0.16</t>
        </is>
      </c>
      <c r="U1817" s="3">
        <v>46112.78107638889</v>
      </c>
      <c r="V1817"/>
      <c r="W1817" s="3">
        <v>46080.54703703704</v>
      </c>
      <c r="X1817" t="inlineStr">
        <is>
          <t>02</t>
        </is>
      </c>
      <c r="Y1817" t="inlineStr">
        <is>
          <t>2026-Q1</t>
        </is>
      </c>
    </row>
    <row r="1818" ht="38.25" customHeight="1">
      <c r="A1818" t="inlineStr">
        <is>
          <t>2026新人教版初中英语七八九年级上下册PPT课件教案学案教学设计</t>
        </is>
      </c>
      <c r="B1818" t="inlineStr">
        <is>
          <t>__upload_recvdJwg0YvL9M.jpg</t>
        </is>
      </c>
      <c r="C1818" s="2" t="str">
        <f>=HYPERLINK("https://xhslink.com/m/6FfAZzEhjv6", "https://xhslink.com/m/6FfAZzEhjv6")</f>
        <v>https://xhslink.com/m/6FfAZzEhjv6</v>
      </c>
      <c r="D1818"/>
      <c r="E1818">
        <v>3486</v>
      </c>
      <c r="F1818">
        <v>50</v>
      </c>
      <c r="G1818"/>
      <c r="H1818">
        <v>100</v>
      </c>
      <c r="I1818">
        <v>1000</v>
      </c>
      <c r="J1818">
        <v>100</v>
      </c>
      <c r="K1818" t="inlineStr">
        <is>
          <t>初中英语</t>
        </is>
      </c>
      <c r="L1818"/>
      <c r="M1818" t="inlineStr">
        <is>
          <t>张老师智慧屋的店</t>
        </is>
      </c>
      <c r="N1818">
        <v>3927</v>
      </c>
      <c r="O1818">
        <v>4.23</v>
      </c>
      <c r="P1818">
        <v>9244</v>
      </c>
      <c r="Q1818" t="inlineStr">
        <is>
          <t>682c12db7d841b00018b9e27</t>
        </is>
      </c>
      <c r="R1818" t="inlineStr">
        <is>
          <t>🚫重复</t>
        </is>
      </c>
      <c r="S1818" t="inlineStr">
        <is>
          <t>中小学教辅/教材</t>
        </is>
      </c>
      <c r="T1818" t="inlineStr">
        <is>
          <t>0.89</t>
        </is>
      </c>
      <c r="U1818" s="3">
        <v>46112.78107638889</v>
      </c>
      <c r="V1818"/>
      <c r="W1818" s="3">
        <v>46080.54703703704</v>
      </c>
      <c r="X1818" t="inlineStr">
        <is>
          <t>02</t>
        </is>
      </c>
      <c r="Y1818" t="inlineStr">
        <is>
          <t>2026-Q1</t>
        </is>
      </c>
    </row>
    <row r="1819" ht="38.25" customHeight="1">
      <c r="A1819" t="inlineStr">
        <is>
          <t>2025人教版初中英语试卷单元测试期中期末复习七八九年级上下册</t>
        </is>
      </c>
      <c r="B1819" t="inlineStr">
        <is>
          <t>__upload_recvdJwg0YRA2u.jpg</t>
        </is>
      </c>
      <c r="C1819" s="2" t="str">
        <f>=HYPERLINK("https://xhslink.com/m/5ICCUI7HPyJ", "https://xhslink.com/m/5ICCUI7HPyJ")</f>
        <v>https://xhslink.com/m/5ICCUI7HPyJ</v>
      </c>
      <c r="D1819"/>
      <c r="E1819">
        <v>3172</v>
      </c>
      <c r="F1819">
        <v>9.9</v>
      </c>
      <c r="G1819"/>
      <c r="H1819">
        <v>300</v>
      </c>
      <c r="I1819">
        <v>1000</v>
      </c>
      <c r="J1819">
        <v>100</v>
      </c>
      <c r="K1819" t="inlineStr">
        <is>
          <t>初中英语</t>
        </is>
      </c>
      <c r="L1819" t="inlineStr">
        <is>
          <t>🔥低粉爆款</t>
        </is>
      </c>
      <c r="M1819" t="inlineStr">
        <is>
          <t>知识暖阳的店</t>
        </is>
      </c>
      <c r="N1819">
        <v>1051</v>
      </c>
      <c r="O1819">
        <v>4.55</v>
      </c>
      <c r="P1819">
        <v>8265</v>
      </c>
      <c r="Q1819" t="inlineStr">
        <is>
          <t>688cce5902d7b000010ecc39</t>
        </is>
      </c>
      <c r="R1819" t="inlineStr">
        <is>
          <t>🚫重复</t>
        </is>
      </c>
      <c r="S1819" t="inlineStr">
        <is>
          <t>中小学教辅/教材</t>
        </is>
      </c>
      <c r="T1819" t="inlineStr">
        <is>
          <t>3.02</t>
        </is>
      </c>
      <c r="U1819" s="3">
        <v>46112.78107638889</v>
      </c>
      <c r="V1819"/>
      <c r="W1819" s="3">
        <v>46080.54703703704</v>
      </c>
      <c r="X1819" t="inlineStr">
        <is>
          <t>02</t>
        </is>
      </c>
      <c r="Y1819" t="inlineStr">
        <is>
          <t>2026-Q1</t>
        </is>
      </c>
    </row>
    <row r="1820" ht="38.25" customHeight="1">
      <c r="A1820" t="inlineStr">
        <is>
          <t>上岸熊·26上教资笔试中学科三重点笔记/精讲课</t>
        </is>
      </c>
      <c r="B1820" t="inlineStr">
        <is>
          <t>__upload_recvdJwg0YZGpg.jpg</t>
        </is>
      </c>
      <c r="C1820" s="2" t="str">
        <f>=HYPERLINK("https://xhslink.com/m/9pRNBwkWFFy", "https://xhslink.com/m/9pRNBwkWFFy")</f>
        <v>https://xhslink.com/m/9pRNBwkWFFy</v>
      </c>
      <c r="D1820"/>
      <c r="E1820">
        <v>2692</v>
      </c>
      <c r="F1820">
        <v>29.9</v>
      </c>
      <c r="G1820"/>
      <c r="H1820">
        <v>650</v>
      </c>
      <c r="I1820">
        <v>1000</v>
      </c>
      <c r="J1820">
        <v>100</v>
      </c>
      <c r="K1820" t="inlineStr">
        <is>
          <t>初中英语</t>
        </is>
      </c>
      <c r="L1820"/>
      <c r="M1820" t="inlineStr">
        <is>
          <t>珞珞Y资料库的店</t>
        </is>
      </c>
      <c r="N1820">
        <v>6457</v>
      </c>
      <c r="O1820">
        <v>4.68</v>
      </c>
      <c r="P1820">
        <v>18000</v>
      </c>
      <c r="Q1820" t="inlineStr">
        <is>
          <t>681ad64a0e004a00010767eb</t>
        </is>
      </c>
      <c r="R1820" t="inlineStr">
        <is>
          <t>🚫重复</t>
        </is>
      </c>
      <c r="S1820" t="inlineStr">
        <is>
          <t>教资资料</t>
        </is>
      </c>
      <c r="T1820" t="inlineStr">
        <is>
          <t>0.42</t>
        </is>
      </c>
      <c r="U1820" s="3">
        <v>46112.78107638889</v>
      </c>
      <c r="V1820"/>
      <c r="W1820" s="3">
        <v>46080.54703703704</v>
      </c>
      <c r="X1820" t="inlineStr">
        <is>
          <t>02</t>
        </is>
      </c>
      <c r="Y1820" t="inlineStr">
        <is>
          <t>2026-Q1</t>
        </is>
      </c>
    </row>
    <row r="1821" ht="38.25" customHeight="1">
      <c r="A1821" t="inlineStr">
        <is>
          <t>2026春季新人教版初中英语七八九年级上下册PPT课件教案音频练习</t>
        </is>
      </c>
      <c r="B1821" t="inlineStr">
        <is>
          <t>__upload_recvdJwg0YS0Mj.jpg</t>
        </is>
      </c>
      <c r="C1821" s="2" t="str">
        <f>=HYPERLINK("https://xhslink.com/m/4KQOKydwVTZ", "https://xhslink.com/m/4KQOKydwVTZ")</f>
        <v>https://xhslink.com/m/4KQOKydwVTZ</v>
      </c>
      <c r="D1821"/>
      <c r="E1821">
        <v>2595</v>
      </c>
      <c r="F1821">
        <v>26.8</v>
      </c>
      <c r="G1821"/>
      <c r="H1821">
        <v>200</v>
      </c>
      <c r="I1821">
        <v>1000</v>
      </c>
      <c r="J1821">
        <v>100</v>
      </c>
      <c r="K1821" t="inlineStr">
        <is>
          <t>初中英语</t>
        </is>
      </c>
      <c r="L1821"/>
      <c r="M1821" t="inlineStr">
        <is>
          <t>爱学习的小红帽的店</t>
        </is>
      </c>
      <c r="N1821">
        <v>4144</v>
      </c>
      <c r="O1821">
        <v>4.58</v>
      </c>
      <c r="P1821">
        <v>21000</v>
      </c>
      <c r="Q1821" t="inlineStr">
        <is>
          <t>67bbf2b97198db000123d974</t>
        </is>
      </c>
      <c r="R1821" t="inlineStr">
        <is>
          <t>🚫重复</t>
        </is>
      </c>
      <c r="S1821" t="inlineStr">
        <is>
          <t>中小学教辅/教材</t>
        </is>
      </c>
      <c r="T1821" t="inlineStr">
        <is>
          <t>0.63</t>
        </is>
      </c>
      <c r="U1821" s="3">
        <v>46112.78107638889</v>
      </c>
      <c r="V1821"/>
      <c r="W1821" s="3">
        <v>46080.54703703704</v>
      </c>
      <c r="X1821" t="inlineStr">
        <is>
          <t>02</t>
        </is>
      </c>
      <c r="Y1821" t="inlineStr">
        <is>
          <t>2026-Q1</t>
        </is>
      </c>
    </row>
    <row r="1822" ht="38.25" customHeight="1">
      <c r="A1822" t="inlineStr">
        <is>
          <t>人教PEP版（在规格中选择不同年级的单词表或默写表）PDF电子版</t>
        </is>
      </c>
      <c r="B1822" t="inlineStr">
        <is>
          <t>__upload_recvdJwg0YkeSp.jpg</t>
        </is>
      </c>
      <c r="C1822" s="2" t="str">
        <f>=HYPERLINK("https://xhslink.com/m/6p3sWGfIwnS", "https://xhslink.com/m/6p3sWGfIwnS")</f>
        <v>https://xhslink.com/m/6p3sWGfIwnS</v>
      </c>
      <c r="D1822"/>
      <c r="E1822">
        <v>1646</v>
      </c>
      <c r="F1822">
        <v>25.9</v>
      </c>
      <c r="G1822"/>
      <c r="H1822">
        <v>750</v>
      </c>
      <c r="I1822">
        <v>1000</v>
      </c>
      <c r="J1822">
        <v>100</v>
      </c>
      <c r="K1822" t="inlineStr">
        <is>
          <t>初中英语</t>
        </is>
      </c>
      <c r="L1822"/>
      <c r="M1822" t="inlineStr">
        <is>
          <t>vivi妈妈英语书桌的店</t>
        </is>
      </c>
      <c r="N1822">
        <v>770</v>
      </c>
      <c r="O1822">
        <v>4.58</v>
      </c>
      <c r="P1822">
        <v>3035</v>
      </c>
      <c r="Q1822" t="inlineStr">
        <is>
          <t>698844fe880da200019d6359</t>
        </is>
      </c>
      <c r="R1822"/>
      <c r="S1822" t="inlineStr">
        <is>
          <t>中小学教辅/教材</t>
        </is>
      </c>
      <c r="T1822" t="inlineStr">
        <is>
          <t>2.14</t>
        </is>
      </c>
      <c r="U1822" s="3">
        <v>46112.78107638889</v>
      </c>
      <c r="V1822"/>
      <c r="W1822" s="3">
        <v>46080.54703703704</v>
      </c>
      <c r="X1822" t="inlineStr">
        <is>
          <t>02</t>
        </is>
      </c>
      <c r="Y1822" t="inlineStr">
        <is>
          <t>2026-Q1</t>
        </is>
      </c>
    </row>
    <row r="1823" ht="38.25" customHeight="1">
      <c r="A1823" t="inlineStr">
        <is>
          <t>26版快捷英语 英语时文阅读理解30期七年级八年级中考</t>
        </is>
      </c>
      <c r="B1823" t="inlineStr">
        <is>
          <t>__upload_recvdJwg0YX12e.jpg</t>
        </is>
      </c>
      <c r="C1823" s="2" t="str">
        <f>=HYPERLINK("https://xhslink.com/m/4qRDr1j3eag", "https://xhslink.com/m/4qRDr1j3eag")</f>
        <v>https://xhslink.com/m/4qRDr1j3eag</v>
      </c>
      <c r="D1823"/>
      <c r="E1823">
        <v>1362</v>
      </c>
      <c r="F1823">
        <v>29.8</v>
      </c>
      <c r="G1823"/>
      <c r="H1823">
        <v>100</v>
      </c>
      <c r="I1823">
        <v>1000</v>
      </c>
      <c r="J1823">
        <v>100</v>
      </c>
      <c r="K1823" t="inlineStr">
        <is>
          <t>初中英语</t>
        </is>
      </c>
      <c r="L1823" t="inlineStr">
        <is>
          <t>🔥低粉爆款</t>
        </is>
      </c>
      <c r="M1823" t="inlineStr">
        <is>
          <t>新阅图书的店</t>
        </is>
      </c>
      <c r="N1823">
        <v>106</v>
      </c>
      <c r="O1823">
        <v>4.63</v>
      </c>
      <c r="P1823">
        <v>7600</v>
      </c>
      <c r="Q1823" t="inlineStr">
        <is>
          <t>692ea83d4977f300016964f8</t>
        </is>
      </c>
      <c r="R1823" t="inlineStr">
        <is>
          <t>🚫重复</t>
        </is>
      </c>
      <c r="S1823" t="inlineStr">
        <is>
          <t>中小学教辅/教材</t>
        </is>
      </c>
      <c r="T1823" t="inlineStr">
        <is>
          <t>12.85</t>
        </is>
      </c>
      <c r="U1823" s="3">
        <v>46112.78107638889</v>
      </c>
      <c r="V1823"/>
      <c r="W1823" s="3">
        <v>46080.54703703704</v>
      </c>
      <c r="X1823" t="inlineStr">
        <is>
          <t>02</t>
        </is>
      </c>
      <c r="Y1823" t="inlineStr">
        <is>
          <t>2026-Q1</t>
        </is>
      </c>
    </row>
    <row r="1824" ht="38.25" customHeight="1">
      <c r="A1824" t="inlineStr">
        <is>
          <t>牧狼人 · 21世纪英语报二十一世纪英文报学生英语报纸25-26年小学初中高中</t>
        </is>
      </c>
      <c r="B1824" t="inlineStr">
        <is>
          <t>__upload_recvdJwg0Y5uUe.jpg</t>
        </is>
      </c>
      <c r="C1824" s="2" t="str">
        <f>=HYPERLINK("https://xhslink.com/m/5Ffaj3FaWgx", "https://xhslink.com/m/5Ffaj3FaWgx")</f>
        <v>https://xhslink.com/m/5Ffaj3FaWgx</v>
      </c>
      <c r="D1824"/>
      <c r="E1824">
        <v>1272</v>
      </c>
      <c r="F1824">
        <v>180</v>
      </c>
      <c r="G1824"/>
      <c r="H1824">
        <v>150</v>
      </c>
      <c r="I1824">
        <v>1000</v>
      </c>
      <c r="J1824">
        <v>100</v>
      </c>
      <c r="K1824" t="inlineStr">
        <is>
          <t>初中英语</t>
        </is>
      </c>
      <c r="L1824"/>
      <c r="M1824" t="inlineStr">
        <is>
          <t>牧狼人杂志旗舰店</t>
        </is>
      </c>
      <c r="N1824">
        <v>14000</v>
      </c>
      <c r="O1824">
        <v>4.78</v>
      </c>
      <c r="P1824">
        <v>34000</v>
      </c>
      <c r="Q1824" t="inlineStr">
        <is>
          <t>695dd658bb020d0001f0cef7</t>
        </is>
      </c>
      <c r="R1824" t="inlineStr">
        <is>
          <t>🚫重复</t>
        </is>
      </c>
      <c r="S1824" t="inlineStr">
        <is>
          <t>英语资料</t>
        </is>
      </c>
      <c r="T1824" t="inlineStr">
        <is>
          <t>0.09</t>
        </is>
      </c>
      <c r="U1824" s="3">
        <v>46112.78107638889</v>
      </c>
      <c r="V1824"/>
      <c r="W1824" s="3">
        <v>46080.54703703704</v>
      </c>
      <c r="X1824" t="inlineStr">
        <is>
          <t>02</t>
        </is>
      </c>
      <c r="Y1824" t="inlineStr">
        <is>
          <t>2026-Q1</t>
        </is>
      </c>
    </row>
    <row r="1825" ht="38.25" customHeight="1">
      <c r="A1825" t="inlineStr">
        <is>
          <t>华理社 · 上海专版语数英沪上优学指向核心素养初中优秀教学设计 2026新版</t>
        </is>
      </c>
      <c r="B1825" t="inlineStr">
        <is>
          <t>__upload_recvdJwg0Y769t.jpg</t>
        </is>
      </c>
      <c r="C1825" s="2" t="str">
        <f>=HYPERLINK("https://xhslink.com/m/AyZco1ckBmn", "https://xhslink.com/m/AyZco1ckBmn")</f>
        <v>https://xhslink.com/m/AyZco1ckBmn</v>
      </c>
      <c r="D1825"/>
      <c r="E1825">
        <v>1055</v>
      </c>
      <c r="F1825">
        <v>39.2</v>
      </c>
      <c r="G1825"/>
      <c r="H1825">
        <v>350</v>
      </c>
      <c r="I1825">
        <v>1000</v>
      </c>
      <c r="J1825">
        <v>100</v>
      </c>
      <c r="K1825" t="inlineStr">
        <is>
          <t>初中英语</t>
        </is>
      </c>
      <c r="L1825"/>
      <c r="M1825" t="inlineStr">
        <is>
          <t>华理社旗舰店</t>
        </is>
      </c>
      <c r="N1825">
        <v>15000</v>
      </c>
      <c r="O1825">
        <v>4.91</v>
      </c>
      <c r="P1825">
        <v>47000</v>
      </c>
      <c r="Q1825" t="inlineStr">
        <is>
          <t>695b605eb249210001cbc7d1</t>
        </is>
      </c>
      <c r="R1825" t="inlineStr">
        <is>
          <t>🚫重复</t>
        </is>
      </c>
      <c r="S1825" t="inlineStr">
        <is>
          <t>中小学教辅/教材</t>
        </is>
      </c>
      <c r="T1825" t="inlineStr">
        <is>
          <t>0.07</t>
        </is>
      </c>
      <c r="U1825" s="3">
        <v>46112.78107638889</v>
      </c>
      <c r="V1825"/>
      <c r="W1825" s="3">
        <v>46080.54703703704</v>
      </c>
      <c r="X1825" t="inlineStr">
        <is>
          <t>02</t>
        </is>
      </c>
      <c r="Y1825" t="inlineStr">
        <is>
          <t>2026-Q1</t>
        </is>
      </c>
    </row>
    <row r="1826" ht="38.25" customHeight="1">
      <c r="A1826" t="inlineStr">
        <is>
          <t>2026 中考数学每日一道压轴题（电子版）</t>
        </is>
      </c>
      <c r="B1826" t="inlineStr">
        <is>
          <t>__upload_recvdJwg0Y12xH.jpg</t>
        </is>
      </c>
      <c r="C1826" s="2" t="str">
        <f>=HYPERLINK("https://xhslink.com/m/AQRXn7cmKel", "https://xhslink.com/m/AQRXn7cmKel")</f>
        <v>https://xhslink.com/m/AQRXn7cmKel</v>
      </c>
      <c r="D1826"/>
      <c r="E1826">
        <v>1041</v>
      </c>
      <c r="F1826">
        <v>9.9</v>
      </c>
      <c r="G1826"/>
      <c r="H1826">
        <v>100</v>
      </c>
      <c r="I1826">
        <v>1000</v>
      </c>
      <c r="J1826">
        <v>100</v>
      </c>
      <c r="K1826" t="inlineStr">
        <is>
          <t>初中英语</t>
        </is>
      </c>
      <c r="L1826"/>
      <c r="M1826" t="inlineStr">
        <is>
          <t>莫等闲（收徒）的店</t>
        </is>
      </c>
      <c r="N1826">
        <v>38000</v>
      </c>
      <c r="O1826">
        <v>4.26</v>
      </c>
      <c r="P1826">
        <v>10000</v>
      </c>
      <c r="Q1826" t="inlineStr">
        <is>
          <t>692669452aa9d00001d80ea6</t>
        </is>
      </c>
      <c r="R1826"/>
      <c r="S1826" t="inlineStr">
        <is>
          <t>中小学教辅/教材</t>
        </is>
      </c>
      <c r="T1826" t="inlineStr">
        <is>
          <t>0.03</t>
        </is>
      </c>
      <c r="U1826" s="3">
        <v>46112.78107638889</v>
      </c>
      <c r="V1826"/>
      <c r="W1826" s="3">
        <v>46080.54703703704</v>
      </c>
      <c r="X1826" t="inlineStr">
        <is>
          <t>02</t>
        </is>
      </c>
      <c r="Y1826" t="inlineStr">
        <is>
          <t>2026-Q1</t>
        </is>
      </c>
    </row>
    <row r="1827" ht="38.25" customHeight="1">
      <c r="A1827" t="inlineStr">
        <is>
          <t>2025新版人教版初中英语资料课件ppt教案学案试题试卷音频word</t>
        </is>
      </c>
      <c r="B1827" t="inlineStr">
        <is>
          <t>__upload_recvdJwg0YPS7X.jpg</t>
        </is>
      </c>
      <c r="C1827" s="2" t="str">
        <f>=HYPERLINK("https://xhslink.com/m/7LO4KMp3btv", "https://xhslink.com/m/7LO4KMp3btv")</f>
        <v>https://xhslink.com/m/7LO4KMp3btv</v>
      </c>
      <c r="D1827"/>
      <c r="E1827">
        <v>968</v>
      </c>
      <c r="F1827">
        <v>7.99</v>
      </c>
      <c r="G1827"/>
      <c r="H1827">
        <v>150</v>
      </c>
      <c r="I1827"/>
      <c r="J1827">
        <v>100</v>
      </c>
      <c r="K1827" t="inlineStr">
        <is>
          <t>初中英语</t>
        </is>
      </c>
      <c r="L1827"/>
      <c r="M1827" t="inlineStr">
        <is>
          <t>米奇卡蹦脆的店</t>
        </is>
      </c>
      <c r="N1827">
        <v>898</v>
      </c>
      <c r="O1827">
        <v>4.17</v>
      </c>
      <c r="P1827">
        <v>1770</v>
      </c>
      <c r="Q1827" t="inlineStr">
        <is>
          <t>68a410911745f6000113c0e3</t>
        </is>
      </c>
      <c r="R1827"/>
      <c r="S1827" t="inlineStr">
        <is>
          <t>中小学教辅/教材</t>
        </is>
      </c>
      <c r="T1827" t="inlineStr">
        <is>
          <t>1.08</t>
        </is>
      </c>
      <c r="U1827" s="3">
        <v>46112.78107638889</v>
      </c>
      <c r="V1827"/>
      <c r="W1827" s="3">
        <v>46080.54703703704</v>
      </c>
      <c r="X1827" t="inlineStr">
        <is>
          <t>02</t>
        </is>
      </c>
      <c r="Y1827" t="inlineStr">
        <is>
          <t>2026-Q1</t>
        </is>
      </c>
    </row>
    <row r="1828" ht="38.25" customHeight="1">
      <c r="A1828" t="inlineStr">
        <is>
          <t>新八下人教版英语讲义＋配套课件</t>
        </is>
      </c>
      <c r="B1828" t="inlineStr">
        <is>
          <t>__upload_recvdJwg0YwseY.jpg</t>
        </is>
      </c>
      <c r="C1828" s="2" t="str">
        <f>=HYPERLINK("https://xhslink.com/m/8CE53CrXjdT", "https://xhslink.com/m/8CE53CrXjdT")</f>
        <v>https://xhslink.com/m/8CE53CrXjdT</v>
      </c>
      <c r="D1828"/>
      <c r="E1828">
        <v>941</v>
      </c>
      <c r="F1828">
        <v>128</v>
      </c>
      <c r="G1828"/>
      <c r="H1828">
        <v>500</v>
      </c>
      <c r="I1828"/>
      <c r="J1828">
        <v>100</v>
      </c>
      <c r="K1828" t="inlineStr">
        <is>
          <t>初中英语</t>
        </is>
      </c>
      <c r="L1828"/>
      <c r="M1828" t="inlineStr">
        <is>
          <t>Monica原创精品讲义（课件)的店</t>
        </is>
      </c>
      <c r="N1828">
        <v>5834</v>
      </c>
      <c r="O1828">
        <v>4.64</v>
      </c>
      <c r="P1828">
        <v>8882</v>
      </c>
      <c r="Q1828" t="inlineStr">
        <is>
          <t>693f60bf3753f700016890ad</t>
        </is>
      </c>
      <c r="R1828" t="inlineStr">
        <is>
          <t>🚫重复</t>
        </is>
      </c>
      <c r="S1828" t="inlineStr">
        <is>
          <t>中小学教辅/教材</t>
        </is>
      </c>
      <c r="T1828" t="inlineStr">
        <is>
          <t>0.16</t>
        </is>
      </c>
      <c r="U1828" s="3">
        <v>46112.78107638889</v>
      </c>
      <c r="V1828"/>
      <c r="W1828" s="3">
        <v>46080.54703703704</v>
      </c>
      <c r="X1828" t="inlineStr">
        <is>
          <t>02</t>
        </is>
      </c>
      <c r="Y1828" t="inlineStr">
        <is>
          <t>2026-Q1</t>
        </is>
      </c>
    </row>
    <row r="1829" ht="38.25" customHeight="1">
      <c r="A1829" t="inlineStr">
        <is>
          <t>英语教资科目三（初高中通用）</t>
        </is>
      </c>
      <c r="B1829" t="inlineStr">
        <is>
          <t>__upload_recvdJwg0YKbTP.jpg</t>
        </is>
      </c>
      <c r="C1829" s="2" t="str">
        <f>=HYPERLINK("https://xhslink.com/m/6xW5tHnIk8n", "https://xhslink.com/m/6xW5tHnIk8n")</f>
        <v>https://xhslink.com/m/6xW5tHnIk8n</v>
      </c>
      <c r="D1829"/>
      <c r="E1829">
        <v>918</v>
      </c>
      <c r="F1829">
        <v>34</v>
      </c>
      <c r="G1829"/>
      <c r="H1829">
        <v>100</v>
      </c>
      <c r="I1829"/>
      <c r="J1829">
        <v>100</v>
      </c>
      <c r="K1829" t="inlineStr">
        <is>
          <t>初中英语</t>
        </is>
      </c>
      <c r="L1829"/>
      <c r="M1829" t="inlineStr">
        <is>
          <t>小7的学习日记的店</t>
        </is>
      </c>
      <c r="N1829">
        <v>4413</v>
      </c>
      <c r="O1829">
        <v>4.55</v>
      </c>
      <c r="P1829">
        <v>2280</v>
      </c>
      <c r="Q1829" t="inlineStr">
        <is>
          <t>67e8e1fabf527d0001124583</t>
        </is>
      </c>
      <c r="R1829" t="inlineStr">
        <is>
          <t>🚫重复</t>
        </is>
      </c>
      <c r="S1829" t="inlineStr">
        <is>
          <t>教资资料</t>
        </is>
      </c>
      <c r="T1829" t="inlineStr">
        <is>
          <t>0.21</t>
        </is>
      </c>
      <c r="U1829" s="3">
        <v>46112.78107638889</v>
      </c>
      <c r="V1829"/>
      <c r="W1829" s="3">
        <v>46080.54703703704</v>
      </c>
      <c r="X1829" t="inlineStr">
        <is>
          <t>02</t>
        </is>
      </c>
      <c r="Y1829" t="inlineStr">
        <is>
          <t>2026-Q1</t>
        </is>
      </c>
    </row>
    <row r="1830" ht="38.25" customHeight="1">
      <c r="A1830" t="inlineStr">
        <is>
          <t>初中英语写作高分句型仿写每日一练电子版共23页word文档</t>
        </is>
      </c>
      <c r="B1830" t="inlineStr">
        <is>
          <t>__upload_recvdJwg0YYFH6.jpg</t>
        </is>
      </c>
      <c r="C1830" s="2" t="str">
        <f>=HYPERLINK("https://xhslink.com/m/8U2UOlaZXYa", "https://xhslink.com/m/8U2UOlaZXYa")</f>
        <v>https://xhslink.com/m/8U2UOlaZXYa</v>
      </c>
      <c r="D1830"/>
      <c r="E1830">
        <v>864</v>
      </c>
      <c r="F1830">
        <v>9.9</v>
      </c>
      <c r="G1830"/>
      <c r="H1830">
        <v>250</v>
      </c>
      <c r="I1830"/>
      <c r="J1830">
        <v>100</v>
      </c>
      <c r="K1830" t="inlineStr">
        <is>
          <t>初中英语</t>
        </is>
      </c>
      <c r="L1830"/>
      <c r="M1830" t="inlineStr">
        <is>
          <t>汐老师的店</t>
        </is>
      </c>
      <c r="N1830">
        <v>1803</v>
      </c>
      <c r="O1830">
        <v>4</v>
      </c>
      <c r="P1830">
        <v>2659</v>
      </c>
      <c r="Q1830" t="inlineStr">
        <is>
          <t>6880eeb84daa710001693714</t>
        </is>
      </c>
      <c r="R1830" t="inlineStr">
        <is>
          <t>🚫重复</t>
        </is>
      </c>
      <c r="S1830" t="inlineStr">
        <is>
          <t>中小学教辅/教材</t>
        </is>
      </c>
      <c r="T1830" t="inlineStr">
        <is>
          <t>0.48</t>
        </is>
      </c>
      <c r="U1830" s="3">
        <v>46112.78107638889</v>
      </c>
      <c r="V1830"/>
      <c r="W1830" s="3">
        <v>46080.54703703704</v>
      </c>
      <c r="X1830" t="inlineStr">
        <is>
          <t>02</t>
        </is>
      </c>
      <c r="Y1830" t="inlineStr">
        <is>
          <t>2026-Q1</t>
        </is>
      </c>
    </row>
    <row r="1831" ht="38.25" customHeight="1">
      <c r="A1831" t="inlineStr">
        <is>
          <t>人教版中考复习单词默写表背诵表七八九年级PDF版适合九年级 电子</t>
        </is>
      </c>
      <c r="B1831" t="inlineStr">
        <is>
          <t>__upload_recvdJwg0YNvhX.jpg</t>
        </is>
      </c>
      <c r="C1831" s="2" t="str">
        <f>=HYPERLINK("https://xhslink.com/m/8Bw6MpglfGT", "https://xhslink.com/m/8Bw6MpglfGT")</f>
        <v>https://xhslink.com/m/8Bw6MpglfGT</v>
      </c>
      <c r="D1831"/>
      <c r="E1831">
        <v>849</v>
      </c>
      <c r="F1831">
        <v>6.9</v>
      </c>
      <c r="G1831"/>
      <c r="H1831">
        <v>100</v>
      </c>
      <c r="I1831"/>
      <c r="J1831">
        <v>100</v>
      </c>
      <c r="K1831" t="inlineStr">
        <is>
          <t>初中英语</t>
        </is>
      </c>
      <c r="L1831"/>
      <c r="M1831" t="inlineStr">
        <is>
          <t>刷题暴富厂的店</t>
        </is>
      </c>
      <c r="N1831">
        <v>2365</v>
      </c>
      <c r="O1831">
        <v>4.4</v>
      </c>
      <c r="P1831">
        <v>16000</v>
      </c>
      <c r="Q1831" t="inlineStr">
        <is>
          <t>67ebc1cb5d35ce0001ac3871</t>
        </is>
      </c>
      <c r="R1831"/>
      <c r="S1831" t="inlineStr">
        <is>
          <t>中小学教辅/教材</t>
        </is>
      </c>
      <c r="T1831" t="inlineStr">
        <is>
          <t>0.36</t>
        </is>
      </c>
      <c r="U1831" s="3">
        <v>46112.78107638889</v>
      </c>
      <c r="V1831"/>
      <c r="W1831" s="3">
        <v>46080.54703703704</v>
      </c>
      <c r="X1831" t="inlineStr">
        <is>
          <t>02</t>
        </is>
      </c>
      <c r="Y1831" t="inlineStr">
        <is>
          <t>2026-Q1</t>
        </is>
      </c>
    </row>
    <row r="1832" ht="38.25" customHeight="1">
      <c r="A1832" t="inlineStr">
        <is>
          <t>2025新人教英语八下单元知识点梳理与语法讲义（学生档+教师档）</t>
        </is>
      </c>
      <c r="B1832" t="inlineStr">
        <is>
          <t>__upload_recvdJwg0YsCOM.jpg</t>
        </is>
      </c>
      <c r="C1832" s="2" t="str">
        <f>=HYPERLINK("https://xhslink.com/m/1sCrqJMQQl4", "https://xhslink.com/m/1sCrqJMQQl4")</f>
        <v>https://xhslink.com/m/1sCrqJMQQl4</v>
      </c>
      <c r="D1832"/>
      <c r="E1832">
        <v>820</v>
      </c>
      <c r="F1832">
        <v>48</v>
      </c>
      <c r="G1832"/>
      <c r="H1832">
        <v>450</v>
      </c>
      <c r="I1832"/>
      <c r="J1832">
        <v>100</v>
      </c>
      <c r="K1832" t="inlineStr">
        <is>
          <t>初中英语</t>
        </is>
      </c>
      <c r="L1832"/>
      <c r="M1832" t="inlineStr">
        <is>
          <t>教英语的Miss杨的店</t>
        </is>
      </c>
      <c r="N1832">
        <v>5595</v>
      </c>
      <c r="O1832">
        <v>4.55</v>
      </c>
      <c r="P1832">
        <v>23000</v>
      </c>
      <c r="Q1832" t="inlineStr">
        <is>
          <t>694594f1f489e40001de60ba</t>
        </is>
      </c>
      <c r="R1832" t="inlineStr">
        <is>
          <t>🚫重复</t>
        </is>
      </c>
      <c r="S1832" t="inlineStr">
        <is>
          <t>中小学教辅/教材</t>
        </is>
      </c>
      <c r="T1832" t="inlineStr">
        <is>
          <t>0.15</t>
        </is>
      </c>
      <c r="U1832" s="3">
        <v>46112.78107638889</v>
      </c>
      <c r="V1832"/>
      <c r="W1832" s="3">
        <v>46080.54703703704</v>
      </c>
      <c r="X1832" t="inlineStr">
        <is>
          <t>02</t>
        </is>
      </c>
      <c r="Y1832" t="inlineStr">
        <is>
          <t>2026-Q1</t>
        </is>
      </c>
    </row>
    <row r="1833" ht="38.25" customHeight="1">
      <c r="A1833" t="inlineStr">
        <is>
          <t>天星教育 · 2026春初中教材帮七八九年级下册教材同步讲解赠课本答案</t>
        </is>
      </c>
      <c r="B1833" t="inlineStr">
        <is>
          <t>__upload_recvdJwg0Y4Y9n.jpg</t>
        </is>
      </c>
      <c r="C1833" s="2" t="str">
        <f>=HYPERLINK("https://xhslink.com/m/5nbJaU9G1BU", "https://xhslink.com/m/5nbJaU9G1BU")</f>
        <v>https://xhslink.com/m/5nbJaU9G1BU</v>
      </c>
      <c r="D1833"/>
      <c r="E1833">
        <v>733</v>
      </c>
      <c r="F1833">
        <v>38.4</v>
      </c>
      <c r="G1833"/>
      <c r="H1833">
        <v>100</v>
      </c>
      <c r="I1833"/>
      <c r="J1833">
        <v>100</v>
      </c>
      <c r="K1833" t="inlineStr">
        <is>
          <t>初中英语</t>
        </is>
      </c>
      <c r="L1833"/>
      <c r="M1833" t="inlineStr">
        <is>
          <t>天星教育旗舰店</t>
        </is>
      </c>
      <c r="N1833">
        <v>229000</v>
      </c>
      <c r="O1833">
        <v>4.8</v>
      </c>
      <c r="P1833">
        <v>143000</v>
      </c>
      <c r="Q1833" t="inlineStr">
        <is>
          <t>68f731d5c4f89100019f19c3</t>
        </is>
      </c>
      <c r="R1833" t="inlineStr">
        <is>
          <t>🚫重复</t>
        </is>
      </c>
      <c r="S1833" t="inlineStr">
        <is>
          <t>中小学教辅/教材</t>
        </is>
      </c>
      <c r="T1833" t="inlineStr">
        <is>
          <t>0.00</t>
        </is>
      </c>
      <c r="U1833" s="3">
        <v>46112.78107638889</v>
      </c>
      <c r="V1833"/>
      <c r="W1833" s="3">
        <v>46080.54703703704</v>
      </c>
      <c r="X1833" t="inlineStr">
        <is>
          <t>02</t>
        </is>
      </c>
      <c r="Y1833" t="inlineStr">
        <is>
          <t>2026-Q1</t>
        </is>
      </c>
    </row>
    <row r="1834" ht="38.25" customHeight="1">
      <c r="A1834" t="inlineStr">
        <is>
          <t>英语课堂游戏PPT模板小学初中英语课堂趣味互动游戏ppt 自动发货</t>
        </is>
      </c>
      <c r="B1834" t="inlineStr">
        <is>
          <t>__upload_recvdJwg0Y3Yg7.jpg</t>
        </is>
      </c>
      <c r="C1834" s="2" t="str">
        <f>=HYPERLINK("https://xhslink.com/m/6iyano42Th6", "https://xhslink.com/m/6iyano42Th6")</f>
        <v>https://xhslink.com/m/6iyano42Th6</v>
      </c>
      <c r="D1834"/>
      <c r="E1834">
        <v>682</v>
      </c>
      <c r="F1834">
        <v>69.9</v>
      </c>
      <c r="G1834"/>
      <c r="H1834">
        <v>200</v>
      </c>
      <c r="I1834"/>
      <c r="J1834">
        <v>100</v>
      </c>
      <c r="K1834" t="inlineStr">
        <is>
          <t>初中英语</t>
        </is>
      </c>
      <c r="L1834"/>
      <c r="M1834" t="inlineStr">
        <is>
          <t>布丁不是丁的店</t>
        </is>
      </c>
      <c r="N1834">
        <v>1676</v>
      </c>
      <c r="O1834">
        <v>4.57</v>
      </c>
      <c r="P1834">
        <v>2870</v>
      </c>
      <c r="Q1834" t="inlineStr">
        <is>
          <t>68dfb1d1d3eed20001093856</t>
        </is>
      </c>
      <c r="R1834"/>
      <c r="S1834" t="inlineStr">
        <is>
          <t>PPT模板</t>
        </is>
      </c>
      <c r="T1834" t="inlineStr">
        <is>
          <t>0.41</t>
        </is>
      </c>
      <c r="U1834" s="3">
        <v>46112.78107638889</v>
      </c>
      <c r="V1834"/>
      <c r="W1834" s="3">
        <v>46080.54703703704</v>
      </c>
      <c r="X1834" t="inlineStr">
        <is>
          <t>02</t>
        </is>
      </c>
      <c r="Y1834" t="inlineStr">
        <is>
          <t>2026-Q1</t>
        </is>
      </c>
    </row>
    <row r="1835" ht="38.25" customHeight="1">
      <c r="A1835" t="inlineStr">
        <is>
          <t>初中英语作文中考英语作文句型练习英语作文高级句型公式汇总</t>
        </is>
      </c>
      <c r="B1835" t="inlineStr">
        <is>
          <t>__upload_recvdJwg0YHUwL.jpg</t>
        </is>
      </c>
      <c r="C1835" s="2" t="str">
        <f>=HYPERLINK("https://xhslink.com/m/7QwblXtVyoy", "https://xhslink.com/m/7QwblXtVyoy")</f>
        <v>https://xhslink.com/m/7QwblXtVyoy</v>
      </c>
      <c r="D1835"/>
      <c r="E1835">
        <v>705</v>
      </c>
      <c r="F1835">
        <v>9.9</v>
      </c>
      <c r="G1835"/>
      <c r="H1835">
        <v>200</v>
      </c>
      <c r="I1835"/>
      <c r="J1835">
        <v>100</v>
      </c>
      <c r="K1835" t="inlineStr">
        <is>
          <t>初中英语</t>
        </is>
      </c>
      <c r="L1835"/>
      <c r="M1835" t="inlineStr">
        <is>
          <t>学界小筑的店</t>
        </is>
      </c>
      <c r="N1835">
        <v>3173</v>
      </c>
      <c r="O1835">
        <v>4.56</v>
      </c>
      <c r="P1835">
        <v>16000</v>
      </c>
      <c r="Q1835" t="inlineStr">
        <is>
          <t>690eca43dcedc700012dd658</t>
        </is>
      </c>
      <c r="R1835" t="inlineStr">
        <is>
          <t>🚫重复</t>
        </is>
      </c>
      <c r="S1835" t="inlineStr">
        <is>
          <t>中小学教辅/教材</t>
        </is>
      </c>
      <c r="T1835" t="inlineStr">
        <is>
          <t>0.22</t>
        </is>
      </c>
      <c r="U1835" s="3">
        <v>46112.78107638889</v>
      </c>
      <c r="V1835"/>
      <c r="W1835" s="3">
        <v>46080.54703703704</v>
      </c>
      <c r="X1835" t="inlineStr">
        <is>
          <t>02</t>
        </is>
      </c>
      <c r="Y1835" t="inlineStr">
        <is>
          <t>2026-Q1</t>
        </is>
      </c>
    </row>
    <row r="1836" ht="38.25" customHeight="1">
      <c r="A1836" t="inlineStr">
        <is>
          <t>武汉各区初中月考期中期末真题卷合集｜资料会员群（持续更新中）</t>
        </is>
      </c>
      <c r="B1836" t="inlineStr">
        <is>
          <t>__upload_recvdJwg0YvQLf.jpg</t>
        </is>
      </c>
      <c r="C1836" s="2" t="str">
        <f>=HYPERLINK("https://xhslink.com/m/7YcmjonyT81", "https://xhslink.com/m/7YcmjonyT81")</f>
        <v>https://xhslink.com/m/7YcmjonyT81</v>
      </c>
      <c r="D1836"/>
      <c r="E1836">
        <v>509</v>
      </c>
      <c r="F1836">
        <v>169.99</v>
      </c>
      <c r="G1836"/>
      <c r="H1836">
        <v>100</v>
      </c>
      <c r="I1836"/>
      <c r="J1836">
        <v>100</v>
      </c>
      <c r="K1836" t="inlineStr">
        <is>
          <t>初中英语</t>
        </is>
      </c>
      <c r="L1836"/>
      <c r="M1836" t="inlineStr">
        <is>
          <t>奶爸说数学的店</t>
        </is>
      </c>
      <c r="N1836">
        <v>1202</v>
      </c>
      <c r="O1836">
        <v>4.12</v>
      </c>
      <c r="P1836">
        <v>2173</v>
      </c>
      <c r="Q1836" t="inlineStr">
        <is>
          <t>6896fa88e08d4d000133bd38</t>
        </is>
      </c>
      <c r="R1836" t="inlineStr">
        <is>
          <t>🚫重复</t>
        </is>
      </c>
      <c r="S1836" t="inlineStr">
        <is>
          <t>中小学教辅/教材</t>
        </is>
      </c>
      <c r="T1836" t="inlineStr">
        <is>
          <t>0.42</t>
        </is>
      </c>
      <c r="U1836" s="3">
        <v>46112.78107638889</v>
      </c>
      <c r="V1836"/>
      <c r="W1836" s="3">
        <v>46080.54703703704</v>
      </c>
      <c r="X1836" t="inlineStr">
        <is>
          <t>02</t>
        </is>
      </c>
      <c r="Y1836" t="inlineStr">
        <is>
          <t>2026-Q1</t>
        </is>
      </c>
    </row>
    <row r="1837" ht="38.25" customHeight="1">
      <c r="A1837" t="inlineStr">
        <is>
          <t>悦刊 · 英语周报大阅读全年订阅8-12岁小学生英语画报课外知识拓展提升</t>
        </is>
      </c>
      <c r="B1837" t="inlineStr">
        <is>
          <t>__upload_recvdJwg0YUP1d.jpg</t>
        </is>
      </c>
      <c r="C1837" s="2" t="str">
        <f>=HYPERLINK("https://xhslink.com/m/89uuTmAseOv", "https://xhslink.com/m/89uuTmAseOv")</f>
        <v>https://xhslink.com/m/89uuTmAseOv</v>
      </c>
      <c r="D1837"/>
      <c r="E1837">
        <v>1123</v>
      </c>
      <c r="F1837">
        <v>178</v>
      </c>
      <c r="G1837"/>
      <c r="H1837">
        <v>100</v>
      </c>
      <c r="I1837">
        <v>1000</v>
      </c>
      <c r="J1837">
        <v>100</v>
      </c>
      <c r="K1837" t="inlineStr">
        <is>
          <t>小学英语</t>
        </is>
      </c>
      <c r="L1837"/>
      <c r="M1837" t="inlineStr">
        <is>
          <t>悦刊旗舰店</t>
        </is>
      </c>
      <c r="N1837">
        <v>83000</v>
      </c>
      <c r="O1837">
        <v>4.74</v>
      </c>
      <c r="P1837">
        <v>186000</v>
      </c>
      <c r="Q1837" t="inlineStr">
        <is>
          <t>684fe2b10da50d0001f678af</t>
        </is>
      </c>
      <c r="R1837" t="inlineStr">
        <is>
          <t>🚫重复</t>
        </is>
      </c>
      <c r="S1837" t="inlineStr">
        <is>
          <t>中小学教辅/教材</t>
        </is>
      </c>
      <c r="T1837" t="inlineStr">
        <is>
          <t>0.01</t>
        </is>
      </c>
      <c r="U1837" s="3">
        <v>46112.78107638889</v>
      </c>
      <c r="V1837"/>
      <c r="W1837" s="3">
        <v>46080.54703703704</v>
      </c>
      <c r="X1837" t="inlineStr">
        <is>
          <t>02</t>
        </is>
      </c>
      <c r="Y1837" t="inlineStr">
        <is>
          <t>2026-Q1</t>
        </is>
      </c>
    </row>
    <row r="1838" ht="38.25" customHeight="1">
      <c r="A1838" t="inlineStr">
        <is>
          <t>星火英语 · 小学英语阅读训练100篇+听力训练100篇+写作高分范文提升训练</t>
        </is>
      </c>
      <c r="B1838" t="inlineStr">
        <is>
          <t>__upload_recvdJwg0YEa5h.jpg</t>
        </is>
      </c>
      <c r="C1838" s="2" t="str">
        <f>=HYPERLINK("https://xhslink.com/m/3ED93AxblzS", "https://xhslink.com/m/3ED93AxblzS")</f>
        <v>https://xhslink.com/m/3ED93AxblzS</v>
      </c>
      <c r="D1838"/>
      <c r="E1838">
        <v>682</v>
      </c>
      <c r="F1838">
        <v>54.8</v>
      </c>
      <c r="G1838"/>
      <c r="H1838">
        <v>100</v>
      </c>
      <c r="I1838"/>
      <c r="J1838">
        <v>100</v>
      </c>
      <c r="K1838" t="inlineStr">
        <is>
          <t>小学英语</t>
        </is>
      </c>
      <c r="L1838"/>
      <c r="M1838" t="inlineStr">
        <is>
          <t>星火英语旗舰店</t>
        </is>
      </c>
      <c r="N1838">
        <v>146000</v>
      </c>
      <c r="O1838">
        <v>4.79</v>
      </c>
      <c r="P1838">
        <v>47000</v>
      </c>
      <c r="Q1838" t="inlineStr">
        <is>
          <t>6833cf0bfde0e20001018d42</t>
        </is>
      </c>
      <c r="R1838"/>
      <c r="S1838" t="inlineStr">
        <is>
          <t>中小学教辅/教材</t>
        </is>
      </c>
      <c r="T1838" t="inlineStr">
        <is>
          <t>0.00</t>
        </is>
      </c>
      <c r="U1838" s="3">
        <v>46112.78107638889</v>
      </c>
      <c r="V1838"/>
      <c r="W1838" s="3">
        <v>46080.54703703704</v>
      </c>
      <c r="X1838" t="inlineStr">
        <is>
          <t>02</t>
        </is>
      </c>
      <c r="Y1838" t="inlineStr">
        <is>
          <t>2026-Q1</t>
        </is>
      </c>
    </row>
    <row r="1839" ht="38.25" customHeight="1">
      <c r="A1839" t="inlineStr">
        <is>
          <t>2026春季小学英语人教PEP版三四五六年级上册下册ppt课件教案试题</t>
        </is>
      </c>
      <c r="B1839" t="inlineStr">
        <is>
          <t>__upload_recvdJwg0YuQBa.jpg</t>
        </is>
      </c>
      <c r="C1839" s="2" t="str">
        <f>=HYPERLINK("https://xhslink.com/m/20JNi3axjEG", "https://xhslink.com/m/20JNi3axjEG")</f>
        <v>https://xhslink.com/m/20JNi3axjEG</v>
      </c>
      <c r="D1839"/>
      <c r="E1839">
        <v>578</v>
      </c>
      <c r="F1839">
        <v>35.8</v>
      </c>
      <c r="G1839"/>
      <c r="H1839">
        <v>150</v>
      </c>
      <c r="I1839"/>
      <c r="J1839">
        <v>100</v>
      </c>
      <c r="K1839" t="inlineStr">
        <is>
          <t>小学英语</t>
        </is>
      </c>
      <c r="L1839"/>
      <c r="M1839" t="inlineStr">
        <is>
          <t>小小智慧的店</t>
        </is>
      </c>
      <c r="N1839">
        <v>8227</v>
      </c>
      <c r="O1839">
        <v>4.56</v>
      </c>
      <c r="P1839">
        <v>49000</v>
      </c>
      <c r="Q1839" t="inlineStr">
        <is>
          <t>68641ee46152790001252ebc</t>
        </is>
      </c>
      <c r="R1839" t="inlineStr">
        <is>
          <t>🚫重复</t>
        </is>
      </c>
      <c r="S1839" t="inlineStr">
        <is>
          <t>中小学教辅/教材</t>
        </is>
      </c>
      <c r="T1839" t="inlineStr">
        <is>
          <t>0.07</t>
        </is>
      </c>
      <c r="U1839" s="3">
        <v>46112.78107638889</v>
      </c>
      <c r="V1839"/>
      <c r="W1839" s="3">
        <v>46080.54703703704</v>
      </c>
      <c r="X1839" t="inlineStr">
        <is>
          <t>02</t>
        </is>
      </c>
      <c r="Y1839" t="inlineStr">
        <is>
          <t>2026-Q1</t>
        </is>
      </c>
    </row>
    <row r="1840" ht="38.25" customHeight="1">
      <c r="A1840" t="inlineStr">
        <is>
          <t>全网最新版小学英语三四五六年级上下册资料包</t>
        </is>
      </c>
      <c r="B1840" t="inlineStr">
        <is>
          <t>__upload_recvdJwg0YMOlS.jpg</t>
        </is>
      </c>
      <c r="C1840" s="2" t="str">
        <f>=HYPERLINK("https://xhslink.com/m/2DI7IU1mNo", "https://xhslink.com/m/2DI7IU1mNo")</f>
        <v>https://xhslink.com/m/2DI7IU1mNo</v>
      </c>
      <c r="D1840"/>
      <c r="E1840">
        <v>411</v>
      </c>
      <c r="F1840">
        <v>46.6</v>
      </c>
      <c r="G1840"/>
      <c r="H1840">
        <v>200</v>
      </c>
      <c r="I1840"/>
      <c r="J1840">
        <v>100</v>
      </c>
      <c r="K1840" t="inlineStr">
        <is>
          <t>小学英语</t>
        </is>
      </c>
      <c r="L1840"/>
      <c r="M1840" t="inlineStr">
        <is>
          <t>秀秀老师w21的店</t>
        </is>
      </c>
      <c r="N1840">
        <v>4410</v>
      </c>
      <c r="O1840">
        <v>4.68</v>
      </c>
      <c r="P1840">
        <v>1528</v>
      </c>
      <c r="Q1840" t="inlineStr">
        <is>
          <t>693ba7534f2ba20001c4b626</t>
        </is>
      </c>
      <c r="R1840"/>
      <c r="S1840" t="inlineStr">
        <is>
          <t>中小学教辅/教材</t>
        </is>
      </c>
      <c r="T1840" t="inlineStr">
        <is>
          <t>0.09</t>
        </is>
      </c>
      <c r="U1840" s="3">
        <v>46112.78107638889</v>
      </c>
      <c r="V1840"/>
      <c r="W1840" s="3">
        <v>46080.54703703704</v>
      </c>
      <c r="X1840" t="inlineStr">
        <is>
          <t>02</t>
        </is>
      </c>
      <c r="Y1840" t="inlineStr">
        <is>
          <t>2026-Q1</t>
        </is>
      </c>
    </row>
    <row r="1841" ht="38.25" customHeight="1">
      <c r="A1841" t="inlineStr">
        <is>
          <t>2026年最新卫生系统招聘卫健委医疗编事业编考试题库APP</t>
        </is>
      </c>
      <c r="B1841" t="inlineStr">
        <is>
          <t>__upload_recvdJwg0YCl21.jpg</t>
        </is>
      </c>
      <c r="C1841" s="2" t="str">
        <f>=HYPERLINK("https://xhslink.com/m/thHjhmtytg", "https://xhslink.com/m/thHjhmtytg")</f>
        <v>https://xhslink.com/m/thHjhmtytg</v>
      </c>
      <c r="D1841"/>
      <c r="E1841">
        <v>7343</v>
      </c>
      <c r="F1841">
        <v>72</v>
      </c>
      <c r="G1841"/>
      <c r="H1841">
        <v>100</v>
      </c>
      <c r="I1841">
        <v>3000</v>
      </c>
      <c r="J1841">
        <v>100</v>
      </c>
      <c r="K1841" t="inlineStr">
        <is>
          <t>事业编</t>
        </is>
      </c>
      <c r="L1841" t="inlineStr">
        <is>
          <t>🔥低粉爆款</t>
        </is>
      </c>
      <c r="M1841" t="inlineStr">
        <is>
          <t>安夏宝藏的店</t>
        </is>
      </c>
      <c r="N1841">
        <v>1478</v>
      </c>
      <c r="O1841">
        <v>4.47</v>
      </c>
      <c r="P1841">
        <v>9758</v>
      </c>
      <c r="Q1841" t="inlineStr">
        <is>
          <t>68712c2d44854600019d526f</t>
        </is>
      </c>
      <c r="R1841" t="inlineStr">
        <is>
          <t>🚫重复</t>
        </is>
      </c>
      <c r="S1841" t="inlineStr">
        <is>
          <t>软件应用</t>
        </is>
      </c>
      <c r="T1841" t="inlineStr">
        <is>
          <t>4.97</t>
        </is>
      </c>
      <c r="U1841" s="3">
        <v>46112.78107638889</v>
      </c>
      <c r="V1841"/>
      <c r="W1841" s="3">
        <v>46080.54703703704</v>
      </c>
      <c r="X1841" t="inlineStr">
        <is>
          <t>02</t>
        </is>
      </c>
      <c r="Y1841" t="inlineStr">
        <is>
          <t>2026-Q1</t>
        </is>
      </c>
    </row>
    <row r="1842" ht="38.25" customHeight="1">
      <c r="A1842" t="inlineStr">
        <is>
          <t>2026事业单位招聘考试题库公基综应abcd类事业编真题刷题APP资料</t>
        </is>
      </c>
      <c r="B1842" t="inlineStr">
        <is>
          <t>__upload_recvdJwg0YUiz9.jpg</t>
        </is>
      </c>
      <c r="C1842" s="2" t="str">
        <f>=HYPERLINK("https://xhslink.com/m/49vb2qnSknu", "https://xhslink.com/m/49vb2qnSknu")</f>
        <v>https://xhslink.com/m/49vb2qnSknu</v>
      </c>
      <c r="D1842"/>
      <c r="E1842">
        <v>545</v>
      </c>
      <c r="F1842">
        <v>17.98</v>
      </c>
      <c r="G1842"/>
      <c r="H1842">
        <v>150</v>
      </c>
      <c r="I1842"/>
      <c r="J1842">
        <v>100</v>
      </c>
      <c r="K1842" t="inlineStr">
        <is>
          <t>事业编</t>
        </is>
      </c>
      <c r="L1842"/>
      <c r="M1842" t="inlineStr">
        <is>
          <t>六都书店的店</t>
        </is>
      </c>
      <c r="N1842">
        <v>442</v>
      </c>
      <c r="O1842">
        <v>4.54</v>
      </c>
      <c r="P1842">
        <v>35000</v>
      </c>
      <c r="Q1842" t="inlineStr">
        <is>
          <t>68c7d2c0c728400001e5837c</t>
        </is>
      </c>
      <c r="R1842" t="inlineStr">
        <is>
          <t>🚫重复</t>
        </is>
      </c>
      <c r="S1842" t="inlineStr">
        <is>
          <t>软件应用</t>
        </is>
      </c>
      <c r="T1842" t="inlineStr">
        <is>
          <t>1.23</t>
        </is>
      </c>
      <c r="U1842" s="3">
        <v>46112.78107638889</v>
      </c>
      <c r="V1842"/>
      <c r="W1842" s="3">
        <v>46080.54703703704</v>
      </c>
      <c r="X1842" t="inlineStr">
        <is>
          <t>02</t>
        </is>
      </c>
      <c r="Y1842" t="inlineStr">
        <is>
          <t>2026-Q1</t>
        </is>
      </c>
    </row>
    <row r="1843" ht="38.25" customHeight="1">
      <c r="A1843" t="inlineStr">
        <is>
          <t>2026事业单位联考题库事业编综合管理历年真题试卷医疗卫生abcde</t>
        </is>
      </c>
      <c r="B1843" t="inlineStr">
        <is>
          <t>__upload_recvdJwg0YtV0V.jpg</t>
        </is>
      </c>
      <c r="C1843" s="2" t="str">
        <f>=HYPERLINK("https://xhslink.com/m/AD7L03j2cXP", "https://xhslink.com/m/AD7L03j2cXP")</f>
        <v>https://xhslink.com/m/AD7L03j2cXP</v>
      </c>
      <c r="D1843"/>
      <c r="E1843">
        <v>1461</v>
      </c>
      <c r="F1843">
        <v>20.8</v>
      </c>
      <c r="G1843"/>
      <c r="H1843">
        <v>200</v>
      </c>
      <c r="I1843"/>
      <c r="J1843">
        <v>100</v>
      </c>
      <c r="K1843" t="inlineStr">
        <is>
          <t>事业编</t>
        </is>
      </c>
      <c r="L1843"/>
      <c r="M1843" t="inlineStr">
        <is>
          <t>果果study的店</t>
        </is>
      </c>
      <c r="N1843">
        <v>1004</v>
      </c>
      <c r="O1843">
        <v>4.45</v>
      </c>
      <c r="P1843">
        <v>14000</v>
      </c>
      <c r="Q1843" t="inlineStr">
        <is>
          <t>697c232f880da20001539e06</t>
        </is>
      </c>
      <c r="R1843" t="inlineStr">
        <is>
          <t>🚫重复</t>
        </is>
      </c>
      <c r="S1843" t="inlineStr">
        <is>
          <t>无匹配类别</t>
        </is>
      </c>
      <c r="T1843" t="inlineStr">
        <is>
          <t>1.46</t>
        </is>
      </c>
      <c r="U1843" s="3">
        <v>46112.78107638889</v>
      </c>
      <c r="V1843"/>
      <c r="W1843" s="3">
        <v>46080.54703703704</v>
      </c>
      <c r="X1843" t="inlineStr">
        <is>
          <t>02</t>
        </is>
      </c>
      <c r="Y1843" t="inlineStr">
        <is>
          <t>2026-Q1</t>
        </is>
      </c>
    </row>
    <row r="1844" ht="38.25" customHeight="1">
      <c r="A1844" t="inlineStr">
        <is>
          <t>2025事业单位ABCDE类职测综应历年真题与答案解析电子版资料汇总</t>
        </is>
      </c>
      <c r="B1844" t="inlineStr">
        <is>
          <t>__upload_recvdJwg0YrsSh.jpg</t>
        </is>
      </c>
      <c r="C1844" s="2" t="str">
        <f>=HYPERLINK("https://xhslink.com/m/AROxfkxoqet", "https://xhslink.com/m/AROxfkxoqet")</f>
        <v>https://xhslink.com/m/AROxfkxoqet</v>
      </c>
      <c r="D1844"/>
      <c r="E1844">
        <v>879</v>
      </c>
      <c r="F1844">
        <v>3.99</v>
      </c>
      <c r="G1844"/>
      <c r="H1844">
        <v>100</v>
      </c>
      <c r="I1844"/>
      <c r="J1844">
        <v>100</v>
      </c>
      <c r="K1844" t="inlineStr">
        <is>
          <t>事业编</t>
        </is>
      </c>
      <c r="L1844"/>
      <c r="M1844" t="inlineStr">
        <is>
          <t>上岸的墨仔的店</t>
        </is>
      </c>
      <c r="N1844">
        <v>1011</v>
      </c>
      <c r="O1844">
        <v>4.54</v>
      </c>
      <c r="P1844">
        <v>10000</v>
      </c>
      <c r="Q1844" t="inlineStr">
        <is>
          <t>688f686f4daa71000141fcfe</t>
        </is>
      </c>
      <c r="R1844" t="inlineStr">
        <is>
          <t>🚫重复</t>
        </is>
      </c>
      <c r="S1844" t="inlineStr">
        <is>
          <t>考公资料</t>
        </is>
      </c>
      <c r="T1844" t="inlineStr">
        <is>
          <t>0.87</t>
        </is>
      </c>
      <c r="U1844" s="3">
        <v>46112.78107638889</v>
      </c>
      <c r="V1844"/>
      <c r="W1844" s="3">
        <v>46080.54703703704</v>
      </c>
      <c r="X1844" t="inlineStr">
        <is>
          <t>02</t>
        </is>
      </c>
      <c r="Y1844" t="inlineStr">
        <is>
          <t>2026-Q1</t>
        </is>
      </c>
    </row>
    <row r="1845" ht="38.25" customHeight="1">
      <c r="A1845" t="inlineStr">
        <is>
          <t>河南省考资料包：省情+习题、每月时政、历年真题、政府工作报告</t>
        </is>
      </c>
      <c r="B1845" t="inlineStr">
        <is>
          <t>__upload_recvdJwg0YEWXr.jpg</t>
        </is>
      </c>
      <c r="C1845" s="2" t="str">
        <f>=HYPERLINK("https://xhslink.com/m/5CyDNBncrSZ", "https://xhslink.com/m/5CyDNBncrSZ")</f>
        <v>https://xhslink.com/m/5CyDNBncrSZ</v>
      </c>
      <c r="D1845"/>
      <c r="E1845">
        <v>1222</v>
      </c>
      <c r="F1845">
        <v>0.88</v>
      </c>
      <c r="G1845"/>
      <c r="H1845">
        <v>600</v>
      </c>
      <c r="I1845">
        <v>1000</v>
      </c>
      <c r="J1845">
        <v>100</v>
      </c>
      <c r="K1845" t="inlineStr">
        <is>
          <t>省考</t>
        </is>
      </c>
      <c r="L1845"/>
      <c r="M1845" t="inlineStr">
        <is>
          <t>旺旺资料库的店</t>
        </is>
      </c>
      <c r="N1845">
        <v>1045</v>
      </c>
      <c r="O1845">
        <v>4.58</v>
      </c>
      <c r="P1845">
        <v>5773</v>
      </c>
      <c r="Q1845" t="inlineStr">
        <is>
          <t>69219b9755b7d600016ab713</t>
        </is>
      </c>
      <c r="R1845"/>
      <c r="S1845" t="inlineStr">
        <is>
          <t>考公资料</t>
        </is>
      </c>
      <c r="T1845" t="inlineStr">
        <is>
          <t>1.17</t>
        </is>
      </c>
      <c r="U1845" s="3">
        <v>46112.78107638889</v>
      </c>
      <c r="V1845"/>
      <c r="W1845" s="3">
        <v>46080.54703703704</v>
      </c>
      <c r="X1845" t="inlineStr">
        <is>
          <t>02</t>
        </is>
      </c>
      <c r="Y1845" t="inlineStr">
        <is>
          <t>2026-Q1</t>
        </is>
      </c>
    </row>
    <row r="1846" ht="38.25" customHeight="1">
      <c r="A1846" t="inlineStr">
        <is>
          <t>26年公考公务员省考国考历年真题与答案解析+三色笔记</t>
        </is>
      </c>
      <c r="B1846" t="inlineStr">
        <is>
          <t>__upload_recvdJwg0YJSco.jpg</t>
        </is>
      </c>
      <c r="C1846" s="2" t="str">
        <f>=HYPERLINK("https://xhslink.com/m/ZJueTzr1e6", "https://xhslink.com/m/ZJueTzr1e6")</f>
        <v>https://xhslink.com/m/ZJueTzr1e6</v>
      </c>
      <c r="D1846"/>
      <c r="E1846">
        <v>915</v>
      </c>
      <c r="F1846">
        <v>3.69</v>
      </c>
      <c r="G1846"/>
      <c r="H1846">
        <v>350</v>
      </c>
      <c r="I1846"/>
      <c r="J1846">
        <v>100</v>
      </c>
      <c r="K1846" t="inlineStr">
        <is>
          <t>省考</t>
        </is>
      </c>
      <c r="L1846" t="inlineStr">
        <is>
          <t>🔥低粉爆款</t>
        </is>
      </c>
      <c r="M1846" t="inlineStr">
        <is>
          <t>琪琪学姐备考屋的店</t>
        </is>
      </c>
      <c r="N1846">
        <v>184</v>
      </c>
      <c r="O1846">
        <v>4.2</v>
      </c>
      <c r="P1846">
        <v>972</v>
      </c>
      <c r="Q1846" t="inlineStr">
        <is>
          <t>692808eb137a3b00012afe3e</t>
        </is>
      </c>
      <c r="R1846" t="inlineStr">
        <is>
          <t>🚫重复</t>
        </is>
      </c>
      <c r="S1846" t="inlineStr">
        <is>
          <t>考公资料</t>
        </is>
      </c>
      <c r="T1846" t="inlineStr">
        <is>
          <t>4.97</t>
        </is>
      </c>
      <c r="U1846" s="3">
        <v>46112.78107638889</v>
      </c>
      <c r="V1846"/>
      <c r="W1846" s="3">
        <v>46080.54703703704</v>
      </c>
      <c r="X1846" t="inlineStr">
        <is>
          <t>02</t>
        </is>
      </c>
      <c r="Y1846" t="inlineStr">
        <is>
          <t>2026-Q1</t>
        </is>
      </c>
    </row>
    <row r="1847" ht="38.25" customHeight="1">
      <c r="A1847" t="inlineStr">
        <is>
          <t>花生十三 · 逻辑判断600题套装 | 公务员考试国考省考事业单位行测</t>
        </is>
      </c>
      <c r="B1847" t="inlineStr">
        <is>
          <t>__upload_recvdJwg0YkXJ9.jpg</t>
        </is>
      </c>
      <c r="C1847" s="2" t="str">
        <f>=HYPERLINK("https://xhslink.com/m/C5XXeXSue2", "https://xhslink.com/m/C5XXeXSue2")</f>
        <v>https://xhslink.com/m/C5XXeXSue2</v>
      </c>
      <c r="D1847"/>
      <c r="E1847">
        <v>867</v>
      </c>
      <c r="F1847">
        <v>36</v>
      </c>
      <c r="G1847"/>
      <c r="H1847">
        <v>250</v>
      </c>
      <c r="I1847"/>
      <c r="J1847">
        <v>100</v>
      </c>
      <c r="K1847" t="inlineStr">
        <is>
          <t>省考</t>
        </is>
      </c>
      <c r="L1847"/>
      <c r="M1847" t="inlineStr">
        <is>
          <t>四海公考的店</t>
        </is>
      </c>
      <c r="N1847">
        <v>104000</v>
      </c>
      <c r="O1847">
        <v>4.5</v>
      </c>
      <c r="P1847">
        <v>41000</v>
      </c>
      <c r="Q1847" t="inlineStr">
        <is>
          <t>68f590c5cdf9d60001fdff1b</t>
        </is>
      </c>
      <c r="R1847" t="inlineStr">
        <is>
          <t>🚫重复</t>
        </is>
      </c>
      <c r="S1847" t="inlineStr">
        <is>
          <t>考公资料</t>
        </is>
      </c>
      <c r="T1847" t="inlineStr">
        <is>
          <t>0.01</t>
        </is>
      </c>
      <c r="U1847" s="3">
        <v>46112.78107638889</v>
      </c>
      <c r="V1847"/>
      <c r="W1847" s="3">
        <v>46080.54703703704</v>
      </c>
      <c r="X1847" t="inlineStr">
        <is>
          <t>02</t>
        </is>
      </c>
      <c r="Y1847" t="inlineStr">
        <is>
          <t>2026-Q1</t>
        </is>
      </c>
    </row>
    <row r="1848" ht="38.25" customHeight="1">
      <c r="A1848" t="inlineStr">
        <is>
          <t>超格 · 2026省考行测+申论（六合一）超大杯刷题营课程</t>
        </is>
      </c>
      <c r="B1848" t="inlineStr">
        <is>
          <t>__upload_recvdJwg0YaHVf.jpg</t>
        </is>
      </c>
      <c r="C1848" s="2" t="str">
        <f>=HYPERLINK("https://xhslink.com/m/9KjAz5LMfbt", "https://xhslink.com/m/9KjAz5LMfbt")</f>
        <v>https://xhslink.com/m/9KjAz5LMfbt</v>
      </c>
      <c r="D1848"/>
      <c r="E1848">
        <v>829</v>
      </c>
      <c r="F1848">
        <v>249</v>
      </c>
      <c r="G1848"/>
      <c r="H1848">
        <v>250</v>
      </c>
      <c r="I1848"/>
      <c r="J1848">
        <v>100</v>
      </c>
      <c r="K1848" t="inlineStr">
        <is>
          <t>省考</t>
        </is>
      </c>
      <c r="L1848"/>
      <c r="M1848" t="inlineStr">
        <is>
          <t>超格旗舰店</t>
        </is>
      </c>
      <c r="N1848">
        <v>79000</v>
      </c>
      <c r="O1848">
        <v>4.49</v>
      </c>
      <c r="P1848">
        <v>175000</v>
      </c>
      <c r="Q1848" t="inlineStr">
        <is>
          <t>66b329fc5e5bb10001663aa8</t>
        </is>
      </c>
      <c r="R1848" t="inlineStr">
        <is>
          <t>🚫重复</t>
        </is>
      </c>
      <c r="S1848" t="inlineStr">
        <is>
          <t>考公资料</t>
        </is>
      </c>
      <c r="T1848" t="inlineStr">
        <is>
          <t>0.01</t>
        </is>
      </c>
      <c r="U1848" s="3">
        <v>46112.78107638889</v>
      </c>
      <c r="V1848"/>
      <c r="W1848" s="3">
        <v>46080.54703703704</v>
      </c>
      <c r="X1848" t="inlineStr">
        <is>
          <t>02</t>
        </is>
      </c>
      <c r="Y1848" t="inlineStr">
        <is>
          <t>2026-Q1</t>
        </is>
      </c>
    </row>
    <row r="1849" ht="38.25" customHeight="1">
      <c r="A1849" t="inlineStr">
        <is>
          <t>26广东省考面试万能母题·本土素材（适用广东省考、选调、事业）</t>
        </is>
      </c>
      <c r="B1849" t="inlineStr">
        <is>
          <t>__upload_recvdJwg0YMkps.jpg</t>
        </is>
      </c>
      <c r="C1849" s="2" t="str">
        <f>=HYPERLINK("https://xhslink.com/m/9pDwqFk4GXM", "https://xhslink.com/m/9pDwqFk4GXM")</f>
        <v>https://xhslink.com/m/9pDwqFk4GXM</v>
      </c>
      <c r="D1849"/>
      <c r="E1849">
        <v>764</v>
      </c>
      <c r="F1849">
        <v>39.99</v>
      </c>
      <c r="G1849"/>
      <c r="H1849">
        <v>100</v>
      </c>
      <c r="I1849"/>
      <c r="J1849">
        <v>100</v>
      </c>
      <c r="K1849" t="inlineStr">
        <is>
          <t>省考</t>
        </is>
      </c>
      <c r="L1849"/>
      <c r="M1849" t="inlineStr">
        <is>
          <t>肥仔考神的经验库的店</t>
        </is>
      </c>
      <c r="N1849">
        <v>2241</v>
      </c>
      <c r="O1849">
        <v>4.12</v>
      </c>
      <c r="P1849">
        <v>3930</v>
      </c>
      <c r="Q1849" t="inlineStr">
        <is>
          <t>68de5043e0f3b20001e3bae0</t>
        </is>
      </c>
      <c r="R1849"/>
      <c r="S1849" t="inlineStr">
        <is>
          <t>考公资料</t>
        </is>
      </c>
      <c r="T1849" t="inlineStr">
        <is>
          <t>0.34</t>
        </is>
      </c>
      <c r="U1849" s="3">
        <v>46112.78107638889</v>
      </c>
      <c r="V1849"/>
      <c r="W1849" s="3">
        <v>46080.54703703704</v>
      </c>
      <c r="X1849" t="inlineStr">
        <is>
          <t>02</t>
        </is>
      </c>
      <c r="Y1849" t="inlineStr">
        <is>
          <t>2026-Q1</t>
        </is>
      </c>
    </row>
    <row r="1850" ht="38.25" customHeight="1">
      <c r="A1850" t="inlineStr">
        <is>
          <t>山西省考（18-25）申论（省市县乡选调）高分实战答案17套电子版</t>
        </is>
      </c>
      <c r="B1850" t="inlineStr">
        <is>
          <t>__upload_recvdJwg0YFWMi.jpg</t>
        </is>
      </c>
      <c r="C1850" s="2" t="str">
        <f>=HYPERLINK("https://xhslink.com/m/3O9JleZs4Dh", "https://xhslink.com/m/3O9JleZs4Dh")</f>
        <v>https://xhslink.com/m/3O9JleZs4Dh</v>
      </c>
      <c r="D1850"/>
      <c r="E1850">
        <v>774</v>
      </c>
      <c r="F1850">
        <v>29.9</v>
      </c>
      <c r="G1850"/>
      <c r="H1850">
        <v>300</v>
      </c>
      <c r="I1850"/>
      <c r="J1850">
        <v>100</v>
      </c>
      <c r="K1850" t="inlineStr">
        <is>
          <t>省考</t>
        </is>
      </c>
      <c r="L1850"/>
      <c r="M1850" t="inlineStr">
        <is>
          <t>苏老师的公考逆袭工厂的店</t>
        </is>
      </c>
      <c r="N1850">
        <v>8735</v>
      </c>
      <c r="O1850">
        <v>4.45</v>
      </c>
      <c r="P1850">
        <v>3229</v>
      </c>
      <c r="Q1850" t="inlineStr">
        <is>
          <t>691e8c2bdbfbf50001c82859</t>
        </is>
      </c>
      <c r="R1850"/>
      <c r="S1850" t="inlineStr">
        <is>
          <t>考公资料</t>
        </is>
      </c>
      <c r="T1850" t="inlineStr">
        <is>
          <t>0.09</t>
        </is>
      </c>
      <c r="U1850" s="3">
        <v>46112.78107638889</v>
      </c>
      <c r="V1850"/>
      <c r="W1850" s="3">
        <v>46080.54703703704</v>
      </c>
      <c r="X1850" t="inlineStr">
        <is>
          <t>02</t>
        </is>
      </c>
      <c r="Y1850" t="inlineStr">
        <is>
          <t>2026-Q1</t>
        </is>
      </c>
    </row>
    <row r="1851" ht="38.25" customHeight="1">
      <c r="A1851" t="inlineStr">
        <is>
          <t>26花生十三省考套题一二期行测申论【开课前发货 送网课】</t>
        </is>
      </c>
      <c r="B1851" t="inlineStr">
        <is>
          <t>__upload_recvdJwg0YjS9g.jpg</t>
        </is>
      </c>
      <c r="C1851" s="2" t="str">
        <f>=HYPERLINK("https://xhslink.com/m/5DCGWZ6UZGH", "https://xhslink.com/m/5DCGWZ6UZGH")</f>
        <v>https://xhslink.com/m/5DCGWZ6UZGH</v>
      </c>
      <c r="D1851"/>
      <c r="E1851">
        <v>727</v>
      </c>
      <c r="F1851">
        <v>36.99</v>
      </c>
      <c r="G1851"/>
      <c r="H1851">
        <v>450</v>
      </c>
      <c r="I1851"/>
      <c r="J1851">
        <v>100</v>
      </c>
      <c r="K1851" t="inlineStr">
        <is>
          <t>省考</t>
        </is>
      </c>
      <c r="L1851"/>
      <c r="M1851" t="inlineStr">
        <is>
          <t>554的店</t>
        </is>
      </c>
      <c r="N1851">
        <v>6270</v>
      </c>
      <c r="O1851">
        <v>4.48</v>
      </c>
      <c r="P1851">
        <v>34000</v>
      </c>
      <c r="Q1851" t="inlineStr">
        <is>
          <t>696078e01bb69f00019e2134</t>
        </is>
      </c>
      <c r="R1851" t="inlineStr">
        <is>
          <t>🚫重复</t>
        </is>
      </c>
      <c r="S1851" t="inlineStr">
        <is>
          <t>考公资料</t>
        </is>
      </c>
      <c r="T1851" t="inlineStr">
        <is>
          <t>0.12</t>
        </is>
      </c>
      <c r="U1851" s="3">
        <v>46112.78107638889</v>
      </c>
      <c r="V1851"/>
      <c r="W1851" s="3">
        <v>46080.54703703704</v>
      </c>
      <c r="X1851" t="inlineStr">
        <is>
          <t>02</t>
        </is>
      </c>
      <c r="Y1851" t="inlineStr">
        <is>
          <t>2026-Q1</t>
        </is>
      </c>
    </row>
    <row r="1852" ht="38.25" customHeight="1">
      <c r="A1852" t="inlineStr">
        <is>
          <t>26河南省考岗位表（含近3年进面分数）</t>
        </is>
      </c>
      <c r="B1852" t="inlineStr">
        <is>
          <t>__upload_recvdJwg0YGbCk.jpg</t>
        </is>
      </c>
      <c r="C1852" s="2" t="str">
        <f>=HYPERLINK("https://xhslink.com/m/1MdxT002EBZ", "https://xhslink.com/m/1MdxT002EBZ")</f>
        <v>https://xhslink.com/m/1MdxT002EBZ</v>
      </c>
      <c r="D1852"/>
      <c r="E1852">
        <v>690</v>
      </c>
      <c r="F1852">
        <v>1.99</v>
      </c>
      <c r="G1852"/>
      <c r="H1852">
        <v>600</v>
      </c>
      <c r="I1852"/>
      <c r="J1852">
        <v>100</v>
      </c>
      <c r="K1852" t="inlineStr">
        <is>
          <t>省考</t>
        </is>
      </c>
      <c r="L1852"/>
      <c r="M1852" t="inlineStr">
        <is>
          <t>考公请上岸的店</t>
        </is>
      </c>
      <c r="N1852">
        <v>1064</v>
      </c>
      <c r="O1852">
        <v>4.61</v>
      </c>
      <c r="P1852">
        <v>9854</v>
      </c>
      <c r="Q1852" t="inlineStr">
        <is>
          <t>695b1e89a751dc00010d4769</t>
        </is>
      </c>
      <c r="R1852" t="inlineStr">
        <is>
          <t>🚫重复</t>
        </is>
      </c>
      <c r="S1852" t="inlineStr">
        <is>
          <t>考公资料</t>
        </is>
      </c>
      <c r="T1852" t="inlineStr">
        <is>
          <t>0.65</t>
        </is>
      </c>
      <c r="U1852" s="3">
        <v>46112.78107638889</v>
      </c>
      <c r="V1852"/>
      <c r="W1852" s="3">
        <v>46080.54703703704</v>
      </c>
      <c r="X1852" t="inlineStr">
        <is>
          <t>02</t>
        </is>
      </c>
      <c r="Y1852" t="inlineStr">
        <is>
          <t>2026-Q1</t>
        </is>
      </c>
    </row>
    <row r="1853" ht="38.25" customHeight="1">
      <c r="A1853" t="inlineStr">
        <is>
          <t>花生十三 · 资料分析600题套装|公务员考试国考省考事业单位行测</t>
        </is>
      </c>
      <c r="B1853" t="inlineStr">
        <is>
          <t>__upload_recvdJwg0Y8ckY.jpg</t>
        </is>
      </c>
      <c r="C1853" s="2" t="str">
        <f>=HYPERLINK("https://xhslink.com/m/50xocVES92r", "https://xhslink.com/m/50xocVES92r")</f>
        <v>https://xhslink.com/m/50xocVES92r</v>
      </c>
      <c r="D1853"/>
      <c r="E1853">
        <v>582</v>
      </c>
      <c r="F1853">
        <v>36</v>
      </c>
      <c r="G1853"/>
      <c r="H1853">
        <v>150</v>
      </c>
      <c r="I1853"/>
      <c r="J1853">
        <v>100</v>
      </c>
      <c r="K1853" t="inlineStr">
        <is>
          <t>省考</t>
        </is>
      </c>
      <c r="L1853"/>
      <c r="M1853" t="inlineStr">
        <is>
          <t>四海公考的店</t>
        </is>
      </c>
      <c r="N1853">
        <v>104000</v>
      </c>
      <c r="O1853">
        <v>4.5</v>
      </c>
      <c r="P1853">
        <v>41000</v>
      </c>
      <c r="Q1853" t="inlineStr">
        <is>
          <t>68f58cf0c192ac00017f0131</t>
        </is>
      </c>
      <c r="R1853" t="inlineStr">
        <is>
          <t>🚫重复</t>
        </is>
      </c>
      <c r="S1853" t="inlineStr">
        <is>
          <t>考公资料</t>
        </is>
      </c>
      <c r="T1853" t="inlineStr">
        <is>
          <t>0.01</t>
        </is>
      </c>
      <c r="U1853" s="3">
        <v>46112.78107638889</v>
      </c>
      <c r="V1853"/>
      <c r="W1853" s="3">
        <v>46080.54703703704</v>
      </c>
      <c r="X1853" t="inlineStr">
        <is>
          <t>02</t>
        </is>
      </c>
      <c r="Y1853" t="inlineStr">
        <is>
          <t>2026-Q1</t>
        </is>
      </c>
    </row>
    <row r="1854" ht="38.25" customHeight="1">
      <c r="A1854" t="inlineStr">
        <is>
          <t>最新2026年各省省考进面分+岗位汇总表 Excel可筛选 历年数据整理</t>
        </is>
      </c>
      <c r="B1854" t="inlineStr">
        <is>
          <t>__upload_recvdJwg0YKD1j.jpg</t>
        </is>
      </c>
      <c r="C1854" s="2" t="str">
        <f>=HYPERLINK("https://xhslink.com/m/6Z4VqsiQRbd", "https://xhslink.com/m/6Z4VqsiQRbd")</f>
        <v>https://xhslink.com/m/6Z4VqsiQRbd</v>
      </c>
      <c r="D1854"/>
      <c r="E1854">
        <v>557</v>
      </c>
      <c r="F1854">
        <v>2.99</v>
      </c>
      <c r="G1854"/>
      <c r="H1854">
        <v>350</v>
      </c>
      <c r="I1854"/>
      <c r="J1854">
        <v>100</v>
      </c>
      <c r="K1854" t="inlineStr">
        <is>
          <t>省考</t>
        </is>
      </c>
      <c r="L1854" t="inlineStr">
        <is>
          <t>🔥低粉爆款</t>
        </is>
      </c>
      <c r="M1854" t="inlineStr">
        <is>
          <t>笔下有前程的店</t>
        </is>
      </c>
      <c r="N1854">
        <v>39</v>
      </c>
      <c r="O1854">
        <v>3.97</v>
      </c>
      <c r="P1854">
        <v>839</v>
      </c>
      <c r="Q1854" t="inlineStr">
        <is>
          <t>695f38e1cf93e20001f78b32</t>
        </is>
      </c>
      <c r="R1854"/>
      <c r="S1854" t="inlineStr">
        <is>
          <t>考公资料</t>
        </is>
      </c>
      <c r="T1854" t="inlineStr">
        <is>
          <t>14.28</t>
        </is>
      </c>
      <c r="U1854" s="3">
        <v>46112.78107638889</v>
      </c>
      <c r="V1854"/>
      <c r="W1854" s="3">
        <v>46080.54703703704</v>
      </c>
      <c r="X1854" t="inlineStr">
        <is>
          <t>02</t>
        </is>
      </c>
      <c r="Y1854" t="inlineStr">
        <is>
          <t>2026-Q1</t>
        </is>
      </c>
    </row>
    <row r="1855" ht="38.25" customHeight="1">
      <c r="A1855" t="inlineStr">
        <is>
          <t>2026省考朱雀计划3.0：政治理论精讲课（电子讲义+直播+录播）</t>
        </is>
      </c>
      <c r="B1855" t="inlineStr">
        <is>
          <t>__upload_recvdJwg0YxLtA.jpg</t>
        </is>
      </c>
      <c r="C1855" s="2" t="str">
        <f>=HYPERLINK("https://xhslink.com/m/4SO3OQz6Qn", "https://xhslink.com/m/4SO3OQz6Qn")</f>
        <v>https://xhslink.com/m/4SO3OQz6Qn</v>
      </c>
      <c r="D1855"/>
      <c r="E1855">
        <v>497</v>
      </c>
      <c r="F1855">
        <v>39.9</v>
      </c>
      <c r="G1855"/>
      <c r="H1855">
        <v>200</v>
      </c>
      <c r="I1855"/>
      <c r="J1855">
        <v>100</v>
      </c>
      <c r="K1855" t="inlineStr">
        <is>
          <t>省考</t>
        </is>
      </c>
      <c r="L1855"/>
      <c r="M1855" t="inlineStr">
        <is>
          <t>福建公基林英的店</t>
        </is>
      </c>
      <c r="N1855">
        <v>15000</v>
      </c>
      <c r="O1855">
        <v>4.28</v>
      </c>
      <c r="P1855">
        <v>9186</v>
      </c>
      <c r="Q1855" t="inlineStr">
        <is>
          <t>685a6e1f3970ba0001faefac</t>
        </is>
      </c>
      <c r="R1855" t="inlineStr">
        <is>
          <t>🚫重复</t>
        </is>
      </c>
      <c r="S1855" t="inlineStr">
        <is>
          <t>考公资料</t>
        </is>
      </c>
      <c r="T1855" t="inlineStr">
        <is>
          <t>0.03</t>
        </is>
      </c>
      <c r="U1855" s="3">
        <v>46112.78107638889</v>
      </c>
      <c r="V1855"/>
      <c r="W1855" s="3">
        <v>46080.54703703704</v>
      </c>
      <c r="X1855" t="inlineStr">
        <is>
          <t>02</t>
        </is>
      </c>
      <c r="Y1855" t="inlineStr">
        <is>
          <t>2026-Q1</t>
        </is>
      </c>
    </row>
    <row r="1856" ht="38.25" customHeight="1">
      <c r="A1856" t="inlineStr">
        <is>
          <t>2026每日一题省考刷题班（附视频讲</t>
        </is>
      </c>
      <c r="B1856" t="inlineStr">
        <is>
          <t>__upload_recvdJwg0YDJ5K.jpg</t>
        </is>
      </c>
      <c r="C1856" s="2" t="str">
        <f>=HYPERLINK("https://xhslink.com/m/5INLXK3h53q", "https://xhslink.com/m/5INLXK3h53q")</f>
        <v>https://xhslink.com/m/5INLXK3h53q</v>
      </c>
      <c r="D1856"/>
      <c r="E1856">
        <v>474</v>
      </c>
      <c r="F1856">
        <v>99</v>
      </c>
      <c r="G1856"/>
      <c r="H1856">
        <v>150</v>
      </c>
      <c r="I1856"/>
      <c r="J1856">
        <v>100</v>
      </c>
      <c r="K1856" t="inlineStr">
        <is>
          <t>省考</t>
        </is>
      </c>
      <c r="L1856"/>
      <c r="M1856" t="inlineStr">
        <is>
          <t>HiLunaaa的店</t>
        </is>
      </c>
      <c r="N1856">
        <v>9086</v>
      </c>
      <c r="O1856">
        <v>4.06</v>
      </c>
      <c r="P1856">
        <v>475</v>
      </c>
      <c r="Q1856" t="inlineStr">
        <is>
          <t>69342711d2786f0001dc92ff</t>
        </is>
      </c>
      <c r="R1856"/>
      <c r="S1856" t="inlineStr">
        <is>
          <t>考公资料</t>
        </is>
      </c>
      <c r="T1856" t="inlineStr">
        <is>
          <t>0.05</t>
        </is>
      </c>
      <c r="U1856" s="3">
        <v>46112.78107638889</v>
      </c>
      <c r="V1856"/>
      <c r="W1856" s="3">
        <v>46080.54703703704</v>
      </c>
      <c r="X1856" t="inlineStr">
        <is>
          <t>02</t>
        </is>
      </c>
      <c r="Y1856" t="inlineStr">
        <is>
          <t>2026-Q1</t>
        </is>
      </c>
    </row>
    <row r="1857" ht="38.25" customHeight="1">
      <c r="A1857" t="inlineStr">
        <is>
          <t>26安徽省考岗位表汇总版（含25年进面分数）</t>
        </is>
      </c>
      <c r="B1857" t="inlineStr">
        <is>
          <t>__upload_recvdJwg0YyOPW.jpg</t>
        </is>
      </c>
      <c r="C1857" s="2" t="str">
        <f>=HYPERLINK("https://xhslink.com/m/8m8PyfNoTg3", "https://xhslink.com/m/8m8PyfNoTg3")</f>
        <v>https://xhslink.com/m/8m8PyfNoTg3</v>
      </c>
      <c r="D1857"/>
      <c r="E1857">
        <v>438</v>
      </c>
      <c r="F1857">
        <v>1.99</v>
      </c>
      <c r="G1857"/>
      <c r="H1857">
        <v>400</v>
      </c>
      <c r="I1857"/>
      <c r="J1857">
        <v>100</v>
      </c>
      <c r="K1857" t="inlineStr">
        <is>
          <t>省考</t>
        </is>
      </c>
      <c r="L1857"/>
      <c r="M1857" t="inlineStr">
        <is>
          <t>考公请上岸的店</t>
        </is>
      </c>
      <c r="N1857">
        <v>1064</v>
      </c>
      <c r="O1857">
        <v>4.61</v>
      </c>
      <c r="P1857">
        <v>9854</v>
      </c>
      <c r="Q1857" t="inlineStr">
        <is>
          <t>6968fd9d30cc0500010eca06</t>
        </is>
      </c>
      <c r="R1857" t="inlineStr">
        <is>
          <t>🚫重复</t>
        </is>
      </c>
      <c r="S1857" t="inlineStr">
        <is>
          <t>考公资料</t>
        </is>
      </c>
      <c r="T1857" t="inlineStr">
        <is>
          <t>0.41</t>
        </is>
      </c>
      <c r="U1857" s="3">
        <v>46112.78107638889</v>
      </c>
      <c r="V1857"/>
      <c r="W1857" s="3">
        <v>46080.54703703704</v>
      </c>
      <c r="X1857" t="inlineStr">
        <is>
          <t>02</t>
        </is>
      </c>
      <c r="Y1857" t="inlineStr">
        <is>
          <t>2026-Q1</t>
        </is>
      </c>
    </row>
    <row r="1858" ht="38.25" customHeight="1">
      <c r="A1858" t="inlineStr">
        <is>
          <t>河北省考近六年笔试真题（行测+申论）</t>
        </is>
      </c>
      <c r="B1858" t="inlineStr">
        <is>
          <t>__upload_recvdJwg0Y77xv.jpg</t>
        </is>
      </c>
      <c r="C1858" s="2" t="str">
        <f>=HYPERLINK("https://xhslink.com/m/1T5IUrZq6hD", "https://xhslink.com/m/1T5IUrZq6hD")</f>
        <v>https://xhslink.com/m/1T5IUrZq6hD</v>
      </c>
      <c r="D1858"/>
      <c r="E1858">
        <v>390</v>
      </c>
      <c r="F1858">
        <v>0.11</v>
      </c>
      <c r="G1858"/>
      <c r="H1858">
        <v>100</v>
      </c>
      <c r="I1858"/>
      <c r="J1858">
        <v>100</v>
      </c>
      <c r="K1858" t="inlineStr">
        <is>
          <t>省考</t>
        </is>
      </c>
      <c r="L1858"/>
      <c r="M1858" t="inlineStr">
        <is>
          <t>石家庄华图的店</t>
        </is>
      </c>
      <c r="N1858">
        <v>42000</v>
      </c>
      <c r="O1858">
        <v>3.98</v>
      </c>
      <c r="P1858">
        <v>8410</v>
      </c>
      <c r="Q1858" t="inlineStr">
        <is>
          <t>693a3a207a38a60001cea2e1</t>
        </is>
      </c>
      <c r="R1858"/>
      <c r="S1858" t="inlineStr">
        <is>
          <t>考公资料</t>
        </is>
      </c>
      <c r="T1858" t="inlineStr">
        <is>
          <t>0.01</t>
        </is>
      </c>
      <c r="U1858" s="3">
        <v>46112.78107638889</v>
      </c>
      <c r="V1858"/>
      <c r="W1858" s="3">
        <v>46080.54703703704</v>
      </c>
      <c r="X1858" t="inlineStr">
        <is>
          <t>02</t>
        </is>
      </c>
      <c r="Y1858" t="inlineStr">
        <is>
          <t>2026-Q1</t>
        </is>
      </c>
    </row>
    <row r="1859" ht="38.25" customHeight="1">
      <c r="A1859" t="inlineStr">
        <is>
          <t>26湖北省考岗位表（含近3年进面分数）</t>
        </is>
      </c>
      <c r="B1859" t="inlineStr">
        <is>
          <t>__upload_recvdJwg0Y5FZV.jpg</t>
        </is>
      </c>
      <c r="C1859" s="2" t="str">
        <f>=HYPERLINK("https://xhslink.com/m/3GwdwFRD11H", "https://xhslink.com/m/3GwdwFRD11H")</f>
        <v>https://xhslink.com/m/3GwdwFRD11H</v>
      </c>
      <c r="D1859"/>
      <c r="E1859">
        <v>356</v>
      </c>
      <c r="F1859">
        <v>1.99</v>
      </c>
      <c r="G1859"/>
      <c r="H1859">
        <v>300</v>
      </c>
      <c r="I1859"/>
      <c r="J1859">
        <v>100</v>
      </c>
      <c r="K1859" t="inlineStr">
        <is>
          <t>省考</t>
        </is>
      </c>
      <c r="L1859"/>
      <c r="M1859" t="inlineStr">
        <is>
          <t>考公请上岸的店</t>
        </is>
      </c>
      <c r="N1859">
        <v>1064</v>
      </c>
      <c r="O1859">
        <v>4.61</v>
      </c>
      <c r="P1859">
        <v>9854</v>
      </c>
      <c r="Q1859" t="inlineStr">
        <is>
          <t>6964b28cf7aaae0001ea3509</t>
        </is>
      </c>
      <c r="R1859" t="inlineStr">
        <is>
          <t>🚫重复</t>
        </is>
      </c>
      <c r="S1859" t="inlineStr">
        <is>
          <t>考公资料</t>
        </is>
      </c>
      <c r="T1859" t="inlineStr">
        <is>
          <t>0.33</t>
        </is>
      </c>
      <c r="U1859" s="3">
        <v>46112.78107638889</v>
      </c>
      <c r="V1859"/>
      <c r="W1859" s="3">
        <v>46080.54703703704</v>
      </c>
      <c r="X1859" t="inlineStr">
        <is>
          <t>02</t>
        </is>
      </c>
      <c r="Y1859" t="inlineStr">
        <is>
          <t>2026-Q1</t>
        </is>
      </c>
    </row>
    <row r="1860" ht="38.25" customHeight="1">
      <c r="A1860" t="inlineStr">
        <is>
          <t>一本 · 【初中名著考点速记+精练】2026新版25本名著 导图串记高效备考CZ</t>
        </is>
      </c>
      <c r="B1860" t="inlineStr">
        <is>
          <t>recvdJwg0YhdWD.jpg</t>
        </is>
      </c>
      <c r="C1860" s="2" t="str">
        <f>=HYPERLINK("https://xhslink.com/m/7Yh0XjDjVu4", "https://xhslink.com/m/7Yh0XjDjVu4")</f>
        <v>https://xhslink.com/m/7Yh0XjDjVu4</v>
      </c>
      <c r="D1860"/>
      <c r="E1860">
        <v>13000</v>
      </c>
      <c r="F1860">
        <v>74.7</v>
      </c>
      <c r="G1860"/>
      <c r="H1860">
        <v>100</v>
      </c>
      <c r="I1860"/>
      <c r="J1860"/>
      <c r="K1860" t="inlineStr">
        <is>
          <t>初中</t>
        </is>
      </c>
      <c r="L1860"/>
      <c r="M1860" t="inlineStr">
        <is>
          <t>一本-高中图书旗舰店</t>
        </is>
      </c>
      <c r="N1860">
        <v>13000</v>
      </c>
      <c r="O1860">
        <v>4.57</v>
      </c>
      <c r="P1860">
        <v>147000</v>
      </c>
      <c r="Q1860" t="inlineStr">
        <is>
          <t>6618d033baabf10001150d09</t>
        </is>
      </c>
      <c r="R1860" t="inlineStr">
        <is>
          <t>🚫重复</t>
        </is>
      </c>
      <c r="S1860" t="inlineStr">
        <is>
          <t>中小学教辅/教材</t>
        </is>
      </c>
      <c r="T1860" t="inlineStr">
        <is>
          <t>1.00</t>
        </is>
      </c>
      <c r="U1860" s="3">
        <v>46112.78107638889</v>
      </c>
      <c r="V1860"/>
      <c r="W1860" s="3">
        <v>46081.47180555556</v>
      </c>
      <c r="X1860" t="inlineStr">
        <is>
          <t>02</t>
        </is>
      </c>
      <c r="Y1860" t="inlineStr">
        <is>
          <t>2026-Q1</t>
        </is>
      </c>
    </row>
    <row r="1861" ht="38.25" customHeight="1">
      <c r="A1861" t="inlineStr">
        <is>
          <t>26备考教资网课幼小初高中科目一科目二三笔试视频题库课程刷题</t>
        </is>
      </c>
      <c r="B1861" t="inlineStr">
        <is>
          <t>recvdJwg0Yqw5x.jpg</t>
        </is>
      </c>
      <c r="C1861" s="2" t="str">
        <f>=HYPERLINK("https://xhslink.com/m/9Qp1vWapVix", "https://xhslink.com/m/9Qp1vWapVix")</f>
        <v>https://xhslink.com/m/9Qp1vWapVix</v>
      </c>
      <c r="D1861"/>
      <c r="E1861">
        <v>7837</v>
      </c>
      <c r="F1861">
        <v>76</v>
      </c>
      <c r="G1861"/>
      <c r="H1861">
        <v>250</v>
      </c>
      <c r="I1861"/>
      <c r="J1861"/>
      <c r="K1861" t="inlineStr">
        <is>
          <t>初中</t>
        </is>
      </c>
      <c r="L1861"/>
      <c r="M1861" t="inlineStr">
        <is>
          <t>乐X峰题库I星途的店</t>
        </is>
      </c>
      <c r="N1861">
        <v>12000</v>
      </c>
      <c r="O1861">
        <v>4.53</v>
      </c>
      <c r="P1861">
        <v>80000</v>
      </c>
      <c r="Q1861" t="inlineStr">
        <is>
          <t>668cd2f24a516d00013a2120</t>
        </is>
      </c>
      <c r="R1861" t="inlineStr">
        <is>
          <t>🚫重复</t>
        </is>
      </c>
      <c r="S1861" t="inlineStr">
        <is>
          <t>教资资料</t>
        </is>
      </c>
      <c r="T1861" t="inlineStr">
        <is>
          <t>0.65</t>
        </is>
      </c>
      <c r="U1861" s="3">
        <v>46112.78107638889</v>
      </c>
      <c r="V1861"/>
      <c r="W1861" s="3">
        <v>46081.47180555556</v>
      </c>
      <c r="X1861" t="inlineStr">
        <is>
          <t>02</t>
        </is>
      </c>
      <c r="Y1861" t="inlineStr">
        <is>
          <t>2026-Q1</t>
        </is>
      </c>
    </row>
    <row r="1862" ht="38.25" customHeight="1">
      <c r="A1862" t="inlineStr">
        <is>
          <t>2025新人教英语课件｜七上/七下/八上/八下｜单课时拍下请备注</t>
        </is>
      </c>
      <c r="B1862" t="inlineStr">
        <is>
          <t>recvdJwg0Yel61.jpg</t>
        </is>
      </c>
      <c r="C1862" s="2" t="str">
        <f>=HYPERLINK("https://xhslink.com/m/9Xohj7c3XAS", "https://xhslink.com/m/9Xohj7c3XAS")</f>
        <v>https://xhslink.com/m/9Xohj7c3XAS</v>
      </c>
      <c r="D1862"/>
      <c r="E1862">
        <v>7464</v>
      </c>
      <c r="F1862">
        <v>189</v>
      </c>
      <c r="G1862"/>
      <c r="H1862">
        <v>550</v>
      </c>
      <c r="I1862">
        <v>1000</v>
      </c>
      <c r="J1862"/>
      <c r="K1862" t="inlineStr">
        <is>
          <t>初中</t>
        </is>
      </c>
      <c r="L1862"/>
      <c r="M1862" t="inlineStr">
        <is>
          <t>Christina在努力的店</t>
        </is>
      </c>
      <c r="N1862">
        <v>13000</v>
      </c>
      <c r="O1862">
        <v>4.42</v>
      </c>
      <c r="P1862">
        <v>26000</v>
      </c>
      <c r="Q1862" t="inlineStr">
        <is>
          <t>6864e9017aa7a100017be552</t>
        </is>
      </c>
      <c r="R1862" t="inlineStr">
        <is>
          <t>🚫重复</t>
        </is>
      </c>
      <c r="S1862" t="inlineStr">
        <is>
          <t>中小学教辅/教材</t>
        </is>
      </c>
      <c r="T1862" t="inlineStr">
        <is>
          <t>0.57</t>
        </is>
      </c>
      <c r="U1862" s="3">
        <v>46112.78107638889</v>
      </c>
      <c r="V1862"/>
      <c r="W1862" s="3">
        <v>46081.47180555556</v>
      </c>
      <c r="X1862" t="inlineStr">
        <is>
          <t>02</t>
        </is>
      </c>
      <c r="Y1862" t="inlineStr">
        <is>
          <t>2026-Q1</t>
        </is>
      </c>
    </row>
    <row r="1863" ht="38.25" customHeight="1">
      <c r="A1863" t="inlineStr">
        <is>
          <t>26上教资笔试科三简答题主观题汇总/科三教资简答题/上岸熊正版</t>
        </is>
      </c>
      <c r="B1863" t="inlineStr">
        <is>
          <t>recvdJwg0YhG3I.jpg</t>
        </is>
      </c>
      <c r="C1863" s="2" t="str">
        <f>=HYPERLINK("https://xhslink.com/m/2mZHkx15D9T", "https://xhslink.com/m/2mZHkx15D9T")</f>
        <v>https://xhslink.com/m/2mZHkx15D9T</v>
      </c>
      <c r="D1863"/>
      <c r="E1863">
        <v>5735</v>
      </c>
      <c r="F1863">
        <v>99</v>
      </c>
      <c r="G1863"/>
      <c r="H1863">
        <v>300</v>
      </c>
      <c r="I1863">
        <v>1000</v>
      </c>
      <c r="J1863"/>
      <c r="K1863" t="inlineStr">
        <is>
          <t>初中</t>
        </is>
      </c>
      <c r="L1863" t="inlineStr">
        <is>
          <t>🔥低粉爆款</t>
        </is>
      </c>
      <c r="M1863" t="inlineStr">
        <is>
          <t>漫福学姐的店</t>
        </is>
      </c>
      <c r="N1863">
        <v>1053</v>
      </c>
      <c r="O1863">
        <v>4.59</v>
      </c>
      <c r="P1863">
        <v>15000</v>
      </c>
      <c r="Q1863" t="inlineStr">
        <is>
          <t>68a7b891acb11600015e44c0</t>
        </is>
      </c>
      <c r="R1863" t="inlineStr">
        <is>
          <t>🚫重复</t>
        </is>
      </c>
      <c r="S1863" t="inlineStr">
        <is>
          <t>教资资料</t>
        </is>
      </c>
      <c r="T1863" t="inlineStr">
        <is>
          <t>5.45</t>
        </is>
      </c>
      <c r="U1863" s="3">
        <v>46112.78107638889</v>
      </c>
      <c r="V1863"/>
      <c r="W1863" s="3">
        <v>46081.47180555556</v>
      </c>
      <c r="X1863" t="inlineStr">
        <is>
          <t>02</t>
        </is>
      </c>
      <c r="Y1863" t="inlineStr">
        <is>
          <t>2026-Q1</t>
        </is>
      </c>
    </row>
    <row r="1864" ht="38.25" customHeight="1">
      <c r="A1864" t="inlineStr">
        <is>
          <t>人教版初中七八九年级寒假衔接预习讲义复习巩固电子版资料</t>
        </is>
      </c>
      <c r="B1864" t="inlineStr">
        <is>
          <t>recvdJwg0Yqya6.jpg</t>
        </is>
      </c>
      <c r="C1864" s="2" t="str">
        <f>=HYPERLINK("https://xhslink.com/m/6WHFm6sxyHt", "https://xhslink.com/m/6WHFm6sxyHt")</f>
        <v>https://xhslink.com/m/6WHFm6sxyHt</v>
      </c>
      <c r="D1864"/>
      <c r="E1864">
        <v>4856</v>
      </c>
      <c r="F1864">
        <v>12.8</v>
      </c>
      <c r="G1864"/>
      <c r="H1864">
        <v>3500</v>
      </c>
      <c r="I1864">
        <v>1000</v>
      </c>
      <c r="J1864"/>
      <c r="K1864" t="inlineStr">
        <is>
          <t>初中</t>
        </is>
      </c>
      <c r="L1864" t="inlineStr">
        <is>
          <t>🔥低粉爆款</t>
        </is>
      </c>
      <c r="M1864" t="inlineStr">
        <is>
          <t>李老师的资料馆的店</t>
        </is>
      </c>
      <c r="N1864">
        <v>1020</v>
      </c>
      <c r="O1864">
        <v>4.62</v>
      </c>
      <c r="P1864">
        <v>6297</v>
      </c>
      <c r="Q1864" t="inlineStr">
        <is>
          <t>694dff3896a9fa00014ff7f2</t>
        </is>
      </c>
      <c r="R1864" t="inlineStr">
        <is>
          <t>🚫重复</t>
        </is>
      </c>
      <c r="S1864" t="inlineStr">
        <is>
          <t>中小学教辅/教材</t>
        </is>
      </c>
      <c r="T1864" t="inlineStr">
        <is>
          <t>4.76</t>
        </is>
      </c>
      <c r="U1864" s="3">
        <v>46112.78107638889</v>
      </c>
      <c r="V1864"/>
      <c r="W1864" s="3">
        <v>46081.47180555556</v>
      </c>
      <c r="X1864" t="inlineStr">
        <is>
          <t>02</t>
        </is>
      </c>
      <c r="Y1864" t="inlineStr">
        <is>
          <t>2026-Q1</t>
        </is>
      </c>
    </row>
    <row r="1865" ht="38.25" customHeight="1">
      <c r="A1865" t="inlineStr">
        <is>
          <t>2026初中速用答题模板道法地生物化语数英7-9年级通用小豆同学</t>
        </is>
      </c>
      <c r="B1865" t="inlineStr">
        <is>
          <t>recvdJwg0Y3orc.jpg</t>
        </is>
      </c>
      <c r="C1865" s="2" t="str">
        <f>=HYPERLINK("https://xhslink.com/m/3LWs9p2uNmq", "https://xhslink.com/m/3LWs9p2uNmq")</f>
        <v>https://xhslink.com/m/3LWs9p2uNmq</v>
      </c>
      <c r="D1865"/>
      <c r="E1865">
        <v>3286</v>
      </c>
      <c r="F1865">
        <v>139.8</v>
      </c>
      <c r="G1865"/>
      <c r="H1865">
        <v>200</v>
      </c>
      <c r="I1865">
        <v>1000</v>
      </c>
      <c r="J1865"/>
      <c r="K1865" t="inlineStr">
        <is>
          <t>初中</t>
        </is>
      </c>
      <c r="L1865" t="inlineStr">
        <is>
          <t>🔥低粉爆款</t>
        </is>
      </c>
      <c r="M1865" t="inlineStr">
        <is>
          <t>致美星广图书的店</t>
        </is>
      </c>
      <c r="N1865">
        <v>713</v>
      </c>
      <c r="O1865">
        <v>4.73</v>
      </c>
      <c r="P1865">
        <v>9157</v>
      </c>
      <c r="Q1865" t="inlineStr">
        <is>
          <t>691c3f83ccb9e00001b54e9e</t>
        </is>
      </c>
      <c r="R1865" t="inlineStr">
        <is>
          <t>🚫重复</t>
        </is>
      </c>
      <c r="S1865" t="inlineStr">
        <is>
          <t>中小学教辅/教材</t>
        </is>
      </c>
      <c r="T1865" t="inlineStr">
        <is>
          <t>4.61</t>
        </is>
      </c>
      <c r="U1865" s="3">
        <v>46112.78107638889</v>
      </c>
      <c r="V1865"/>
      <c r="W1865" s="3">
        <v>46081.47180555556</v>
      </c>
      <c r="X1865" t="inlineStr">
        <is>
          <t>02</t>
        </is>
      </c>
      <c r="Y1865" t="inlineStr">
        <is>
          <t>2026-Q1</t>
        </is>
      </c>
    </row>
    <row r="1866" ht="38.25" customHeight="1">
      <c r="A1866" t="inlineStr">
        <is>
          <t>ssp上海学生英文报2026分类话题训练寒假合刊小学初高中寒假作业</t>
        </is>
      </c>
      <c r="B1866" t="inlineStr">
        <is>
          <t>recvdJwg0YsO1X.jpg</t>
        </is>
      </c>
      <c r="C1866" s="2" t="str">
        <f>=HYPERLINK("https://xhslink.com/m/11mVAkU8eZ7", "https://xhslink.com/m/11mVAkU8eZ7")</f>
        <v>https://xhslink.com/m/11mVAkU8eZ7</v>
      </c>
      <c r="D1866"/>
      <c r="E1866">
        <v>2739</v>
      </c>
      <c r="F1866">
        <v>398</v>
      </c>
      <c r="G1866"/>
      <c r="H1866">
        <v>2000</v>
      </c>
      <c r="I1866">
        <v>1000</v>
      </c>
      <c r="J1866"/>
      <c r="K1866" t="inlineStr">
        <is>
          <t>初中</t>
        </is>
      </c>
      <c r="L1866"/>
      <c r="M1866" t="inlineStr">
        <is>
          <t>慈怀书店的店</t>
        </is>
      </c>
      <c r="N1866">
        <v>5893</v>
      </c>
      <c r="O1866">
        <v>4.77</v>
      </c>
      <c r="P1866">
        <v>28000</v>
      </c>
      <c r="Q1866" t="inlineStr">
        <is>
          <t>6948f843b1e6660001482645</t>
        </is>
      </c>
      <c r="R1866" t="inlineStr">
        <is>
          <t>🚫重复</t>
        </is>
      </c>
      <c r="S1866" t="inlineStr">
        <is>
          <t>中小学教辅/教材</t>
        </is>
      </c>
      <c r="T1866" t="inlineStr">
        <is>
          <t>0.46</t>
        </is>
      </c>
      <c r="U1866" s="3">
        <v>46112.78107638889</v>
      </c>
      <c r="V1866"/>
      <c r="W1866" s="3">
        <v>46081.47180555556</v>
      </c>
      <c r="X1866" t="inlineStr">
        <is>
          <t>02</t>
        </is>
      </c>
      <c r="Y1866" t="inlineStr">
        <is>
          <t>2026-Q1</t>
        </is>
      </c>
    </row>
    <row r="1867" ht="38.25" customHeight="1">
      <c r="A1867" t="inlineStr">
        <is>
          <t>上海华育中学内部使用资料（笔记同款）</t>
        </is>
      </c>
      <c r="B1867" t="inlineStr">
        <is>
          <t>recvdJwg0YWAdh.jpg</t>
        </is>
      </c>
      <c r="C1867" s="2" t="str">
        <f>=HYPERLINK("https://xhslink.com/m/2dIrU7kuF38", "https://xhslink.com/m/2dIrU7kuF38")</f>
        <v>https://xhslink.com/m/2dIrU7kuF38</v>
      </c>
      <c r="D1867"/>
      <c r="E1867">
        <v>2680</v>
      </c>
      <c r="F1867">
        <v>69.9</v>
      </c>
      <c r="G1867"/>
      <c r="H1867">
        <v>250</v>
      </c>
      <c r="I1867">
        <v>1000</v>
      </c>
      <c r="J1867"/>
      <c r="K1867" t="inlineStr">
        <is>
          <t>初中</t>
        </is>
      </c>
      <c r="L1867"/>
      <c r="M1867" t="inlineStr">
        <is>
          <t>沪上家长Club的店</t>
        </is>
      </c>
      <c r="N1867">
        <v>2967</v>
      </c>
      <c r="O1867">
        <v>4.62</v>
      </c>
      <c r="P1867">
        <v>11000</v>
      </c>
      <c r="Q1867" t="inlineStr">
        <is>
          <t>687daab2b1b9df0001327520</t>
        </is>
      </c>
      <c r="R1867" t="inlineStr">
        <is>
          <t>🚫重复</t>
        </is>
      </c>
      <c r="S1867" t="inlineStr">
        <is>
          <t>中小学教辅/教材</t>
        </is>
      </c>
      <c r="T1867" t="inlineStr">
        <is>
          <t>0.90</t>
        </is>
      </c>
      <c r="U1867" s="3">
        <v>46112.78107638889</v>
      </c>
      <c r="V1867"/>
      <c r="W1867" s="3">
        <v>46081.47180555556</v>
      </c>
      <c r="X1867" t="inlineStr">
        <is>
          <t>02</t>
        </is>
      </c>
      <c r="Y1867" t="inlineStr">
        <is>
          <t>2026-Q1</t>
        </is>
      </c>
    </row>
    <row r="1868" ht="38.25" customHeight="1">
      <c r="A1868" t="inlineStr">
        <is>
          <t>学丞 · 刘晓艳初中英语58篇阅读记2000个单词刘晓艳初中英语单词</t>
        </is>
      </c>
      <c r="B1868" t="inlineStr">
        <is>
          <t>recvdJwg0YKYtt.jpg</t>
        </is>
      </c>
      <c r="C1868" s="2" t="str">
        <f>=HYPERLINK("https://xhslink.com/m/5ZagoNod3wr", "https://xhslink.com/m/5ZagoNod3wr")</f>
        <v>https://xhslink.com/m/5ZagoNod3wr</v>
      </c>
      <c r="D1868"/>
      <c r="E1868">
        <v>1876</v>
      </c>
      <c r="F1868">
        <v>89.8</v>
      </c>
      <c r="G1868"/>
      <c r="H1868">
        <v>600</v>
      </c>
      <c r="I1868">
        <v>1000</v>
      </c>
      <c r="J1868"/>
      <c r="K1868" t="inlineStr">
        <is>
          <t>初中</t>
        </is>
      </c>
      <c r="L1868"/>
      <c r="M1868" t="inlineStr">
        <is>
          <t>学丞图书旗舰店</t>
        </is>
      </c>
      <c r="N1868">
        <v>638</v>
      </c>
      <c r="O1868">
        <v>4.75</v>
      </c>
      <c r="P1868">
        <v>5010</v>
      </c>
      <c r="Q1868" t="inlineStr">
        <is>
          <t>688325a586c0df000197dee1</t>
        </is>
      </c>
      <c r="R1868"/>
      <c r="S1868" t="inlineStr">
        <is>
          <t>中小学教辅/教材</t>
        </is>
      </c>
      <c r="T1868" t="inlineStr">
        <is>
          <t>2.94</t>
        </is>
      </c>
      <c r="U1868" s="3">
        <v>46112.78107638889</v>
      </c>
      <c r="V1868"/>
      <c r="W1868" s="3">
        <v>46081.47180555556</v>
      </c>
      <c r="X1868" t="inlineStr">
        <is>
          <t>02</t>
        </is>
      </c>
      <c r="Y1868" t="inlineStr">
        <is>
          <t>2026-Q1</t>
        </is>
      </c>
    </row>
    <row r="1869" ht="38.25" customHeight="1">
      <c r="A1869" t="inlineStr">
        <is>
          <t>2025张雪峰【初中提分笔记】新教材新中考初中复习知识清单考点集</t>
        </is>
      </c>
      <c r="B1869" t="inlineStr">
        <is>
          <t>recvdJwg0YDafX.jpg</t>
        </is>
      </c>
      <c r="C1869" s="2" t="str">
        <f>=HYPERLINK("https://xhslink.com/m/4PpYYGUflPr", "https://xhslink.com/m/4PpYYGUflPr")</f>
        <v>https://xhslink.com/m/4PpYYGUflPr</v>
      </c>
      <c r="D1869"/>
      <c r="E1869">
        <v>1749</v>
      </c>
      <c r="F1869">
        <v>279</v>
      </c>
      <c r="G1869"/>
      <c r="H1869">
        <v>200</v>
      </c>
      <c r="I1869">
        <v>1000</v>
      </c>
      <c r="J1869"/>
      <c r="K1869" t="inlineStr">
        <is>
          <t>初中</t>
        </is>
      </c>
      <c r="L1869" t="inlineStr">
        <is>
          <t>🔥低粉爆款</t>
        </is>
      </c>
      <c r="M1869" t="inlineStr">
        <is>
          <t>文韵小书屋的店</t>
        </is>
      </c>
      <c r="N1869">
        <v>30</v>
      </c>
      <c r="O1869">
        <v>4.36</v>
      </c>
      <c r="P1869">
        <v>2262</v>
      </c>
      <c r="Q1869" t="inlineStr">
        <is>
          <t>68c2d65d39f90c0001da748c</t>
        </is>
      </c>
      <c r="R1869" t="inlineStr">
        <is>
          <t>🚫重复</t>
        </is>
      </c>
      <c r="S1869" t="inlineStr">
        <is>
          <t>中小学教辅/教材</t>
        </is>
      </c>
      <c r="T1869" t="inlineStr">
        <is>
          <t>58.30</t>
        </is>
      </c>
      <c r="U1869" s="3">
        <v>46112.78107638889</v>
      </c>
      <c r="V1869"/>
      <c r="W1869" s="3">
        <v>46081.47180555556</v>
      </c>
      <c r="X1869" t="inlineStr">
        <is>
          <t>02</t>
        </is>
      </c>
      <c r="Y1869" t="inlineStr">
        <is>
          <t>2026-Q1</t>
        </is>
      </c>
    </row>
    <row r="1870" ht="38.25" customHeight="1">
      <c r="A1870" t="inlineStr">
        <is>
          <t>【初中】春山“百分百胜率”语文逆袭营</t>
        </is>
      </c>
      <c r="B1870" t="inlineStr">
        <is>
          <t>recvdJwg0Yn5kh.jpg</t>
        </is>
      </c>
      <c r="C1870" s="2" t="str">
        <f>=HYPERLINK("https://xhslink.com/m/41WhMBPYika", "https://xhslink.com/m/41WhMBPYika")</f>
        <v>https://xhslink.com/m/41WhMBPYika</v>
      </c>
      <c r="D1870"/>
      <c r="E1870">
        <v>1598</v>
      </c>
      <c r="F1870">
        <v>99</v>
      </c>
      <c r="G1870"/>
      <c r="H1870">
        <v>250</v>
      </c>
      <c r="I1870">
        <v>1000</v>
      </c>
      <c r="J1870"/>
      <c r="K1870" t="inlineStr">
        <is>
          <t>初中</t>
        </is>
      </c>
      <c r="L1870"/>
      <c r="M1870" t="inlineStr">
        <is>
          <t>月照春山学姐的店</t>
        </is>
      </c>
      <c r="N1870">
        <v>42000</v>
      </c>
      <c r="O1870">
        <v>4.58</v>
      </c>
      <c r="P1870">
        <v>6242</v>
      </c>
      <c r="Q1870" t="inlineStr">
        <is>
          <t>6901e22245459000016decb2</t>
        </is>
      </c>
      <c r="R1870" t="inlineStr">
        <is>
          <t>🚫重复</t>
        </is>
      </c>
      <c r="S1870" t="inlineStr">
        <is>
          <t>中小学教辅/教材</t>
        </is>
      </c>
      <c r="T1870" t="inlineStr">
        <is>
          <t>0.04</t>
        </is>
      </c>
      <c r="U1870" s="3">
        <v>46112.78107638889</v>
      </c>
      <c r="V1870"/>
      <c r="W1870" s="3">
        <v>46081.47180555556</v>
      </c>
      <c r="X1870" t="inlineStr">
        <is>
          <t>02</t>
        </is>
      </c>
      <c r="Y1870" t="inlineStr">
        <is>
          <t>2026-Q1</t>
        </is>
      </c>
    </row>
    <row r="1871" ht="38.25" customHeight="1">
      <c r="A1871" t="inlineStr">
        <is>
          <t>学丞 · 【7-9】刘晓艳 初中满分英语 高效提分 精准备考 基础拔高全覆盖6</t>
        </is>
      </c>
      <c r="B1871" t="inlineStr">
        <is>
          <t>recvdJwg0YHEsF.jpg</t>
        </is>
      </c>
      <c r="C1871" s="2" t="str">
        <f>=HYPERLINK("https://xhslink.com/m/1UGQRhttJbi", "https://xhslink.com/m/1UGQRhttJbi")</f>
        <v>https://xhslink.com/m/1UGQRhttJbi</v>
      </c>
      <c r="D1871"/>
      <c r="E1871">
        <v>735</v>
      </c>
      <c r="F1871">
        <v>398</v>
      </c>
      <c r="G1871"/>
      <c r="H1871">
        <v>150</v>
      </c>
      <c r="I1871"/>
      <c r="J1871"/>
      <c r="K1871" t="inlineStr">
        <is>
          <t>初中</t>
        </is>
      </c>
      <c r="L1871"/>
      <c r="M1871" t="inlineStr">
        <is>
          <t>学丞图书考试旗舰店</t>
        </is>
      </c>
      <c r="N1871">
        <v>2055</v>
      </c>
      <c r="O1871">
        <v>4.62</v>
      </c>
      <c r="P1871">
        <v>7611</v>
      </c>
      <c r="Q1871" t="inlineStr">
        <is>
          <t>6913ee5c58a96d0001e3cdca</t>
        </is>
      </c>
      <c r="R1871" t="inlineStr">
        <is>
          <t>🚫重复</t>
        </is>
      </c>
      <c r="S1871" t="inlineStr">
        <is>
          <t>中小学教辅/教材</t>
        </is>
      </c>
      <c r="T1871" t="inlineStr">
        <is>
          <t>0.36</t>
        </is>
      </c>
      <c r="U1871" s="3">
        <v>46112.78107638889</v>
      </c>
      <c r="V1871"/>
      <c r="W1871" s="3">
        <v>46081.47180555556</v>
      </c>
      <c r="X1871" t="inlineStr">
        <is>
          <t>02</t>
        </is>
      </c>
      <c r="Y1871" t="inlineStr">
        <is>
          <t>2026-Q1</t>
        </is>
      </c>
    </row>
    <row r="1872" ht="38.25" customHeight="1">
      <c r="A1872" t="inlineStr">
        <is>
          <t>悦刊 · 21世纪学生英语报25-26年小学版初一初二初三高一高二高三报纸</t>
        </is>
      </c>
      <c r="B1872" t="inlineStr">
        <is>
          <t>recvdJwg0YLFJd.jpg</t>
        </is>
      </c>
      <c r="C1872" s="2" t="str">
        <f>=HYPERLINK("https://xhslink.com/m/1BIg9D12fYj", "https://xhslink.com/m/1BIg9D12fYj")</f>
        <v>https://xhslink.com/m/1BIg9D12fYj</v>
      </c>
      <c r="D1872"/>
      <c r="E1872">
        <v>12000</v>
      </c>
      <c r="F1872">
        <v>89</v>
      </c>
      <c r="G1872"/>
      <c r="H1872">
        <v>250</v>
      </c>
      <c r="I1872">
        <v>1000</v>
      </c>
      <c r="J1872"/>
      <c r="K1872" t="inlineStr">
        <is>
          <t>初中</t>
        </is>
      </c>
      <c r="L1872"/>
      <c r="M1872" t="inlineStr">
        <is>
          <t>悦刊旗舰店</t>
        </is>
      </c>
      <c r="N1872">
        <v>83000</v>
      </c>
      <c r="O1872">
        <v>4.73</v>
      </c>
      <c r="P1872">
        <v>186000</v>
      </c>
      <c r="Q1872" t="inlineStr">
        <is>
          <t>69041200becfcc000173a20a</t>
        </is>
      </c>
      <c r="R1872" t="inlineStr">
        <is>
          <t>🚫重复</t>
        </is>
      </c>
      <c r="S1872" t="inlineStr">
        <is>
          <t>中小学教辅/教材</t>
        </is>
      </c>
      <c r="T1872" t="inlineStr">
        <is>
          <t>0.14</t>
        </is>
      </c>
      <c r="U1872" s="3">
        <v>46112.78107638889</v>
      </c>
      <c r="V1872"/>
      <c r="W1872" s="3">
        <v>46081.47180555556</v>
      </c>
      <c r="X1872" t="inlineStr">
        <is>
          <t>02</t>
        </is>
      </c>
      <c r="Y1872" t="inlineStr">
        <is>
          <t>2026-Q1</t>
        </is>
      </c>
    </row>
    <row r="1873" ht="38.25" customHeight="1">
      <c r="A1873" t="inlineStr">
        <is>
          <t>一本 · 【预备初一下册】26寒假预习语数英小四门免费音视频CZ</t>
        </is>
      </c>
      <c r="B1873" t="inlineStr">
        <is>
          <t>recvdJwg0YnYIj.jpg</t>
        </is>
      </c>
      <c r="C1873" s="2" t="str">
        <f>=HYPERLINK("https://xhslink.com/m/1Sqx3QkEc0J", "https://xhslink.com/m/1Sqx3QkEc0J")</f>
        <v>https://xhslink.com/m/1Sqx3QkEc0J</v>
      </c>
      <c r="D1873"/>
      <c r="E1873">
        <v>3345</v>
      </c>
      <c r="F1873">
        <v>119.4</v>
      </c>
      <c r="G1873"/>
      <c r="H1873">
        <v>1000</v>
      </c>
      <c r="I1873">
        <v>1000</v>
      </c>
      <c r="J1873"/>
      <c r="K1873" t="inlineStr">
        <is>
          <t>初中</t>
        </is>
      </c>
      <c r="L1873"/>
      <c r="M1873" t="inlineStr">
        <is>
          <t>一本旗舰店</t>
        </is>
      </c>
      <c r="N1873">
        <v>70000</v>
      </c>
      <c r="O1873">
        <v>4.52</v>
      </c>
      <c r="P1873">
        <v>246000</v>
      </c>
      <c r="Q1873" t="inlineStr">
        <is>
          <t>6937eb3c6bc9860001c246b8</t>
        </is>
      </c>
      <c r="R1873" t="inlineStr">
        <is>
          <t>🚫重复</t>
        </is>
      </c>
      <c r="S1873" t="inlineStr">
        <is>
          <t>中小学教辅/教材</t>
        </is>
      </c>
      <c r="T1873" t="inlineStr">
        <is>
          <t>0.05</t>
        </is>
      </c>
      <c r="U1873" s="3">
        <v>46112.78107638889</v>
      </c>
      <c r="V1873"/>
      <c r="W1873" s="3">
        <v>46081.47180555556</v>
      </c>
      <c r="X1873" t="inlineStr">
        <is>
          <t>02</t>
        </is>
      </c>
      <c r="Y1873" t="inlineStr">
        <is>
          <t>2026-Q1</t>
        </is>
      </c>
    </row>
    <row r="1874" ht="38.25" customHeight="1">
      <c r="A1874" t="inlineStr">
        <is>
          <t>教资备考2026考试笔试网课幼儿小学初高中历年真题电子版讲义题库</t>
        </is>
      </c>
      <c r="B1874" t="inlineStr">
        <is>
          <t>recvdJwg0YA2QJ.jpg</t>
        </is>
      </c>
      <c r="C1874" s="2" t="str">
        <f>=HYPERLINK("https://xhslink.com/m/1lC3hDo7NYC", "https://xhslink.com/m/1lC3hDo7NYC")</f>
        <v>https://xhslink.com/m/1lC3hDo7NYC</v>
      </c>
      <c r="D1874"/>
      <c r="E1874">
        <v>2634</v>
      </c>
      <c r="F1874">
        <v>76</v>
      </c>
      <c r="G1874"/>
      <c r="H1874">
        <v>250</v>
      </c>
      <c r="I1874">
        <v>1000</v>
      </c>
      <c r="J1874"/>
      <c r="K1874" t="inlineStr">
        <is>
          <t>初中</t>
        </is>
      </c>
      <c r="L1874" t="inlineStr">
        <is>
          <t>🔥低粉爆款</t>
        </is>
      </c>
      <c r="M1874" t="inlineStr">
        <is>
          <t>知一学姐的店</t>
        </is>
      </c>
      <c r="N1874">
        <v>277</v>
      </c>
      <c r="O1874">
        <v>4.46</v>
      </c>
      <c r="P1874">
        <v>6519</v>
      </c>
      <c r="Q1874" t="inlineStr">
        <is>
          <t>680681b1382e1700010aeb71</t>
        </is>
      </c>
      <c r="R1874" t="inlineStr">
        <is>
          <t>🚫重复</t>
        </is>
      </c>
      <c r="S1874" t="inlineStr">
        <is>
          <t>教资资料</t>
        </is>
      </c>
      <c r="T1874" t="inlineStr">
        <is>
          <t>9.51</t>
        </is>
      </c>
      <c r="U1874" s="3">
        <v>46112.78107638889</v>
      </c>
      <c r="V1874"/>
      <c r="W1874" s="3">
        <v>46081.47180555556</v>
      </c>
      <c r="X1874" t="inlineStr">
        <is>
          <t>02</t>
        </is>
      </c>
      <c r="Y1874" t="inlineStr">
        <is>
          <t>2026-Q1</t>
        </is>
      </c>
    </row>
    <row r="1875" ht="38.25" customHeight="1">
      <c r="A1875" t="inlineStr">
        <is>
          <t>意林 · 作文素材杂志2026/25年订阅 全年24本 中学生写作技巧提升</t>
        </is>
      </c>
      <c r="B1875" t="inlineStr">
        <is>
          <t>recvdJwg0YiSTp.jpg</t>
        </is>
      </c>
      <c r="C1875" s="2" t="str">
        <f>=HYPERLINK("https://xhslink.com/m/8rkAuuvJj7D", "https://xhslink.com/m/8rkAuuvJj7D")</f>
        <v>https://xhslink.com/m/8rkAuuvJj7D</v>
      </c>
      <c r="D1875"/>
      <c r="E1875">
        <v>2200</v>
      </c>
      <c r="F1875">
        <v>216</v>
      </c>
      <c r="G1875"/>
      <c r="H1875">
        <v>150</v>
      </c>
      <c r="I1875">
        <v>1000</v>
      </c>
      <c r="J1875"/>
      <c r="K1875" t="inlineStr">
        <is>
          <t>初中</t>
        </is>
      </c>
      <c r="L1875"/>
      <c r="M1875" t="inlineStr">
        <is>
          <t>意林旗舰店</t>
        </is>
      </c>
      <c r="N1875">
        <v>226000</v>
      </c>
      <c r="O1875">
        <v>4.67</v>
      </c>
      <c r="P1875">
        <v>106000</v>
      </c>
      <c r="Q1875" t="inlineStr">
        <is>
          <t>6911b8820323f20001bdc295</t>
        </is>
      </c>
      <c r="R1875" t="inlineStr">
        <is>
          <t>🚫重复</t>
        </is>
      </c>
      <c r="S1875" t="inlineStr">
        <is>
          <t>中小学教辅/教材</t>
        </is>
      </c>
      <c r="T1875" t="inlineStr">
        <is>
          <t>0.01</t>
        </is>
      </c>
      <c r="U1875" s="3">
        <v>46112.78107638889</v>
      </c>
      <c r="V1875"/>
      <c r="W1875" s="3">
        <v>46081.47180555556</v>
      </c>
      <c r="X1875" t="inlineStr">
        <is>
          <t>02</t>
        </is>
      </c>
      <c r="Y1875" t="inlineStr">
        <is>
          <t>2026-Q1</t>
        </is>
      </c>
    </row>
    <row r="1876" ht="38.25" customHeight="1">
      <c r="A1876" t="inlineStr">
        <is>
          <t>高中高三高考总复习知识解题技巧归纳总结教程资料提分课程重点</t>
        </is>
      </c>
      <c r="B1876" t="inlineStr">
        <is>
          <t>recvdJwg0YXbp7.jpg</t>
        </is>
      </c>
      <c r="C1876" s="2" t="str">
        <f>=HYPERLINK("https://xhslink.com/m/88EqJMl8TK4", "https://xhslink.com/m/88EqJMl8TK4")</f>
        <v>https://xhslink.com/m/88EqJMl8TK4</v>
      </c>
      <c r="D1876"/>
      <c r="E1876">
        <v>17000</v>
      </c>
      <c r="F1876">
        <v>29.8</v>
      </c>
      <c r="G1876"/>
      <c r="H1876">
        <v>250</v>
      </c>
      <c r="I1876">
        <v>1000</v>
      </c>
      <c r="J1876"/>
      <c r="K1876" t="inlineStr">
        <is>
          <t>高中</t>
        </is>
      </c>
      <c r="L1876"/>
      <c r="M1876" t="inlineStr">
        <is>
          <t>发发的高中资料库的店</t>
        </is>
      </c>
      <c r="N1876">
        <v>16000</v>
      </c>
      <c r="O1876">
        <v>4.42</v>
      </c>
      <c r="P1876">
        <v>53000</v>
      </c>
      <c r="Q1876" t="inlineStr">
        <is>
          <t>6607d2b65c3c5a000156f2a1</t>
        </is>
      </c>
      <c r="R1876" t="inlineStr">
        <is>
          <t>🚫重复</t>
        </is>
      </c>
      <c r="S1876" t="inlineStr">
        <is>
          <t>高中/高考资料</t>
        </is>
      </c>
      <c r="T1876" t="inlineStr">
        <is>
          <t>1.06</t>
        </is>
      </c>
      <c r="U1876" s="3">
        <v>46112.78107638889</v>
      </c>
      <c r="V1876"/>
      <c r="W1876" s="3">
        <v>46081.47180555556</v>
      </c>
      <c r="X1876" t="inlineStr">
        <is>
          <t>02</t>
        </is>
      </c>
      <c r="Y1876" t="inlineStr">
        <is>
          <t>2026-Q1</t>
        </is>
      </c>
    </row>
    <row r="1877" ht="38.25" customHeight="1">
      <c r="A1877" t="inlineStr">
        <is>
          <t>半小书 · 【高中必备】2026黄夫人物理知识点 刷题 视频课三合一通用版</t>
        </is>
      </c>
      <c r="B1877" t="inlineStr">
        <is>
          <t>recvdJwg0YuaFY.jpg</t>
        </is>
      </c>
      <c r="C1877" s="2" t="str">
        <f>=HYPERLINK("https://xhslink.com/m/7kCqAdCE1rH", "https://xhslink.com/m/7kCqAdCE1rH")</f>
        <v>https://xhslink.com/m/7kCqAdCE1rH</v>
      </c>
      <c r="D1877"/>
      <c r="E1877">
        <v>2674</v>
      </c>
      <c r="F1877">
        <v>128</v>
      </c>
      <c r="G1877"/>
      <c r="H1877">
        <v>150</v>
      </c>
      <c r="I1877">
        <v>1000</v>
      </c>
      <c r="J1877"/>
      <c r="K1877" t="inlineStr">
        <is>
          <t>高中</t>
        </is>
      </c>
      <c r="L1877"/>
      <c r="M1877" t="inlineStr">
        <is>
          <t>半小书旗舰店</t>
        </is>
      </c>
      <c r="N1877">
        <v>25000</v>
      </c>
      <c r="O1877">
        <v>4.83</v>
      </c>
      <c r="P1877">
        <v>44000</v>
      </c>
      <c r="Q1877" t="inlineStr">
        <is>
          <t>66daa8b1f63d3900011e8fe2</t>
        </is>
      </c>
      <c r="R1877" t="inlineStr">
        <is>
          <t>🚫重复</t>
        </is>
      </c>
      <c r="S1877" t="inlineStr">
        <is>
          <t>高中/高考资料</t>
        </is>
      </c>
      <c r="T1877" t="inlineStr">
        <is>
          <t>0.11</t>
        </is>
      </c>
      <c r="U1877" s="3">
        <v>46112.78107638889</v>
      </c>
      <c r="V1877"/>
      <c r="W1877" s="3">
        <v>46081.47180555556</v>
      </c>
      <c r="X1877" t="inlineStr">
        <is>
          <t>02</t>
        </is>
      </c>
      <c r="Y1877" t="inlineStr">
        <is>
          <t>2026-Q1</t>
        </is>
      </c>
    </row>
    <row r="1878" ht="38.25" customHeight="1">
      <c r="A1878" t="inlineStr">
        <is>
          <t>高中数学题型大归纳高分必备大通关</t>
        </is>
      </c>
      <c r="B1878" t="inlineStr">
        <is>
          <t>recvdJwg0Yr4u4.jpg</t>
        </is>
      </c>
      <c r="C1878" s="2" t="str">
        <f>=HYPERLINK("https://xhslink.com/m/8hvj4lTMmIZ", "https://xhslink.com/m/8hvj4lTMmIZ")</f>
        <v>https://xhslink.com/m/8hvj4lTMmIZ</v>
      </c>
      <c r="D1878"/>
      <c r="E1878">
        <v>1348</v>
      </c>
      <c r="F1878">
        <v>299</v>
      </c>
      <c r="G1878"/>
      <c r="H1878">
        <v>150</v>
      </c>
      <c r="I1878">
        <v>1000</v>
      </c>
      <c r="J1878"/>
      <c r="K1878" t="inlineStr">
        <is>
          <t>高中</t>
        </is>
      </c>
      <c r="L1878"/>
      <c r="M1878" t="inlineStr">
        <is>
          <t>teacher李讲高中的店</t>
        </is>
      </c>
      <c r="N1878">
        <v>24000</v>
      </c>
      <c r="O1878">
        <v>4.48</v>
      </c>
      <c r="P1878">
        <v>4224</v>
      </c>
      <c r="Q1878" t="inlineStr">
        <is>
          <t>687787eae019f20001fb41b9</t>
        </is>
      </c>
      <c r="R1878" t="inlineStr">
        <is>
          <t>🚫重复</t>
        </is>
      </c>
      <c r="S1878" t="inlineStr">
        <is>
          <t>高中/高考资料</t>
        </is>
      </c>
      <c r="T1878" t="inlineStr">
        <is>
          <t>0.06</t>
        </is>
      </c>
      <c r="U1878" s="3">
        <v>46112.78107638889</v>
      </c>
      <c r="V1878"/>
      <c r="W1878" s="3">
        <v>46081.47180555556</v>
      </c>
      <c r="X1878" t="inlineStr">
        <is>
          <t>02</t>
        </is>
      </c>
      <c r="Y1878" t="inlineStr">
        <is>
          <t>2026-Q1</t>
        </is>
      </c>
    </row>
    <row r="1879" ht="38.25" customHeight="1">
      <c r="A1879" t="inlineStr">
        <is>
          <t>高中数学高一高二必修选修全部题型大归纳提分必备</t>
        </is>
      </c>
      <c r="B1879" t="inlineStr">
        <is>
          <t>recvdJwg0YnIr8.jpg</t>
        </is>
      </c>
      <c r="C1879" s="2" t="str">
        <f>=HYPERLINK("https://xhslink.com/m/4b5TOn0FxBd", "https://xhslink.com/m/4b5TOn0FxBd")</f>
        <v>https://xhslink.com/m/4b5TOn0FxBd</v>
      </c>
      <c r="D1879"/>
      <c r="E1879">
        <v>954</v>
      </c>
      <c r="F1879">
        <v>900</v>
      </c>
      <c r="G1879"/>
      <c r="H1879">
        <v>100</v>
      </c>
      <c r="I1879"/>
      <c r="J1879"/>
      <c r="K1879" t="inlineStr">
        <is>
          <t>高中</t>
        </is>
      </c>
      <c r="L1879"/>
      <c r="M1879" t="inlineStr">
        <is>
          <t>teacher李讲高中的店</t>
        </is>
      </c>
      <c r="N1879">
        <v>24000</v>
      </c>
      <c r="O1879">
        <v>4.48</v>
      </c>
      <c r="P1879">
        <v>4224</v>
      </c>
      <c r="Q1879" t="inlineStr">
        <is>
          <t>6922f788fb6e0d00013a8fa8</t>
        </is>
      </c>
      <c r="R1879" t="inlineStr">
        <is>
          <t>🚫重复</t>
        </is>
      </c>
      <c r="S1879" t="inlineStr">
        <is>
          <t>高中/高考资料</t>
        </is>
      </c>
      <c r="T1879" t="inlineStr">
        <is>
          <t>0.04</t>
        </is>
      </c>
      <c r="U1879" s="3">
        <v>46112.78107638889</v>
      </c>
      <c r="V1879"/>
      <c r="W1879" s="3">
        <v>46081.47180555556</v>
      </c>
      <c r="X1879" t="inlineStr">
        <is>
          <t>02</t>
        </is>
      </c>
      <c r="Y1879" t="inlineStr">
        <is>
          <t>2026-Q1</t>
        </is>
      </c>
    </row>
    <row r="1880" ht="38.25" customHeight="1">
      <c r="A1880" t="inlineStr">
        <is>
          <t>跟着电影学阅读系列（看清不同规格哦！只支持百度网盘发货！）</t>
        </is>
      </c>
      <c r="B1880" t="inlineStr">
        <is>
          <t>recvdJwg0Y3iyX.jpg</t>
        </is>
      </c>
      <c r="C1880" s="2" t="str">
        <f>=HYPERLINK("https://xhslink.com/m/7tIpQYi8ZnS", "https://xhslink.com/m/7tIpQYi8ZnS")</f>
        <v>https://xhslink.com/m/7tIpQYi8ZnS</v>
      </c>
      <c r="D1880"/>
      <c r="E1880">
        <v>819</v>
      </c>
      <c r="F1880">
        <v>248</v>
      </c>
      <c r="G1880"/>
      <c r="H1880">
        <v>100</v>
      </c>
      <c r="I1880"/>
      <c r="J1880"/>
      <c r="K1880" t="inlineStr">
        <is>
          <t>高中</t>
        </is>
      </c>
      <c r="L1880"/>
      <c r="M1880" t="inlineStr">
        <is>
          <t>会发光的语文课的店</t>
        </is>
      </c>
      <c r="N1880">
        <v>6554</v>
      </c>
      <c r="O1880">
        <v>4.47</v>
      </c>
      <c r="P1880">
        <v>7871</v>
      </c>
      <c r="Q1880" t="inlineStr">
        <is>
          <t>69535624a35123000190823f</t>
        </is>
      </c>
      <c r="R1880"/>
      <c r="S1880" t="inlineStr">
        <is>
          <t>中小学教辅/教材</t>
        </is>
      </c>
      <c r="T1880" t="inlineStr">
        <is>
          <t>0.12</t>
        </is>
      </c>
      <c r="U1880" s="3">
        <v>46112.78107638889</v>
      </c>
      <c r="V1880"/>
      <c r="W1880" s="3">
        <v>46081.47180555556</v>
      </c>
      <c r="X1880" t="inlineStr">
        <is>
          <t>02</t>
        </is>
      </c>
      <c r="Y1880" t="inlineStr">
        <is>
          <t>2026-Q1</t>
        </is>
      </c>
    </row>
    <row r="1881" ht="38.25" customHeight="1">
      <c r="A1881" t="inlineStr">
        <is>
          <t>26届【春招】校招汇总表  每日更新  一键投递</t>
        </is>
      </c>
      <c r="B1881" t="inlineStr">
        <is>
          <t>recvdJwg0Yf1lV.jpg</t>
        </is>
      </c>
      <c r="C1881" s="2" t="str">
        <f>=HYPERLINK("https://xhslink.com/m/9Ph6CWDIagP", "https://xhslink.com/m/9Ph6CWDIagP")</f>
        <v>https://xhslink.com/m/9Ph6CWDIagP</v>
      </c>
      <c r="D1881"/>
      <c r="E1881">
        <v>2996</v>
      </c>
      <c r="F1881">
        <v>79.99</v>
      </c>
      <c r="G1881"/>
      <c r="H1881">
        <v>100</v>
      </c>
      <c r="I1881">
        <v>1000</v>
      </c>
      <c r="J1881"/>
      <c r="K1881" t="inlineStr">
        <is>
          <t>春招</t>
        </is>
      </c>
      <c r="L1881"/>
      <c r="M1881" t="inlineStr">
        <is>
          <t>校招信息一锅端的店</t>
        </is>
      </c>
      <c r="N1881">
        <v>11000</v>
      </c>
      <c r="O1881">
        <v>4.21</v>
      </c>
      <c r="P1881">
        <v>6235</v>
      </c>
      <c r="Q1881" t="inlineStr">
        <is>
          <t>694d4fbd23d3ce00018d0df9</t>
        </is>
      </c>
      <c r="R1881" t="inlineStr">
        <is>
          <t>🚫重复</t>
        </is>
      </c>
      <c r="S1881" t="inlineStr">
        <is>
          <t>求职面试/职场</t>
        </is>
      </c>
      <c r="T1881" t="inlineStr">
        <is>
          <t>0.27</t>
        </is>
      </c>
      <c r="U1881" s="3">
        <v>46112.78107638889</v>
      </c>
      <c r="V1881"/>
      <c r="W1881" s="3">
        <v>46081.47180555556</v>
      </c>
      <c r="X1881" t="inlineStr">
        <is>
          <t>02</t>
        </is>
      </c>
      <c r="Y1881" t="inlineStr">
        <is>
          <t>2026-Q1</t>
        </is>
      </c>
    </row>
    <row r="1882" ht="38.25" customHeight="1">
      <c r="A1882" t="inlineStr">
        <is>
          <t>(秒发）25/26/27秋招&amp;春招&amp;实习信息汇总表(每日更新，特别全)</t>
        </is>
      </c>
      <c r="B1882" t="inlineStr">
        <is>
          <t>recvdJwg0Yoj0Q.jpg</t>
        </is>
      </c>
      <c r="C1882" s="2" t="str">
        <f>=HYPERLINK("https://xhslink.com/m/2QmvJvCXHtp", "https://xhslink.com/m/2QmvJvCXHtp")</f>
        <v>https://xhslink.com/m/2QmvJvCXHtp</v>
      </c>
      <c r="D1882"/>
      <c r="E1882">
        <v>1802</v>
      </c>
      <c r="F1882">
        <v>12.9</v>
      </c>
      <c r="G1882"/>
      <c r="H1882">
        <v>150</v>
      </c>
      <c r="I1882">
        <v>1000</v>
      </c>
      <c r="J1882"/>
      <c r="K1882" t="inlineStr">
        <is>
          <t>春招</t>
        </is>
      </c>
      <c r="L1882" t="inlineStr">
        <is>
          <t>🔥低粉爆款</t>
        </is>
      </c>
      <c r="M1882" t="inlineStr">
        <is>
          <t>青柠学姐的店</t>
        </is>
      </c>
      <c r="N1882">
        <v>568</v>
      </c>
      <c r="O1882">
        <v>4.08</v>
      </c>
      <c r="P1882">
        <v>2628</v>
      </c>
      <c r="Q1882" t="inlineStr">
        <is>
          <t>6888a222eab7930001343913</t>
        </is>
      </c>
      <c r="R1882"/>
      <c r="S1882" t="inlineStr">
        <is>
          <t>求职面试/职场</t>
        </is>
      </c>
      <c r="T1882" t="inlineStr">
        <is>
          <t>3.17</t>
        </is>
      </c>
      <c r="U1882" s="3">
        <v>46112.78107638889</v>
      </c>
      <c r="V1882"/>
      <c r="W1882" s="3">
        <v>46081.47180555556</v>
      </c>
      <c r="X1882" t="inlineStr">
        <is>
          <t>02</t>
        </is>
      </c>
      <c r="Y1882" t="inlineStr">
        <is>
          <t>2026-Q1</t>
        </is>
      </c>
    </row>
    <row r="1883" ht="38.25" customHeight="1">
      <c r="A1883" t="inlineStr">
        <is>
          <t>【23/24/25/26届】2026校招汇总 含秋春招/补录/往届/国央企/外企</t>
        </is>
      </c>
      <c r="B1883" t="inlineStr">
        <is>
          <t>recvdJwg0YRpYQ.jpg</t>
        </is>
      </c>
      <c r="C1883" s="2" t="str">
        <f>=HYPERLINK("https://xhslink.com/m/2WLRlNe6bGt", "https://xhslink.com/m/2WLRlNe6bGt")</f>
        <v>https://xhslink.com/m/2WLRlNe6bGt</v>
      </c>
      <c r="D1883"/>
      <c r="E1883">
        <v>707</v>
      </c>
      <c r="F1883">
        <v>49.9</v>
      </c>
      <c r="G1883"/>
      <c r="H1883">
        <v>100</v>
      </c>
      <c r="I1883"/>
      <c r="J1883"/>
      <c r="K1883" t="inlineStr">
        <is>
          <t>春招</t>
        </is>
      </c>
      <c r="L1883"/>
      <c r="M1883" t="inlineStr">
        <is>
          <t>牛马学姐🐮（往届版）的店</t>
        </is>
      </c>
      <c r="N1883">
        <v>16000</v>
      </c>
      <c r="O1883">
        <v>4.19</v>
      </c>
      <c r="P1883">
        <v>707</v>
      </c>
      <c r="Q1883" t="inlineStr">
        <is>
          <t>688887da417c3f000199db08</t>
        </is>
      </c>
      <c r="R1883" t="inlineStr">
        <is>
          <t>🚫重复</t>
        </is>
      </c>
      <c r="S1883" t="inlineStr">
        <is>
          <t>求职面试/职场</t>
        </is>
      </c>
      <c r="T1883" t="inlineStr">
        <is>
          <t>0.04</t>
        </is>
      </c>
      <c r="U1883" s="3">
        <v>46112.78107638889</v>
      </c>
      <c r="V1883"/>
      <c r="W1883" s="3">
        <v>46081.47180555556</v>
      </c>
      <c r="X1883" t="inlineStr">
        <is>
          <t>02</t>
        </is>
      </c>
      <c r="Y1883" t="inlineStr">
        <is>
          <t>2026-Q1</t>
        </is>
      </c>
    </row>
    <row r="1884" ht="38.25" customHeight="1">
      <c r="A1884" t="inlineStr">
        <is>
          <t>【每日更新】22-26届秋招/春招/实习企业信息汇总表（秒发货）</t>
        </is>
      </c>
      <c r="B1884" t="inlineStr">
        <is>
          <t>recvdJwg0YvPYI.jpg</t>
        </is>
      </c>
      <c r="C1884" s="2" t="str">
        <f>=HYPERLINK("https://xhslink.com/m/2fyFNh5fgs1", "https://xhslink.com/m/2fyFNh5fgs1")</f>
        <v>https://xhslink.com/m/2fyFNh5fgs1</v>
      </c>
      <c r="D1884"/>
      <c r="E1884">
        <v>332</v>
      </c>
      <c r="F1884">
        <v>29.9</v>
      </c>
      <c r="G1884"/>
      <c r="H1884">
        <v>100</v>
      </c>
      <c r="I1884"/>
      <c r="J1884"/>
      <c r="K1884" t="inlineStr">
        <is>
          <t>春招</t>
        </is>
      </c>
      <c r="L1884" t="inlineStr">
        <is>
          <t>🔥低粉爆款</t>
        </is>
      </c>
      <c r="M1884" t="inlineStr">
        <is>
          <t>苏泽力的店</t>
        </is>
      </c>
      <c r="N1884">
        <v>29</v>
      </c>
      <c r="O1884">
        <v>4.17</v>
      </c>
      <c r="P1884">
        <v>412</v>
      </c>
      <c r="Q1884" t="inlineStr">
        <is>
          <t>6935535c15fdcf00017b629b</t>
        </is>
      </c>
      <c r="R1884" t="inlineStr">
        <is>
          <t>🚫重复</t>
        </is>
      </c>
      <c r="S1884" t="inlineStr">
        <is>
          <t>求职面试/职场</t>
        </is>
      </c>
      <c r="T1884" t="inlineStr">
        <is>
          <t>11.45</t>
        </is>
      </c>
      <c r="U1884" s="3">
        <v>46112.78107638889</v>
      </c>
      <c r="V1884"/>
      <c r="W1884" s="3">
        <v>46081.47180555556</v>
      </c>
      <c r="X1884" t="inlineStr">
        <is>
          <t>02</t>
        </is>
      </c>
      <c r="Y1884" t="inlineStr">
        <is>
          <t>2026-Q1</t>
        </is>
      </c>
    </row>
    <row r="1885" ht="38.25" customHeight="1">
      <c r="A1885" t="inlineStr">
        <is>
          <t>26届秋招+春招+寒假实习信息汇总表（每日更新赠送资料）</t>
        </is>
      </c>
      <c r="B1885" t="inlineStr">
        <is>
          <t>recvdJwg0Y00aj.jpg</t>
        </is>
      </c>
      <c r="C1885" s="2" t="str">
        <f>=HYPERLINK("https://xhslink.com/m/A9HuRw2yXuA", "https://xhslink.com/m/A9HuRw2yXuA")</f>
        <v>https://xhslink.com/m/A9HuRw2yXuA</v>
      </c>
      <c r="D1885"/>
      <c r="E1885">
        <v>21000</v>
      </c>
      <c r="F1885">
        <v>16.9</v>
      </c>
      <c r="G1885"/>
      <c r="H1885">
        <v>750</v>
      </c>
      <c r="I1885">
        <v>1000</v>
      </c>
      <c r="J1885"/>
      <c r="K1885" t="inlineStr">
        <is>
          <t>秋招</t>
        </is>
      </c>
      <c r="L1885" t="inlineStr">
        <is>
          <t>🔥低粉爆款</t>
        </is>
      </c>
      <c r="M1885" t="inlineStr">
        <is>
          <t>嘟嘟吖爱读书的店</t>
        </is>
      </c>
      <c r="N1885">
        <v>1137</v>
      </c>
      <c r="O1885">
        <v>4.52</v>
      </c>
      <c r="P1885">
        <v>22000</v>
      </c>
      <c r="Q1885" t="inlineStr">
        <is>
          <t>68911a2179bc470001436f2e</t>
        </is>
      </c>
      <c r="R1885" t="inlineStr">
        <is>
          <t>🚫重复</t>
        </is>
      </c>
      <c r="S1885" t="inlineStr">
        <is>
          <t>求职面试/职场</t>
        </is>
      </c>
      <c r="T1885" t="inlineStr">
        <is>
          <t>18.47</t>
        </is>
      </c>
      <c r="U1885" s="3">
        <v>46112.78107638889</v>
      </c>
      <c r="V1885"/>
      <c r="W1885" s="3">
        <v>46081.47180555556</v>
      </c>
      <c r="X1885" t="inlineStr">
        <is>
          <t>02</t>
        </is>
      </c>
      <c r="Y1885" t="inlineStr">
        <is>
          <t>2026-Q1</t>
        </is>
      </c>
    </row>
    <row r="1886" ht="38.25" customHeight="1">
      <c r="A1886" t="inlineStr">
        <is>
          <t>【每日更新】26届寒假实习+秋招+春招校招企业岗位信息汇总表</t>
        </is>
      </c>
      <c r="B1886" t="inlineStr">
        <is>
          <t>recvdJwg0YHVjR.jpg</t>
        </is>
      </c>
      <c r="C1886" s="2" t="str">
        <f>=HYPERLINK("https://xhslink.com/m/8W6gSsEPALQ", "https://xhslink.com/m/8W6gSsEPALQ")</f>
        <v>https://xhslink.com/m/8W6gSsEPALQ</v>
      </c>
      <c r="D1886"/>
      <c r="E1886">
        <v>10000</v>
      </c>
      <c r="F1886">
        <v>0.9</v>
      </c>
      <c r="G1886"/>
      <c r="H1886">
        <v>300</v>
      </c>
      <c r="I1886">
        <v>1000</v>
      </c>
      <c r="J1886"/>
      <c r="K1886" t="inlineStr">
        <is>
          <t>秋招</t>
        </is>
      </c>
      <c r="L1886"/>
      <c r="M1886" t="inlineStr">
        <is>
          <t>校招资料猿的店</t>
        </is>
      </c>
      <c r="N1886">
        <v>5479</v>
      </c>
      <c r="O1886">
        <v>4.06</v>
      </c>
      <c r="P1886">
        <v>17000</v>
      </c>
      <c r="Q1886" t="inlineStr">
        <is>
          <t>6982bb62f0c48400011a4242</t>
        </is>
      </c>
      <c r="R1886"/>
      <c r="S1886" t="inlineStr">
        <is>
          <t>求职面试/职场</t>
        </is>
      </c>
      <c r="T1886" t="inlineStr">
        <is>
          <t>1.83</t>
        </is>
      </c>
      <c r="U1886" s="3">
        <v>46112.78107638889</v>
      </c>
      <c r="V1886"/>
      <c r="W1886" s="3">
        <v>46081.47180555556</v>
      </c>
      <c r="X1886" t="inlineStr">
        <is>
          <t>02</t>
        </is>
      </c>
      <c r="Y1886" t="inlineStr">
        <is>
          <t>2026-Q1</t>
        </is>
      </c>
    </row>
    <row r="1887" ht="38.25" customHeight="1">
      <c r="A1887" t="inlineStr">
        <is>
          <t>环境专业26届春招岗位表（25-26届）</t>
        </is>
      </c>
      <c r="B1887" t="inlineStr">
        <is>
          <t>recvdJwg0YicNn.jpg</t>
        </is>
      </c>
      <c r="C1887" s="2" t="str">
        <f>=HYPERLINK("https://xhslink.com/m/2iZHLU6gaZ5", "https://xhslink.com/m/2iZHLU6gaZ5")</f>
        <v>https://xhslink.com/m/2iZHLU6gaZ5</v>
      </c>
      <c r="D1887"/>
      <c r="E1887">
        <v>1774</v>
      </c>
      <c r="F1887">
        <v>99.8</v>
      </c>
      <c r="G1887"/>
      <c r="H1887">
        <v>100</v>
      </c>
      <c r="I1887">
        <v>1000</v>
      </c>
      <c r="J1887"/>
      <c r="K1887" t="inlineStr">
        <is>
          <t>秋招</t>
        </is>
      </c>
      <c r="L1887"/>
      <c r="M1887" t="inlineStr">
        <is>
          <t>环境就业推荐官的店</t>
        </is>
      </c>
      <c r="N1887">
        <v>19000</v>
      </c>
      <c r="O1887">
        <v>3.97</v>
      </c>
      <c r="P1887">
        <v>4252</v>
      </c>
      <c r="Q1887" t="inlineStr">
        <is>
          <t>67fd132004afe3000105e79d</t>
        </is>
      </c>
      <c r="R1887" t="inlineStr">
        <is>
          <t>🚫重复</t>
        </is>
      </c>
      <c r="S1887" t="inlineStr">
        <is>
          <t>求职面试/职场</t>
        </is>
      </c>
      <c r="T1887" t="inlineStr">
        <is>
          <t>0.09</t>
        </is>
      </c>
      <c r="U1887" s="3">
        <v>46112.78107638889</v>
      </c>
      <c r="V1887"/>
      <c r="W1887" s="3">
        <v>46081.47180555556</v>
      </c>
      <c r="X1887" t="inlineStr">
        <is>
          <t>02</t>
        </is>
      </c>
      <c r="Y1887" t="inlineStr">
        <is>
          <t>2026-Q1</t>
        </is>
      </c>
    </row>
    <row r="1888" ht="38.25" customHeight="1">
      <c r="A1888" t="inlineStr">
        <is>
          <t>27届寒假实习/暑期/秋招/春招信息汇总表（每日更新！自动发货！</t>
        </is>
      </c>
      <c r="B1888" t="inlineStr">
        <is>
          <t>recvdJwg0Y8Thv.jpg</t>
        </is>
      </c>
      <c r="C1888" s="2" t="str">
        <f>=HYPERLINK("https://xhslink.com/m/56cWCiG6PgD", "https://xhslink.com/m/56cWCiG6PgD")</f>
        <v>https://xhslink.com/m/56cWCiG6PgD</v>
      </c>
      <c r="D1888"/>
      <c r="E1888">
        <v>1634</v>
      </c>
      <c r="F1888">
        <v>9.9</v>
      </c>
      <c r="G1888"/>
      <c r="H1888">
        <v>500</v>
      </c>
      <c r="I1888">
        <v>1000</v>
      </c>
      <c r="J1888"/>
      <c r="K1888" t="inlineStr">
        <is>
          <t>秋招</t>
        </is>
      </c>
      <c r="L1888"/>
      <c r="M1888" t="inlineStr">
        <is>
          <t>波比校招的店</t>
        </is>
      </c>
      <c r="N1888">
        <v>943</v>
      </c>
      <c r="O1888">
        <v>4.09</v>
      </c>
      <c r="P1888">
        <v>2105</v>
      </c>
      <c r="Q1888" t="inlineStr">
        <is>
          <t>69384bb851b8c000010d1251</t>
        </is>
      </c>
      <c r="R1888"/>
      <c r="S1888" t="inlineStr">
        <is>
          <t>求职面试/职场</t>
        </is>
      </c>
      <c r="T1888" t="inlineStr">
        <is>
          <t>1.73</t>
        </is>
      </c>
      <c r="U1888" s="3">
        <v>46112.78107638889</v>
      </c>
      <c r="V1888"/>
      <c r="W1888" s="3">
        <v>46081.47180555556</v>
      </c>
      <c r="X1888" t="inlineStr">
        <is>
          <t>02</t>
        </is>
      </c>
      <c r="Y1888" t="inlineStr">
        <is>
          <t>2026-Q1</t>
        </is>
      </c>
    </row>
    <row r="1889" ht="38.25" customHeight="1">
      <c r="A1889" t="inlineStr">
        <is>
          <t>26届秋招/春招公司网申汇总表，一键直投，持续日更到明年6月</t>
        </is>
      </c>
      <c r="B1889" t="inlineStr">
        <is>
          <t>recvdJwg0YXswF.jpg</t>
        </is>
      </c>
      <c r="C1889" s="2" t="str">
        <f>=HYPERLINK("https://xhslink.com/m/1tDJ3NHudJW", "https://xhslink.com/m/1tDJ3NHudJW")</f>
        <v>https://xhslink.com/m/1tDJ3NHudJW</v>
      </c>
      <c r="D1889"/>
      <c r="E1889">
        <v>842</v>
      </c>
      <c r="F1889">
        <v>9.9</v>
      </c>
      <c r="G1889"/>
      <c r="H1889">
        <v>100</v>
      </c>
      <c r="I1889"/>
      <c r="J1889"/>
      <c r="K1889" t="inlineStr">
        <is>
          <t>秋招</t>
        </is>
      </c>
      <c r="L1889"/>
      <c r="M1889" t="inlineStr">
        <is>
          <t>爆炒边角料的店</t>
        </is>
      </c>
      <c r="N1889">
        <v>1126</v>
      </c>
      <c r="O1889">
        <v>4.46</v>
      </c>
      <c r="P1889">
        <v>1986</v>
      </c>
      <c r="Q1889" t="inlineStr">
        <is>
          <t>688a0535ebefca00017c8b3a</t>
        </is>
      </c>
      <c r="R1889"/>
      <c r="S1889" t="inlineStr">
        <is>
          <t>求职面试/职场</t>
        </is>
      </c>
      <c r="T1889" t="inlineStr">
        <is>
          <t>0.75</t>
        </is>
      </c>
      <c r="U1889" s="3">
        <v>46112.78107638889</v>
      </c>
      <c r="V1889"/>
      <c r="W1889" s="3">
        <v>46081.47180555556</v>
      </c>
      <c r="X1889" t="inlineStr">
        <is>
          <t>02</t>
        </is>
      </c>
      <c r="Y1889" t="inlineStr">
        <is>
          <t>2026-Q1</t>
        </is>
      </c>
    </row>
    <row r="1890" ht="38.25" customHeight="1">
      <c r="A1890" t="inlineStr">
        <is>
          <t>上海华育中学内部使用资料（笔记同款）</t>
        </is>
      </c>
      <c r="B1890" t="inlineStr">
        <is>
          <t>recvdJwg0YtQ63.jpg</t>
        </is>
      </c>
      <c r="C1890" s="2" t="str">
        <f>=HYPERLINK("https://xhslink.com/m/8CSSuNK5BZt", "https://xhslink.com/m/8CSSuNK5BZt")</f>
        <v>https://xhslink.com/m/8CSSuNK5BZt</v>
      </c>
      <c r="D1890"/>
      <c r="E1890">
        <v>2680</v>
      </c>
      <c r="F1890">
        <v>45</v>
      </c>
      <c r="G1890"/>
      <c r="H1890">
        <v>250</v>
      </c>
      <c r="I1890">
        <v>1000</v>
      </c>
      <c r="J1890"/>
      <c r="K1890" t="inlineStr">
        <is>
          <t>初中物理</t>
        </is>
      </c>
      <c r="L1890"/>
      <c r="M1890" t="inlineStr">
        <is>
          <t>沪上家长Club的店</t>
        </is>
      </c>
      <c r="N1890">
        <v>2967</v>
      </c>
      <c r="O1890">
        <v>4.62</v>
      </c>
      <c r="P1890">
        <v>11000</v>
      </c>
      <c r="Q1890" t="inlineStr">
        <is>
          <t>687daab1b1b9df0001327505</t>
        </is>
      </c>
      <c r="R1890" t="inlineStr">
        <is>
          <t>🚫重复</t>
        </is>
      </c>
      <c r="S1890" t="inlineStr">
        <is>
          <t>中小学教辅/教材</t>
        </is>
      </c>
      <c r="T1890" t="inlineStr">
        <is>
          <t>0.90</t>
        </is>
      </c>
      <c r="U1890" s="3">
        <v>46112.78107638889</v>
      </c>
      <c r="V1890"/>
      <c r="W1890" s="3">
        <v>46081.47180555556</v>
      </c>
      <c r="X1890" t="inlineStr">
        <is>
          <t>02</t>
        </is>
      </c>
      <c r="Y1890" t="inlineStr">
        <is>
          <t>2026-Q1</t>
        </is>
      </c>
    </row>
    <row r="1891" ht="38.25" customHeight="1">
      <c r="A1891" t="inlineStr">
        <is>
          <t>2026新版于总ceo初中物理八九年级高清视频课程习题课件完整资料</t>
        </is>
      </c>
      <c r="B1891" t="inlineStr">
        <is>
          <t>recvdJwg0Y5MrY.jpg</t>
        </is>
      </c>
      <c r="C1891" s="2" t="str">
        <f>=HYPERLINK("https://xhslink.com/m/1MfYjfbgsrO", "https://xhslink.com/m/1MfYjfbgsrO")</f>
        <v>https://xhslink.com/m/1MfYjfbgsrO</v>
      </c>
      <c r="D1891"/>
      <c r="E1891">
        <v>2679</v>
      </c>
      <c r="F1891">
        <v>38.8</v>
      </c>
      <c r="G1891"/>
      <c r="H1891">
        <v>550</v>
      </c>
      <c r="I1891">
        <v>1000</v>
      </c>
      <c r="J1891"/>
      <c r="K1891" t="inlineStr">
        <is>
          <t>初中物理</t>
        </is>
      </c>
      <c r="L1891"/>
      <c r="M1891" t="inlineStr">
        <is>
          <t>渔sir的店</t>
        </is>
      </c>
      <c r="N1891">
        <v>1302</v>
      </c>
      <c r="O1891">
        <v>4.59</v>
      </c>
      <c r="P1891">
        <v>4777</v>
      </c>
      <c r="Q1891" t="inlineStr">
        <is>
          <t>6922facbfb6e0d00013ab8fe</t>
        </is>
      </c>
      <c r="R1891" t="inlineStr">
        <is>
          <t>🚫重复</t>
        </is>
      </c>
      <c r="S1891" t="inlineStr">
        <is>
          <t>中小学教辅/教材</t>
        </is>
      </c>
      <c r="T1891" t="inlineStr">
        <is>
          <t>2.06</t>
        </is>
      </c>
      <c r="U1891" s="3">
        <v>46112.78107638889</v>
      </c>
      <c r="V1891"/>
      <c r="W1891" s="3">
        <v>46081.47180555556</v>
      </c>
      <c r="X1891" t="inlineStr">
        <is>
          <t>02</t>
        </is>
      </c>
      <c r="Y1891" t="inlineStr">
        <is>
          <t>2026-Q1</t>
        </is>
      </c>
    </row>
    <row r="1892" ht="38.25" customHeight="1">
      <c r="A1892" t="inlineStr">
        <is>
          <t>浙大版初中高中学数学物理化学思想方法导引学霸辅导书全国通用</t>
        </is>
      </c>
      <c r="B1892" t="inlineStr">
        <is>
          <t>recvdJwg0YIpDO.jpg</t>
        </is>
      </c>
      <c r="C1892" s="2" t="str">
        <f>=HYPERLINK("https://xhslink.com/m/A9rqT7sGbOa", "https://xhslink.com/m/A9rqT7sGbOa")</f>
        <v>https://xhslink.com/m/A9rqT7sGbOa</v>
      </c>
      <c r="D1892"/>
      <c r="E1892">
        <v>2324</v>
      </c>
      <c r="F1892">
        <v>39.9</v>
      </c>
      <c r="G1892"/>
      <c r="H1892">
        <v>850</v>
      </c>
      <c r="I1892">
        <v>1000</v>
      </c>
      <c r="J1892"/>
      <c r="K1892" t="inlineStr">
        <is>
          <t>初中物理</t>
        </is>
      </c>
      <c r="L1892"/>
      <c r="M1892" t="inlineStr">
        <is>
          <t>清玄书苑的店</t>
        </is>
      </c>
      <c r="N1892">
        <v>965</v>
      </c>
      <c r="O1892">
        <v>4.73</v>
      </c>
      <c r="P1892">
        <v>2623</v>
      </c>
      <c r="Q1892" t="inlineStr">
        <is>
          <t>685a41c47e7bf00001aa8c98</t>
        </is>
      </c>
      <c r="R1892" t="inlineStr">
        <is>
          <t>🚫重复</t>
        </is>
      </c>
      <c r="S1892" t="inlineStr">
        <is>
          <t>中小学教辅/教材</t>
        </is>
      </c>
      <c r="T1892" t="inlineStr">
        <is>
          <t>2.41</t>
        </is>
      </c>
      <c r="U1892" s="3">
        <v>46112.78107638889</v>
      </c>
      <c r="V1892"/>
      <c r="W1892" s="3">
        <v>46081.47180555556</v>
      </c>
      <c r="X1892" t="inlineStr">
        <is>
          <t>02</t>
        </is>
      </c>
      <c r="Y1892" t="inlineStr">
        <is>
          <t>2026-Q1</t>
        </is>
      </c>
    </row>
    <row r="1893" ht="38.25" customHeight="1">
      <c r="A1893" t="inlineStr">
        <is>
          <t>初中物理拔高训练之50种题型精练八九年级上下册电子版资料</t>
        </is>
      </c>
      <c r="B1893" t="inlineStr">
        <is>
          <t>recvdJwg0Y9LuW.jpg</t>
        </is>
      </c>
      <c r="C1893" s="2" t="str">
        <f>=HYPERLINK("https://xhslink.com/m/1HkVGeSJGL5", "https://xhslink.com/m/1HkVGeSJGL5")</f>
        <v>https://xhslink.com/m/1HkVGeSJGL5</v>
      </c>
      <c r="D1893"/>
      <c r="E1893">
        <v>1461</v>
      </c>
      <c r="F1893">
        <v>9.9</v>
      </c>
      <c r="G1893"/>
      <c r="H1893">
        <v>500</v>
      </c>
      <c r="I1893">
        <v>1000</v>
      </c>
      <c r="J1893"/>
      <c r="K1893" t="inlineStr">
        <is>
          <t>初中物理</t>
        </is>
      </c>
      <c r="L1893"/>
      <c r="M1893" t="inlineStr">
        <is>
          <t>爱分享的张老师的店</t>
        </is>
      </c>
      <c r="N1893">
        <v>1748</v>
      </c>
      <c r="O1893">
        <v>4.49</v>
      </c>
      <c r="P1893">
        <v>10000</v>
      </c>
      <c r="Q1893" t="inlineStr">
        <is>
          <t>69256caaccb9e00001e0c306</t>
        </is>
      </c>
      <c r="R1893" t="inlineStr">
        <is>
          <t>🚫重复</t>
        </is>
      </c>
      <c r="S1893" t="inlineStr">
        <is>
          <t>中小学教辅/教材</t>
        </is>
      </c>
      <c r="T1893" t="inlineStr">
        <is>
          <t>0.84</t>
        </is>
      </c>
      <c r="U1893" s="3">
        <v>46112.78107638889</v>
      </c>
      <c r="V1893"/>
      <c r="W1893" s="3">
        <v>46081.47180555556</v>
      </c>
      <c r="X1893" t="inlineStr">
        <is>
          <t>02</t>
        </is>
      </c>
      <c r="Y1893" t="inlineStr">
        <is>
          <t>2026-Q1</t>
        </is>
      </c>
    </row>
    <row r="1894" ht="38.25" customHeight="1">
      <c r="A1894" t="inlineStr">
        <is>
          <t>初中七八九年级上下册人教版语文数学英语道德历史全套课本教材</t>
        </is>
      </c>
      <c r="B1894" t="inlineStr">
        <is>
          <t>recvdJwg0Y771f.jpg</t>
        </is>
      </c>
      <c r="C1894" s="2" t="str">
        <f>=HYPERLINK("https://xhslink.com/m/964wjIMpr8i", "https://xhslink.com/m/964wjIMpr8i")</f>
        <v>https://xhslink.com/m/964wjIMpr8i</v>
      </c>
      <c r="D1894"/>
      <c r="E1894">
        <v>880</v>
      </c>
      <c r="F1894">
        <v>22.99</v>
      </c>
      <c r="G1894"/>
      <c r="H1894">
        <v>450</v>
      </c>
      <c r="I1894"/>
      <c r="J1894"/>
      <c r="K1894" t="inlineStr">
        <is>
          <t>初中物理</t>
        </is>
      </c>
      <c r="L1894"/>
      <c r="M1894" t="inlineStr">
        <is>
          <t>新华书店图书音像的店</t>
        </is>
      </c>
      <c r="N1894">
        <v>548</v>
      </c>
      <c r="O1894">
        <v>4.21</v>
      </c>
      <c r="P1894">
        <v>10000</v>
      </c>
      <c r="Q1894" t="inlineStr">
        <is>
          <t>6953a50362c5c0001564ab51</t>
        </is>
      </c>
      <c r="R1894"/>
      <c r="S1894" t="inlineStr">
        <is>
          <t>中小学教辅/教材</t>
        </is>
      </c>
      <c r="T1894" t="inlineStr">
        <is>
          <t>1.61</t>
        </is>
      </c>
      <c r="U1894" s="3">
        <v>46112.78107638889</v>
      </c>
      <c r="V1894"/>
      <c r="W1894" s="3">
        <v>46081.47180555556</v>
      </c>
      <c r="X1894" t="inlineStr">
        <is>
          <t>02</t>
        </is>
      </c>
      <c r="Y1894" t="inlineStr">
        <is>
          <t>2026-Q1</t>
        </is>
      </c>
    </row>
    <row r="1895" ht="38.25" customHeight="1">
      <c r="A1895" t="inlineStr">
        <is>
          <t>天星教育 · 2026春初中教材帮七八九年级下册教材同步讲解赠课本答案</t>
        </is>
      </c>
      <c r="B1895" t="inlineStr">
        <is>
          <t>recvdJwg0YqnZS.jpg</t>
        </is>
      </c>
      <c r="C1895" s="2" t="str">
        <f>=HYPERLINK("https://xhslink.com/m/3JWvO8QfjgB", "https://xhslink.com/m/3JWvO8QfjgB")</f>
        <v>https://xhslink.com/m/3JWvO8QfjgB</v>
      </c>
      <c r="D1895"/>
      <c r="E1895">
        <v>734</v>
      </c>
      <c r="F1895">
        <v>38.4</v>
      </c>
      <c r="G1895"/>
      <c r="H1895">
        <v>100</v>
      </c>
      <c r="I1895"/>
      <c r="J1895"/>
      <c r="K1895" t="inlineStr">
        <is>
          <t>初中物理</t>
        </is>
      </c>
      <c r="L1895"/>
      <c r="M1895" t="inlineStr">
        <is>
          <t>天星教育旗舰店</t>
        </is>
      </c>
      <c r="N1895">
        <v>229000</v>
      </c>
      <c r="O1895">
        <v>4.8</v>
      </c>
      <c r="P1895">
        <v>143000</v>
      </c>
      <c r="Q1895" t="inlineStr">
        <is>
          <t>68f731d5c4f89100019f19de</t>
        </is>
      </c>
      <c r="R1895" t="inlineStr">
        <is>
          <t>🚫重复</t>
        </is>
      </c>
      <c r="S1895" t="inlineStr">
        <is>
          <t>中小学教辅/教材</t>
        </is>
      </c>
      <c r="T1895" t="inlineStr">
        <is>
          <t>0.00</t>
        </is>
      </c>
      <c r="U1895" s="3">
        <v>46112.78107638889</v>
      </c>
      <c r="V1895"/>
      <c r="W1895" s="3">
        <v>46081.47180555556</v>
      </c>
      <c r="X1895" t="inlineStr">
        <is>
          <t>02</t>
        </is>
      </c>
      <c r="Y1895" t="inlineStr">
        <is>
          <t>2026-Q1</t>
        </is>
      </c>
    </row>
    <row r="1896" ht="38.25" customHeight="1">
      <c r="A1896" t="inlineStr">
        <is>
          <t>初中物理专项训练 八九年级考点针对训练 练习必刷题电子版</t>
        </is>
      </c>
      <c r="B1896" t="inlineStr">
        <is>
          <t>recvdJwg0YxWIh.jpg</t>
        </is>
      </c>
      <c r="C1896" s="2" t="str">
        <f>=HYPERLINK("https://xhslink.com/m/6OWbJ3GQFf0", "https://xhslink.com/m/6OWbJ3GQFf0")</f>
        <v>https://xhslink.com/m/6OWbJ3GQFf0</v>
      </c>
      <c r="D1896"/>
      <c r="E1896">
        <v>706</v>
      </c>
      <c r="F1896">
        <v>27.9</v>
      </c>
      <c r="G1896"/>
      <c r="H1896">
        <v>100</v>
      </c>
      <c r="I1896"/>
      <c r="J1896"/>
      <c r="K1896" t="inlineStr">
        <is>
          <t>初中物理</t>
        </is>
      </c>
      <c r="L1896"/>
      <c r="M1896" t="inlineStr">
        <is>
          <t>学习解忧室的店</t>
        </is>
      </c>
      <c r="N1896">
        <v>1179</v>
      </c>
      <c r="O1896">
        <v>4.21</v>
      </c>
      <c r="P1896">
        <v>2043</v>
      </c>
      <c r="Q1896" t="inlineStr">
        <is>
          <t>68e5da0417d808000175835e</t>
        </is>
      </c>
      <c r="R1896" t="inlineStr">
        <is>
          <t>🚫重复</t>
        </is>
      </c>
      <c r="S1896" t="inlineStr">
        <is>
          <t>中小学教辅/教材</t>
        </is>
      </c>
      <c r="T1896" t="inlineStr">
        <is>
          <t>0.60</t>
        </is>
      </c>
      <c r="U1896" s="3">
        <v>46112.78107638889</v>
      </c>
      <c r="V1896"/>
      <c r="W1896" s="3">
        <v>46081.47180555556</v>
      </c>
      <c r="X1896" t="inlineStr">
        <is>
          <t>02</t>
        </is>
      </c>
      <c r="Y1896" t="inlineStr">
        <is>
          <t>2026-Q1</t>
        </is>
      </c>
    </row>
    <row r="1897" ht="38.25" customHeight="1">
      <c r="A1897" t="inlineStr">
        <is>
          <t>2025秋新版初中物理八九年级上册一课一练单元检测电子版资料</t>
        </is>
      </c>
      <c r="B1897" t="inlineStr">
        <is>
          <t>recvdJwg0Yn1VN.jpg</t>
        </is>
      </c>
      <c r="C1897" s="2" t="str">
        <f>=HYPERLINK("https://xhslink.com/m/5FrpN7YYRVs", "https://xhslink.com/m/5FrpN7YYRVs")</f>
        <v>https://xhslink.com/m/5FrpN7YYRVs</v>
      </c>
      <c r="D1897"/>
      <c r="E1897">
        <v>631</v>
      </c>
      <c r="F1897">
        <v>19.9</v>
      </c>
      <c r="G1897"/>
      <c r="H1897">
        <v>100</v>
      </c>
      <c r="I1897"/>
      <c r="J1897"/>
      <c r="K1897" t="inlineStr">
        <is>
          <t>初中物理</t>
        </is>
      </c>
      <c r="L1897"/>
      <c r="M1897" t="inlineStr">
        <is>
          <t>玖柒泡泡的店</t>
        </is>
      </c>
      <c r="N1897">
        <v>6069</v>
      </c>
      <c r="O1897">
        <v>4.02</v>
      </c>
      <c r="P1897">
        <v>2722</v>
      </c>
      <c r="Q1897" t="inlineStr">
        <is>
          <t>694257ac4d11d7000155cf6c</t>
        </is>
      </c>
      <c r="R1897"/>
      <c r="S1897" t="inlineStr">
        <is>
          <t>中小学教辅/教材</t>
        </is>
      </c>
      <c r="T1897" t="inlineStr">
        <is>
          <t>0.10</t>
        </is>
      </c>
      <c r="U1897" s="3">
        <v>46112.78107638889</v>
      </c>
      <c r="V1897"/>
      <c r="W1897" s="3">
        <v>46081.47180555556</v>
      </c>
      <c r="X1897" t="inlineStr">
        <is>
          <t>02</t>
        </is>
      </c>
      <c r="Y1897" t="inlineStr">
        <is>
          <t>2026-Q1</t>
        </is>
      </c>
    </row>
    <row r="1898" ht="38.25" customHeight="1">
      <c r="A1898" t="inlineStr">
        <is>
          <t>初中物理八九年级全册每日打卡实验小纸条复习中考巩固电子版资料</t>
        </is>
      </c>
      <c r="B1898" t="inlineStr">
        <is>
          <t>recvdJwg0Ylfkt.jpg</t>
        </is>
      </c>
      <c r="C1898" s="2" t="str">
        <f>=HYPERLINK("https://xhslink.com/m/11zEJb8RMT6", "https://xhslink.com/m/11zEJb8RMT6")</f>
        <v>https://xhslink.com/m/11zEJb8RMT6</v>
      </c>
      <c r="D1898"/>
      <c r="E1898">
        <v>630</v>
      </c>
      <c r="F1898">
        <v>19.99</v>
      </c>
      <c r="G1898"/>
      <c r="H1898">
        <v>300</v>
      </c>
      <c r="I1898"/>
      <c r="J1898"/>
      <c r="K1898" t="inlineStr">
        <is>
          <t>初中物理</t>
        </is>
      </c>
      <c r="L1898"/>
      <c r="M1898" t="inlineStr">
        <is>
          <t>朝阳老师优质资料的店</t>
        </is>
      </c>
      <c r="N1898">
        <v>727</v>
      </c>
      <c r="O1898">
        <v>4.48</v>
      </c>
      <c r="P1898">
        <v>2832</v>
      </c>
      <c r="Q1898" t="inlineStr">
        <is>
          <t>68f455ba3f37a90001a98bd2</t>
        </is>
      </c>
      <c r="R1898" t="inlineStr">
        <is>
          <t>🚫重复</t>
        </is>
      </c>
      <c r="S1898" t="inlineStr">
        <is>
          <t>中小学教辅/教材</t>
        </is>
      </c>
      <c r="T1898" t="inlineStr">
        <is>
          <t>0.87</t>
        </is>
      </c>
      <c r="U1898" s="3">
        <v>46112.78107638889</v>
      </c>
      <c r="V1898"/>
      <c r="W1898" s="3">
        <v>46081.47180555556</v>
      </c>
      <c r="X1898" t="inlineStr">
        <is>
          <t>02</t>
        </is>
      </c>
      <c r="Y1898" t="inlineStr">
        <is>
          <t>2026-Q1</t>
        </is>
      </c>
    </row>
    <row r="1899" ht="38.25" customHeight="1">
      <c r="A1899" t="inlineStr">
        <is>
          <t>初中7-9年级语/数/英/物/化/生/历史/地理/道法电子版资料</t>
        </is>
      </c>
      <c r="B1899" t="inlineStr">
        <is>
          <t>recvdJwg0YmnG8.jpg</t>
        </is>
      </c>
      <c r="C1899" s="2" t="str">
        <f>=HYPERLINK("https://xhslink.com/m/22S7K8b9oQS", "https://xhslink.com/m/22S7K8b9oQS")</f>
        <v>https://xhslink.com/m/22S7K8b9oQS</v>
      </c>
      <c r="D1899"/>
      <c r="E1899">
        <v>597</v>
      </c>
      <c r="F1899">
        <v>29.9</v>
      </c>
      <c r="G1899"/>
      <c r="H1899">
        <v>150</v>
      </c>
      <c r="I1899"/>
      <c r="J1899"/>
      <c r="K1899" t="inlineStr">
        <is>
          <t>初中物理</t>
        </is>
      </c>
      <c r="L1899"/>
      <c r="M1899" t="inlineStr">
        <is>
          <t>清也同学的店</t>
        </is>
      </c>
      <c r="N1899">
        <v>962</v>
      </c>
      <c r="O1899">
        <v>4.18</v>
      </c>
      <c r="P1899">
        <v>739</v>
      </c>
      <c r="Q1899" t="inlineStr">
        <is>
          <t>685ec5b07590770001d863d5</t>
        </is>
      </c>
      <c r="R1899" t="inlineStr">
        <is>
          <t>🚫重复</t>
        </is>
      </c>
      <c r="S1899" t="inlineStr">
        <is>
          <t>中小学教辅/教材</t>
        </is>
      </c>
      <c r="T1899" t="inlineStr">
        <is>
          <t>0.62</t>
        </is>
      </c>
      <c r="U1899" s="3">
        <v>46112.78107638889</v>
      </c>
      <c r="V1899"/>
      <c r="W1899" s="3">
        <v>46081.47180555556</v>
      </c>
      <c r="X1899" t="inlineStr">
        <is>
          <t>02</t>
        </is>
      </c>
      <c r="Y1899" t="inlineStr">
        <is>
          <t>2026-Q1</t>
        </is>
      </c>
    </row>
    <row r="1900" ht="38.25" customHeight="1">
      <c r="A1900" t="inlineStr">
        <is>
          <t>武汉各区初中月考期中期末真题卷合集｜资料会员群（持续更新中）</t>
        </is>
      </c>
      <c r="B1900" t="inlineStr">
        <is>
          <t>recvdJwg0YOndn.jpg</t>
        </is>
      </c>
      <c r="C1900" s="2" t="str">
        <f>=HYPERLINK("https://xhslink.com/m/7Q6pRnRZLea", "https://xhslink.com/m/7Q6pRnRZLea")</f>
        <v>https://xhslink.com/m/7Q6pRnRZLea</v>
      </c>
      <c r="D1900"/>
      <c r="E1900">
        <v>509</v>
      </c>
      <c r="F1900">
        <v>169.99</v>
      </c>
      <c r="G1900"/>
      <c r="H1900">
        <v>100</v>
      </c>
      <c r="I1900"/>
      <c r="J1900"/>
      <c r="K1900" t="inlineStr">
        <is>
          <t>初中物理</t>
        </is>
      </c>
      <c r="L1900"/>
      <c r="M1900" t="inlineStr">
        <is>
          <t>奶爸说数学的店</t>
        </is>
      </c>
      <c r="N1900">
        <v>1202</v>
      </c>
      <c r="O1900">
        <v>4.12</v>
      </c>
      <c r="P1900">
        <v>2177</v>
      </c>
      <c r="Q1900" t="inlineStr">
        <is>
          <t>6896fa88e08d4d000133bd3b</t>
        </is>
      </c>
      <c r="R1900" t="inlineStr">
        <is>
          <t>🚫重复</t>
        </is>
      </c>
      <c r="S1900" t="inlineStr">
        <is>
          <t>中小学教辅/教材</t>
        </is>
      </c>
      <c r="T1900" t="inlineStr">
        <is>
          <t>0.42</t>
        </is>
      </c>
      <c r="U1900" s="3">
        <v>46112.78107638889</v>
      </c>
      <c r="V1900"/>
      <c r="W1900" s="3">
        <v>46081.47180555556</v>
      </c>
      <c r="X1900" t="inlineStr">
        <is>
          <t>02</t>
        </is>
      </c>
      <c r="Y1900" t="inlineStr">
        <is>
          <t>2026-Q1</t>
        </is>
      </c>
    </row>
    <row r="1901" ht="38.25" customHeight="1">
      <c r="A1901" t="inlineStr">
        <is>
          <t>2026物理中考复习课件，物理KK老师资料（人教版）更新中</t>
        </is>
      </c>
      <c r="B1901" t="inlineStr">
        <is>
          <t>recvdJwg0YyWnm.jpg</t>
        </is>
      </c>
      <c r="C1901" s="2" t="str">
        <f>=HYPERLINK("https://xhslink.com/m/AGUHvBHvnVZ", "https://xhslink.com/m/AGUHvBHvnVZ")</f>
        <v>https://xhslink.com/m/AGUHvBHvnVZ</v>
      </c>
      <c r="D1901"/>
      <c r="E1901">
        <v>223</v>
      </c>
      <c r="F1901">
        <v>258</v>
      </c>
      <c r="G1901"/>
      <c r="H1901">
        <v>100</v>
      </c>
      <c r="I1901"/>
      <c r="J1901"/>
      <c r="K1901" t="inlineStr">
        <is>
          <t>初中物理</t>
        </is>
      </c>
      <c r="L1901"/>
      <c r="M1901" t="inlineStr">
        <is>
          <t>物理KK老师的店</t>
        </is>
      </c>
      <c r="N1901">
        <v>9581</v>
      </c>
      <c r="O1901">
        <v>4.23</v>
      </c>
      <c r="P1901">
        <v>12000</v>
      </c>
      <c r="Q1901" t="inlineStr">
        <is>
          <t>6974af3a1cd3a60001094501</t>
        </is>
      </c>
      <c r="R1901" t="inlineStr">
        <is>
          <t>🚫重复</t>
        </is>
      </c>
      <c r="S1901" t="inlineStr">
        <is>
          <t>中小学教辅/教材</t>
        </is>
      </c>
      <c r="T1901" t="inlineStr">
        <is>
          <t>0.02</t>
        </is>
      </c>
      <c r="U1901" s="3">
        <v>46112.78107638889</v>
      </c>
      <c r="V1901"/>
      <c r="W1901" s="3">
        <v>46081.47180555556</v>
      </c>
      <c r="X1901" t="inlineStr">
        <is>
          <t>02</t>
        </is>
      </c>
      <c r="Y1901" t="inlineStr">
        <is>
          <t>2026-Q1</t>
        </is>
      </c>
    </row>
    <row r="1902" ht="38.25" customHeight="1">
      <c r="A1902" t="inlineStr">
        <is>
          <t>天星教育 · 中考45套金考卷2026中考真题全国中考45套试卷初三刷题卷初升高</t>
        </is>
      </c>
      <c r="B1902" t="inlineStr">
        <is>
          <t>recvdJwg0YtsII.jpg</t>
        </is>
      </c>
      <c r="C1902" s="2" t="str">
        <f>=HYPERLINK("https://xhslink.com/m/2Rg9aBLRwnw", "https://xhslink.com/m/2Rg9aBLRwnw")</f>
        <v>https://xhslink.com/m/2Rg9aBLRwnw</v>
      </c>
      <c r="D1902"/>
      <c r="E1902">
        <v>1792</v>
      </c>
      <c r="F1902">
        <v>39</v>
      </c>
      <c r="G1902"/>
      <c r="H1902">
        <v>200</v>
      </c>
      <c r="I1902">
        <v>1000</v>
      </c>
      <c r="J1902"/>
      <c r="K1902" t="inlineStr">
        <is>
          <t>初中化学</t>
        </is>
      </c>
      <c r="L1902"/>
      <c r="M1902" t="inlineStr">
        <is>
          <t>天星教育旗舰店</t>
        </is>
      </c>
      <c r="N1902">
        <v>229000</v>
      </c>
      <c r="O1902">
        <v>4.8</v>
      </c>
      <c r="P1902">
        <v>143000</v>
      </c>
      <c r="Q1902" t="inlineStr">
        <is>
          <t>655040d7d03d240001b95ea3</t>
        </is>
      </c>
      <c r="R1902" t="inlineStr">
        <is>
          <t>🚫重复</t>
        </is>
      </c>
      <c r="S1902" t="inlineStr">
        <is>
          <t>中小学教辅/教材</t>
        </is>
      </c>
      <c r="T1902" t="inlineStr">
        <is>
          <t>0.01</t>
        </is>
      </c>
      <c r="U1902" s="3">
        <v>46112.78107638889</v>
      </c>
      <c r="V1902"/>
      <c r="W1902" s="3">
        <v>46081.47180555556</v>
      </c>
      <c r="X1902" t="inlineStr">
        <is>
          <t>02</t>
        </is>
      </c>
      <c r="Y1902" t="inlineStr">
        <is>
          <t>2026-Q1</t>
        </is>
      </c>
    </row>
    <row r="1903" ht="38.25" customHeight="1">
      <c r="A1903" t="inlineStr">
        <is>
          <t>薛金星 · 2026新版初中【教材全解】上下册各版本同步课本讲解考点预习复习</t>
        </is>
      </c>
      <c r="B1903" t="inlineStr">
        <is>
          <t>recvdJwg0YYd0R.jpg</t>
        </is>
      </c>
      <c r="C1903" s="2" t="str">
        <f>=HYPERLINK("https://xhslink.com/m/5RQv2aDhzOY", "https://xhslink.com/m/5RQv2aDhzOY")</f>
        <v>https://xhslink.com/m/5RQv2aDhzOY</v>
      </c>
      <c r="D1903"/>
      <c r="E1903">
        <v>1090</v>
      </c>
      <c r="F1903">
        <v>43.8</v>
      </c>
      <c r="G1903"/>
      <c r="H1903">
        <v>150</v>
      </c>
      <c r="I1903">
        <v>1000</v>
      </c>
      <c r="J1903"/>
      <c r="K1903" t="inlineStr">
        <is>
          <t>初中化学</t>
        </is>
      </c>
      <c r="L1903"/>
      <c r="M1903" t="inlineStr">
        <is>
          <t>薛金星旗舰店</t>
        </is>
      </c>
      <c r="N1903">
        <v>3084</v>
      </c>
      <c r="O1903">
        <v>4.51</v>
      </c>
      <c r="P1903">
        <v>4757</v>
      </c>
      <c r="Q1903" t="inlineStr">
        <is>
          <t>683ec4162e3a000001581522</t>
        </is>
      </c>
      <c r="R1903" t="inlineStr">
        <is>
          <t>🚫重复</t>
        </is>
      </c>
      <c r="S1903" t="inlineStr">
        <is>
          <t>中小学教辅/教材</t>
        </is>
      </c>
      <c r="T1903" t="inlineStr">
        <is>
          <t>0.35</t>
        </is>
      </c>
      <c r="U1903" s="3">
        <v>46112.78107638889</v>
      </c>
      <c r="V1903"/>
      <c r="W1903" s="3">
        <v>46081.47180555556</v>
      </c>
      <c r="X1903" t="inlineStr">
        <is>
          <t>02</t>
        </is>
      </c>
      <c r="Y1903" t="inlineStr">
        <is>
          <t>2026-Q1</t>
        </is>
      </c>
    </row>
    <row r="1904" ht="38.25" customHeight="1">
      <c r="A1904" t="inlineStr">
        <is>
          <t>天星教育 · 2026春初中教材帮七八九年级下册教材同步讲解赠课本答案</t>
        </is>
      </c>
      <c r="B1904" t="inlineStr">
        <is>
          <t>recvdJwg0YK9zp.jpg</t>
        </is>
      </c>
      <c r="C1904" s="2" t="str">
        <f>=HYPERLINK("https://xhslink.com/m/5LeW8uNsYf5", "https://xhslink.com/m/5LeW8uNsYf5")</f>
        <v>https://xhslink.com/m/5LeW8uNsYf5</v>
      </c>
      <c r="D1904"/>
      <c r="E1904">
        <v>734</v>
      </c>
      <c r="F1904">
        <v>38.4</v>
      </c>
      <c r="G1904"/>
      <c r="H1904">
        <v>100</v>
      </c>
      <c r="I1904"/>
      <c r="J1904"/>
      <c r="K1904" t="inlineStr">
        <is>
          <t>初中化学</t>
        </is>
      </c>
      <c r="L1904"/>
      <c r="M1904" t="inlineStr">
        <is>
          <t>天星教育旗舰店</t>
        </is>
      </c>
      <c r="N1904">
        <v>229000</v>
      </c>
      <c r="O1904">
        <v>4.8</v>
      </c>
      <c r="P1904">
        <v>143000</v>
      </c>
      <c r="Q1904" t="inlineStr">
        <is>
          <t>634f71716598cc00016f00cf</t>
        </is>
      </c>
      <c r="R1904" t="inlineStr">
        <is>
          <t>🚫重复</t>
        </is>
      </c>
      <c r="S1904" t="inlineStr">
        <is>
          <t>中小学教辅/教材</t>
        </is>
      </c>
      <c r="T1904" t="inlineStr">
        <is>
          <t>0.00</t>
        </is>
      </c>
      <c r="U1904" s="3">
        <v>46112.78107638889</v>
      </c>
      <c r="V1904"/>
      <c r="W1904" s="3">
        <v>46081.47180555556</v>
      </c>
      <c r="X1904" t="inlineStr">
        <is>
          <t>02</t>
        </is>
      </c>
      <c r="Y1904" t="inlineStr">
        <is>
          <t>2026-Q1</t>
        </is>
      </c>
    </row>
    <row r="1905" ht="38.25" customHeight="1">
      <c r="A1905" t="inlineStr">
        <is>
          <t>初中语文数学英语物理化生物史地道法知识点总结电子版素材多版本</t>
        </is>
      </c>
      <c r="B1905" t="inlineStr">
        <is>
          <t>recvdJwg0YJusJ.jpg</t>
        </is>
      </c>
      <c r="C1905" s="2" t="str">
        <f>=HYPERLINK("https://xhslink.com/m/7eOqYtL2Ydl", "https://xhslink.com/m/7eOqYtL2Ydl")</f>
        <v>https://xhslink.com/m/7eOqYtL2Ydl</v>
      </c>
      <c r="D1905"/>
      <c r="E1905">
        <v>26000</v>
      </c>
      <c r="F1905">
        <v>14.8</v>
      </c>
      <c r="G1905"/>
      <c r="H1905">
        <v>2000</v>
      </c>
      <c r="I1905">
        <v>1000</v>
      </c>
      <c r="J1905"/>
      <c r="K1905" t="inlineStr">
        <is>
          <t>初中生物</t>
        </is>
      </c>
      <c r="L1905"/>
      <c r="M1905" t="inlineStr">
        <is>
          <t>赵老师的资料库的店</t>
        </is>
      </c>
      <c r="N1905">
        <v>15000</v>
      </c>
      <c r="O1905">
        <v>4.38</v>
      </c>
      <c r="P1905">
        <v>51000</v>
      </c>
      <c r="Q1905" t="inlineStr">
        <is>
          <t>672cd74310adb50001c57226</t>
        </is>
      </c>
      <c r="R1905" t="inlineStr">
        <is>
          <t>🚫重复</t>
        </is>
      </c>
      <c r="S1905" t="inlineStr">
        <is>
          <t>中小学教辅/教材</t>
        </is>
      </c>
      <c r="T1905" t="inlineStr">
        <is>
          <t>1.73</t>
        </is>
      </c>
      <c r="U1905" s="3">
        <v>46112.78107638889</v>
      </c>
      <c r="V1905"/>
      <c r="W1905" s="3">
        <v>46081.47180555556</v>
      </c>
      <c r="X1905" t="inlineStr">
        <is>
          <t>02</t>
        </is>
      </c>
      <c r="Y1905" t="inlineStr">
        <is>
          <t>2026-Q1</t>
        </is>
      </c>
    </row>
    <row r="1906" ht="38.25" customHeight="1">
      <c r="A1906" t="inlineStr">
        <is>
          <t>26上（资料已更新）教师资格证笔试科三重点笔记上岸熊合作</t>
        </is>
      </c>
      <c r="B1906" t="inlineStr">
        <is>
          <t>recvdJwg0YOMwm.jpg</t>
        </is>
      </c>
      <c r="C1906" s="2" t="str">
        <f>=HYPERLINK("https://xhslink.com/m/Aun5iPSHIdP", "https://xhslink.com/m/Aun5iPSHIdP")</f>
        <v>https://xhslink.com/m/Aun5iPSHIdP</v>
      </c>
      <c r="D1906"/>
      <c r="E1906">
        <v>9190</v>
      </c>
      <c r="F1906">
        <v>9.99</v>
      </c>
      <c r="G1906"/>
      <c r="H1906">
        <v>200</v>
      </c>
      <c r="I1906">
        <v>1000</v>
      </c>
      <c r="J1906"/>
      <c r="K1906" t="inlineStr">
        <is>
          <t>初中生物</t>
        </is>
      </c>
      <c r="L1906" t="inlineStr">
        <is>
          <t>🔥低粉爆款</t>
        </is>
      </c>
      <c r="M1906" t="inlineStr">
        <is>
          <t>草莓学姐的店</t>
        </is>
      </c>
      <c r="N1906">
        <v>2406</v>
      </c>
      <c r="O1906">
        <v>4.47</v>
      </c>
      <c r="P1906">
        <v>16000</v>
      </c>
      <c r="Q1906" t="inlineStr">
        <is>
          <t>66b02e2028e40600016965b1</t>
        </is>
      </c>
      <c r="R1906" t="inlineStr">
        <is>
          <t>🚫重复</t>
        </is>
      </c>
      <c r="S1906" t="inlineStr">
        <is>
          <t>教资资料</t>
        </is>
      </c>
      <c r="T1906" t="inlineStr">
        <is>
          <t>3.82</t>
        </is>
      </c>
      <c r="U1906" s="3">
        <v>46112.78107638889</v>
      </c>
      <c r="V1906"/>
      <c r="W1906" s="3">
        <v>46081.47180555556</v>
      </c>
      <c r="X1906" t="inlineStr">
        <is>
          <t>02</t>
        </is>
      </c>
      <c r="Y1906" t="inlineStr">
        <is>
          <t>2026-Q1</t>
        </is>
      </c>
    </row>
    <row r="1907" ht="38.25" customHeight="1">
      <c r="A1907" t="inlineStr">
        <is>
          <t>2026初一初二初三精品资源包教材改版最新版本永久免费更新</t>
        </is>
      </c>
      <c r="B1907" t="inlineStr">
        <is>
          <t>recvdJwg0YBJ4a.jpg</t>
        </is>
      </c>
      <c r="C1907" s="2" t="str">
        <f>=HYPERLINK("https://xhslink.com/m/5dasB2MTu4k", "https://xhslink.com/m/5dasB2MTu4k")</f>
        <v>https://xhslink.com/m/5dasB2MTu4k</v>
      </c>
      <c r="D1907"/>
      <c r="E1907">
        <v>5961</v>
      </c>
      <c r="F1907">
        <v>25.8</v>
      </c>
      <c r="G1907"/>
      <c r="H1907">
        <v>300</v>
      </c>
      <c r="I1907">
        <v>1000</v>
      </c>
      <c r="J1907"/>
      <c r="K1907" t="inlineStr">
        <is>
          <t>初中生物</t>
        </is>
      </c>
      <c r="L1907"/>
      <c r="M1907" t="inlineStr">
        <is>
          <t>李老师的店</t>
        </is>
      </c>
      <c r="N1907">
        <v>2716</v>
      </c>
      <c r="O1907">
        <v>4.12</v>
      </c>
      <c r="P1907">
        <v>9422</v>
      </c>
      <c r="Q1907" t="inlineStr">
        <is>
          <t>679de22229b9f70001061e5e</t>
        </is>
      </c>
      <c r="R1907" t="inlineStr">
        <is>
          <t>🚫重复</t>
        </is>
      </c>
      <c r="S1907" t="inlineStr">
        <is>
          <t>中小学教辅/教材</t>
        </is>
      </c>
      <c r="T1907" t="inlineStr">
        <is>
          <t>2.19</t>
        </is>
      </c>
      <c r="U1907" s="3">
        <v>46112.78107638889</v>
      </c>
      <c r="V1907"/>
      <c r="W1907" s="3">
        <v>46081.47180555556</v>
      </c>
      <c r="X1907" t="inlineStr">
        <is>
          <t>02</t>
        </is>
      </c>
      <c r="Y1907" t="inlineStr">
        <is>
          <t>2026-Q1</t>
        </is>
      </c>
    </row>
    <row r="1908" ht="38.25" customHeight="1">
      <c r="A1908" t="inlineStr">
        <is>
          <t>【新教材】初中各科学习笔记(电子版）知识点复习-自动发货</t>
        </is>
      </c>
      <c r="B1908" t="inlineStr">
        <is>
          <t>recvdJwg0YsESm.jpg</t>
        </is>
      </c>
      <c r="C1908" s="2" t="str">
        <f>=HYPERLINK("https://xhslink.com/m/3CRzqOa4Ftx", "https://xhslink.com/m/3CRzqOa4Ftx")</f>
        <v>https://xhslink.com/m/3CRzqOa4Ftx</v>
      </c>
      <c r="D1908"/>
      <c r="E1908">
        <v>4873</v>
      </c>
      <c r="F1908">
        <v>29.9</v>
      </c>
      <c r="G1908"/>
      <c r="H1908">
        <v>150</v>
      </c>
      <c r="I1908">
        <v>1000</v>
      </c>
      <c r="J1908"/>
      <c r="K1908" t="inlineStr">
        <is>
          <t>初中生物</t>
        </is>
      </c>
      <c r="L1908"/>
      <c r="M1908" t="inlineStr">
        <is>
          <t>三水爱学习的店</t>
        </is>
      </c>
      <c r="N1908">
        <v>11000</v>
      </c>
      <c r="O1908">
        <v>4.38</v>
      </c>
      <c r="P1908">
        <v>24000</v>
      </c>
      <c r="Q1908" t="inlineStr">
        <is>
          <t>681c7831794ce20001b6ca8c</t>
        </is>
      </c>
      <c r="R1908" t="inlineStr">
        <is>
          <t>🚫重复</t>
        </is>
      </c>
      <c r="S1908" t="inlineStr">
        <is>
          <t>中小学教辅/教材</t>
        </is>
      </c>
      <c r="T1908" t="inlineStr">
        <is>
          <t>0.44</t>
        </is>
      </c>
      <c r="U1908" s="3">
        <v>46112.78107638889</v>
      </c>
      <c r="V1908"/>
      <c r="W1908" s="3">
        <v>46081.47180555556</v>
      </c>
      <c r="X1908" t="inlineStr">
        <is>
          <t>02</t>
        </is>
      </c>
      <c r="Y1908" t="inlineStr">
        <is>
          <t>2026-Q1</t>
        </is>
      </c>
    </row>
    <row r="1909" ht="38.25" customHeight="1">
      <c r="A1909" t="inlineStr">
        <is>
          <t>26年春季【新版生物】学习笔记（电子版）-拍下自动发货</t>
        </is>
      </c>
      <c r="B1909" t="inlineStr">
        <is>
          <t>recvdJwg0YPHNw.jpg</t>
        </is>
      </c>
      <c r="C1909" s="2" t="str">
        <f>=HYPERLINK("https://xhslink.com/m/2pPBaL4jl5A", "https://xhslink.com/m/2pPBaL4jl5A")</f>
        <v>https://xhslink.com/m/2pPBaL4jl5A</v>
      </c>
      <c r="D1909"/>
      <c r="E1909">
        <v>3261</v>
      </c>
      <c r="F1909">
        <v>5.9</v>
      </c>
      <c r="G1909"/>
      <c r="H1909">
        <v>450</v>
      </c>
      <c r="I1909">
        <v>1000</v>
      </c>
      <c r="J1909"/>
      <c r="K1909" t="inlineStr">
        <is>
          <t>初中生物</t>
        </is>
      </c>
      <c r="L1909"/>
      <c r="M1909" t="inlineStr">
        <is>
          <t>三水爱学习的店</t>
        </is>
      </c>
      <c r="N1909">
        <v>11000</v>
      </c>
      <c r="O1909">
        <v>4.38</v>
      </c>
      <c r="P1909">
        <v>24000</v>
      </c>
      <c r="Q1909" t="inlineStr">
        <is>
          <t>67a9bef6b23f7c0001dc2685</t>
        </is>
      </c>
      <c r="R1909" t="inlineStr">
        <is>
          <t>🚫重复</t>
        </is>
      </c>
      <c r="S1909" t="inlineStr">
        <is>
          <t>中小学教辅/教材</t>
        </is>
      </c>
      <c r="T1909" t="inlineStr">
        <is>
          <t>0.30</t>
        </is>
      </c>
      <c r="U1909" s="3">
        <v>46112.78107638889</v>
      </c>
      <c r="V1909"/>
      <c r="W1909" s="3">
        <v>46081.47180555556</v>
      </c>
      <c r="X1909" t="inlineStr">
        <is>
          <t>02</t>
        </is>
      </c>
      <c r="Y1909" t="inlineStr">
        <is>
          <t>2026-Q1</t>
        </is>
      </c>
    </row>
    <row r="1910" ht="38.25" customHeight="1">
      <c r="A1910" t="inlineStr">
        <is>
          <t>2025秋新初一初二初三语文数学英语生物化史地道法知识点电子版</t>
        </is>
      </c>
      <c r="B1910" t="inlineStr">
        <is>
          <t>recvdJwg0YGmFR.jpg</t>
        </is>
      </c>
      <c r="C1910" s="2" t="str">
        <f>=HYPERLINK("https://xhslink.com/m/6W6pqmshWuy", "https://xhslink.com/m/6W6pqmshWuy")</f>
        <v>https://xhslink.com/m/6W6pqmshWuy</v>
      </c>
      <c r="D1910"/>
      <c r="E1910">
        <v>3060</v>
      </c>
      <c r="F1910">
        <v>15.9</v>
      </c>
      <c r="G1910"/>
      <c r="H1910">
        <v>1500</v>
      </c>
      <c r="I1910">
        <v>1000</v>
      </c>
      <c r="J1910"/>
      <c r="K1910" t="inlineStr">
        <is>
          <t>初中生物</t>
        </is>
      </c>
      <c r="L1910"/>
      <c r="M1910" t="inlineStr">
        <is>
          <t>金老师资料库-的店</t>
        </is>
      </c>
      <c r="N1910">
        <v>1086</v>
      </c>
      <c r="O1910">
        <v>4.59</v>
      </c>
      <c r="P1910">
        <v>3074</v>
      </c>
      <c r="Q1910" t="inlineStr">
        <is>
          <t>68ff2e68c67e47000184570d</t>
        </is>
      </c>
      <c r="R1910" t="inlineStr">
        <is>
          <t>🚫重复</t>
        </is>
      </c>
      <c r="S1910" t="inlineStr">
        <is>
          <t>中小学教辅/教材</t>
        </is>
      </c>
      <c r="T1910" t="inlineStr">
        <is>
          <t>2.82</t>
        </is>
      </c>
      <c r="U1910" s="3">
        <v>46112.78107638889</v>
      </c>
      <c r="V1910"/>
      <c r="W1910" s="3">
        <v>46081.47180555556</v>
      </c>
      <c r="X1910" t="inlineStr">
        <is>
          <t>02</t>
        </is>
      </c>
      <c r="Y1910" t="inlineStr">
        <is>
          <t>2026-Q1</t>
        </is>
      </c>
    </row>
    <row r="1911" ht="38.25" customHeight="1">
      <c r="A1911" t="inlineStr">
        <is>
          <t>上岸熊·26上教资笔试中学科三重点笔记/精讲课</t>
        </is>
      </c>
      <c r="B1911" t="inlineStr">
        <is>
          <t>recvdJwg0YK5RX.jpg</t>
        </is>
      </c>
      <c r="C1911" s="2" t="str">
        <f>=HYPERLINK("https://xhslink.com/m/3R3roMEI5st", "https://xhslink.com/m/3R3roMEI5st")</f>
        <v>https://xhslink.com/m/3R3roMEI5st</v>
      </c>
      <c r="D1911"/>
      <c r="E1911">
        <v>2690</v>
      </c>
      <c r="F1911">
        <v>29.9</v>
      </c>
      <c r="G1911"/>
      <c r="H1911">
        <v>600</v>
      </c>
      <c r="I1911">
        <v>1000</v>
      </c>
      <c r="J1911"/>
      <c r="K1911" t="inlineStr">
        <is>
          <t>初中生物</t>
        </is>
      </c>
      <c r="L1911"/>
      <c r="M1911" t="inlineStr">
        <is>
          <t>珞珞Y资料库的店</t>
        </is>
      </c>
      <c r="N1911">
        <v>6457</v>
      </c>
      <c r="O1911">
        <v>4.68</v>
      </c>
      <c r="P1911">
        <v>18000</v>
      </c>
      <c r="Q1911" t="inlineStr">
        <is>
          <t>681ad64a0e004a00010767fd</t>
        </is>
      </c>
      <c r="R1911" t="inlineStr">
        <is>
          <t>🚫重复</t>
        </is>
      </c>
      <c r="S1911" t="inlineStr">
        <is>
          <t>教资资料</t>
        </is>
      </c>
      <c r="T1911" t="inlineStr">
        <is>
          <t>0.42</t>
        </is>
      </c>
      <c r="U1911" s="3">
        <v>46112.78107638889</v>
      </c>
      <c r="V1911"/>
      <c r="W1911" s="3">
        <v>46081.47180555556</v>
      </c>
      <c r="X1911" t="inlineStr">
        <is>
          <t>02</t>
        </is>
      </c>
      <c r="Y1911" t="inlineStr">
        <is>
          <t>2026-Q1</t>
        </is>
      </c>
    </row>
    <row r="1912" ht="38.25" customHeight="1">
      <c r="A1912" t="inlineStr">
        <is>
          <t>天星教育 · 中考45套金考卷2026中考真题全国中考45套试卷初三刷题卷初升高</t>
        </is>
      </c>
      <c r="B1912" t="inlineStr">
        <is>
          <t>recvdJwg0YXrcV.jpg</t>
        </is>
      </c>
      <c r="C1912" s="2" t="str">
        <f>=HYPERLINK("https://xhslink.com/m/1yihWkEFItg", "https://xhslink.com/m/1yihWkEFItg")</f>
        <v>https://xhslink.com/m/1yihWkEFItg</v>
      </c>
      <c r="D1912"/>
      <c r="E1912">
        <v>1792</v>
      </c>
      <c r="F1912">
        <v>34.2</v>
      </c>
      <c r="G1912"/>
      <c r="H1912">
        <v>200</v>
      </c>
      <c r="I1912">
        <v>1000</v>
      </c>
      <c r="J1912"/>
      <c r="K1912" t="inlineStr">
        <is>
          <t>初中生物</t>
        </is>
      </c>
      <c r="L1912"/>
      <c r="M1912" t="inlineStr">
        <is>
          <t>天星教育旗舰店</t>
        </is>
      </c>
      <c r="N1912">
        <v>229000</v>
      </c>
      <c r="O1912">
        <v>4.8</v>
      </c>
      <c r="P1912">
        <v>143000</v>
      </c>
      <c r="Q1912" t="inlineStr">
        <is>
          <t>64bf9c4d58edba0001906cc6</t>
        </is>
      </c>
      <c r="R1912" t="inlineStr">
        <is>
          <t>🚫重复</t>
        </is>
      </c>
      <c r="S1912" t="inlineStr">
        <is>
          <t>中小学教辅/教材</t>
        </is>
      </c>
      <c r="T1912" t="inlineStr">
        <is>
          <t>0.01</t>
        </is>
      </c>
      <c r="U1912" s="3">
        <v>46112.78107638889</v>
      </c>
      <c r="V1912"/>
      <c r="W1912" s="3">
        <v>46081.47180555556</v>
      </c>
      <c r="X1912" t="inlineStr">
        <is>
          <t>02</t>
        </is>
      </c>
      <c r="Y1912" t="inlineStr">
        <is>
          <t>2026-Q1</t>
        </is>
      </c>
    </row>
    <row r="1913" ht="38.25" customHeight="1">
      <c r="A1913" t="inlineStr">
        <is>
          <t>新人教版初中七八九年级各科知识点早背晚默小纸条电子版资料</t>
        </is>
      </c>
      <c r="B1913" t="inlineStr">
        <is>
          <t>recvdJwg0YX7Ua.jpg</t>
        </is>
      </c>
      <c r="C1913" s="2" t="str">
        <f>=HYPERLINK("https://xhslink.com/m/65TbYdAPsyW", "https://xhslink.com/m/65TbYdAPsyW")</f>
        <v>https://xhslink.com/m/65TbYdAPsyW</v>
      </c>
      <c r="D1913"/>
      <c r="E1913">
        <v>1450</v>
      </c>
      <c r="F1913">
        <v>26.6</v>
      </c>
      <c r="G1913"/>
      <c r="H1913">
        <v>600</v>
      </c>
      <c r="I1913">
        <v>1000</v>
      </c>
      <c r="J1913"/>
      <c r="K1913" t="inlineStr">
        <is>
          <t>初中生物</t>
        </is>
      </c>
      <c r="L1913"/>
      <c r="M1913" t="inlineStr">
        <is>
          <t>朝阳老师优质资料的店</t>
        </is>
      </c>
      <c r="N1913">
        <v>727</v>
      </c>
      <c r="O1913">
        <v>4.48</v>
      </c>
      <c r="P1913">
        <v>2832</v>
      </c>
      <c r="Q1913" t="inlineStr">
        <is>
          <t>68fc3d88c074c5000129d302</t>
        </is>
      </c>
      <c r="R1913" t="inlineStr">
        <is>
          <t>🚫重复</t>
        </is>
      </c>
      <c r="S1913" t="inlineStr">
        <is>
          <t>中小学教辅/教材</t>
        </is>
      </c>
      <c r="T1913" t="inlineStr">
        <is>
          <t>1.99</t>
        </is>
      </c>
      <c r="U1913" s="3">
        <v>46112.78107638889</v>
      </c>
      <c r="V1913"/>
      <c r="W1913" s="3">
        <v>46081.47180555556</v>
      </c>
      <c r="X1913" t="inlineStr">
        <is>
          <t>02</t>
        </is>
      </c>
      <c r="Y1913" t="inlineStr">
        <is>
          <t>2026-Q1</t>
        </is>
      </c>
    </row>
    <row r="1914" ht="38.25" customHeight="1">
      <c r="A1914" t="inlineStr">
        <is>
          <t>初中人教版丨小四门知识点梳理050【电子版】</t>
        </is>
      </c>
      <c r="B1914" t="inlineStr">
        <is>
          <t>recvdJwg0YBq13.jpg</t>
        </is>
      </c>
      <c r="C1914" s="2" t="str">
        <f>=HYPERLINK("https://xhslink.com/m/1UauSruWCoZ", "https://xhslink.com/m/1UauSruWCoZ")</f>
        <v>https://xhslink.com/m/1UauSruWCoZ</v>
      </c>
      <c r="D1914"/>
      <c r="E1914">
        <v>1170</v>
      </c>
      <c r="F1914">
        <v>4</v>
      </c>
      <c r="G1914"/>
      <c r="H1914">
        <v>550</v>
      </c>
      <c r="I1914">
        <v>1000</v>
      </c>
      <c r="J1914"/>
      <c r="K1914" t="inlineStr">
        <is>
          <t>初中生物</t>
        </is>
      </c>
      <c r="L1914"/>
      <c r="M1914" t="inlineStr">
        <is>
          <t>小羊同学！的店</t>
        </is>
      </c>
      <c r="N1914">
        <v>283000</v>
      </c>
      <c r="O1914">
        <v>4.48</v>
      </c>
      <c r="P1914">
        <v>232000</v>
      </c>
      <c r="Q1914" t="inlineStr">
        <is>
          <t>692bbda5b644e40001b50d6d</t>
        </is>
      </c>
      <c r="R1914" t="inlineStr">
        <is>
          <t>🚫重复</t>
        </is>
      </c>
      <c r="S1914" t="inlineStr">
        <is>
          <t>中小学教辅/教材</t>
        </is>
      </c>
      <c r="T1914" t="inlineStr">
        <is>
          <t>0.00</t>
        </is>
      </c>
      <c r="U1914" s="3">
        <v>46112.78107638889</v>
      </c>
      <c r="V1914"/>
      <c r="W1914" s="3">
        <v>46081.47180555556</v>
      </c>
      <c r="X1914" t="inlineStr">
        <is>
          <t>02</t>
        </is>
      </c>
      <c r="Y1914" t="inlineStr">
        <is>
          <t>2026-Q1</t>
        </is>
      </c>
    </row>
    <row r="1915" ht="38.25" customHeight="1">
      <c r="A1915" t="inlineStr">
        <is>
          <t>初中会考生物全四册知识点21页 电子版pdf版</t>
        </is>
      </c>
      <c r="B1915" t="inlineStr">
        <is>
          <t>recvdJwg0Y2qq8.jpg</t>
        </is>
      </c>
      <c r="C1915" s="2" t="str">
        <f>=HYPERLINK("https://xhslink.com/m/c6ZmkYHFmw", "https://xhslink.com/m/c6ZmkYHFmw")</f>
        <v>https://xhslink.com/m/c6ZmkYHFmw</v>
      </c>
      <c r="D1915"/>
      <c r="E1915">
        <v>936</v>
      </c>
      <c r="F1915">
        <v>2.5</v>
      </c>
      <c r="G1915"/>
      <c r="H1915">
        <v>100</v>
      </c>
      <c r="I1915"/>
      <c r="J1915"/>
      <c r="K1915" t="inlineStr">
        <is>
          <t>初中生物</t>
        </is>
      </c>
      <c r="L1915"/>
      <c r="M1915" t="inlineStr">
        <is>
          <t>心语老师的店</t>
        </is>
      </c>
      <c r="N1915">
        <v>9776</v>
      </c>
      <c r="O1915">
        <v>4.35</v>
      </c>
      <c r="P1915">
        <v>64000</v>
      </c>
      <c r="Q1915" t="inlineStr">
        <is>
          <t>6827c8a747f0f1000155bd4a</t>
        </is>
      </c>
      <c r="R1915" t="inlineStr">
        <is>
          <t>🚫重复</t>
        </is>
      </c>
      <c r="S1915" t="inlineStr">
        <is>
          <t>中小学教辅/教材</t>
        </is>
      </c>
      <c r="T1915" t="inlineStr">
        <is>
          <t>0.10</t>
        </is>
      </c>
      <c r="U1915" s="3">
        <v>46112.78107638889</v>
      </c>
      <c r="V1915"/>
      <c r="W1915" s="3">
        <v>46081.47180555556</v>
      </c>
      <c r="X1915" t="inlineStr">
        <is>
          <t>02</t>
        </is>
      </c>
      <c r="Y1915" t="inlineStr">
        <is>
          <t>2026-Q1</t>
        </is>
      </c>
    </row>
    <row r="1916" ht="38.25" customHeight="1">
      <c r="A1916" t="inlineStr">
        <is>
          <t>天星教育 · 2026春初中教材帮七八九年级下册教材同步讲解赠课本答案</t>
        </is>
      </c>
      <c r="B1916" t="inlineStr">
        <is>
          <t>recvdJwg0YV3wU.jpg</t>
        </is>
      </c>
      <c r="C1916" s="2" t="str">
        <f>=HYPERLINK("https://xhslink.com/m/9jDUmBCguva", "https://xhslink.com/m/9jDUmBCguva")</f>
        <v>https://xhslink.com/m/9jDUmBCguva</v>
      </c>
      <c r="D1916"/>
      <c r="E1916">
        <v>734</v>
      </c>
      <c r="F1916">
        <v>37</v>
      </c>
      <c r="G1916"/>
      <c r="H1916">
        <v>100</v>
      </c>
      <c r="I1916"/>
      <c r="J1916"/>
      <c r="K1916" t="inlineStr">
        <is>
          <t>初中生物</t>
        </is>
      </c>
      <c r="L1916"/>
      <c r="M1916" t="inlineStr">
        <is>
          <t>天星教育旗舰店</t>
        </is>
      </c>
      <c r="N1916">
        <v>229000</v>
      </c>
      <c r="O1916">
        <v>4.8</v>
      </c>
      <c r="P1916">
        <v>143000</v>
      </c>
      <c r="Q1916" t="inlineStr">
        <is>
          <t>68f731d5c4f89100019f19d5</t>
        </is>
      </c>
      <c r="R1916" t="inlineStr">
        <is>
          <t>🚫重复</t>
        </is>
      </c>
      <c r="S1916" t="inlineStr">
        <is>
          <t>中小学教辅/教材</t>
        </is>
      </c>
      <c r="T1916" t="inlineStr">
        <is>
          <t>0.00</t>
        </is>
      </c>
      <c r="U1916" s="3">
        <v>46112.78107638889</v>
      </c>
      <c r="V1916"/>
      <c r="W1916" s="3">
        <v>46081.47180555556</v>
      </c>
      <c r="X1916" t="inlineStr">
        <is>
          <t>02</t>
        </is>
      </c>
      <c r="Y1916" t="inlineStr">
        <is>
          <t>2026-Q1</t>
        </is>
      </c>
    </row>
    <row r="1917" ht="38.25" customHeight="1">
      <c r="A1917" t="inlineStr">
        <is>
          <t>初中7-9年级语/数/英/物/化/生/历史/地理/道法电子版资料</t>
        </is>
      </c>
      <c r="B1917" t="inlineStr">
        <is>
          <t>recvdJwg0YG2oT.jpg</t>
        </is>
      </c>
      <c r="C1917" s="2" t="str">
        <f>=HYPERLINK("https://xhslink.com/m/51maou65X7B", "https://xhslink.com/m/51maou65X7B")</f>
        <v>https://xhslink.com/m/51maou65X7B</v>
      </c>
      <c r="D1917"/>
      <c r="E1917">
        <v>597</v>
      </c>
      <c r="F1917">
        <v>29.9</v>
      </c>
      <c r="G1917"/>
      <c r="H1917">
        <v>150</v>
      </c>
      <c r="I1917"/>
      <c r="J1917"/>
      <c r="K1917" t="inlineStr">
        <is>
          <t>初中生物</t>
        </is>
      </c>
      <c r="L1917"/>
      <c r="M1917" t="inlineStr">
        <is>
          <t>清也同学的店</t>
        </is>
      </c>
      <c r="N1917">
        <v>962</v>
      </c>
      <c r="O1917">
        <v>4.18</v>
      </c>
      <c r="P1917">
        <v>739</v>
      </c>
      <c r="Q1917" t="inlineStr">
        <is>
          <t>685ec5b07590770001d863db</t>
        </is>
      </c>
      <c r="R1917" t="inlineStr">
        <is>
          <t>🚫重复</t>
        </is>
      </c>
      <c r="S1917" t="inlineStr">
        <is>
          <t>中小学教辅/教材</t>
        </is>
      </c>
      <c r="T1917" t="inlineStr">
        <is>
          <t>0.62</t>
        </is>
      </c>
      <c r="U1917" s="3">
        <v>46112.78107638889</v>
      </c>
      <c r="V1917"/>
      <c r="W1917" s="3">
        <v>46081.47180555556</v>
      </c>
      <c r="X1917" t="inlineStr">
        <is>
          <t>02</t>
        </is>
      </c>
      <c r="Y1917" t="inlineStr">
        <is>
          <t>2026-Q1</t>
        </is>
      </c>
    </row>
    <row r="1918" ht="38.25" customHeight="1">
      <c r="A1918" t="inlineStr">
        <is>
          <t>2026春初中新教材八下电子课本</t>
        </is>
      </c>
      <c r="B1918" t="inlineStr">
        <is>
          <t>recvdJwg0YUJ1I.jpg</t>
        </is>
      </c>
      <c r="C1918" s="2" t="str">
        <f>=HYPERLINK("https://xhslink.com/m/6JUVh5bFQUu", "https://xhslink.com/m/6JUVh5bFQUu")</f>
        <v>https://xhslink.com/m/6JUVh5bFQUu</v>
      </c>
      <c r="D1918"/>
      <c r="E1918">
        <v>557</v>
      </c>
      <c r="F1918">
        <v>2</v>
      </c>
      <c r="G1918"/>
      <c r="H1918">
        <v>150</v>
      </c>
      <c r="I1918"/>
      <c r="J1918"/>
      <c r="K1918" t="inlineStr">
        <is>
          <t>初中生物</t>
        </is>
      </c>
      <c r="L1918"/>
      <c r="M1918" t="inlineStr">
        <is>
          <t>史学奇才！的店</t>
        </is>
      </c>
      <c r="N1918">
        <v>5495</v>
      </c>
      <c r="O1918">
        <v>4.52</v>
      </c>
      <c r="P1918">
        <v>16000</v>
      </c>
      <c r="Q1918" t="inlineStr">
        <is>
          <t>690f24e72ffb610001e8d5fb</t>
        </is>
      </c>
      <c r="R1918"/>
      <c r="S1918" t="inlineStr">
        <is>
          <t>中小学教辅/教材</t>
        </is>
      </c>
      <c r="T1918" t="inlineStr">
        <is>
          <t>0.10</t>
        </is>
      </c>
      <c r="U1918" s="3">
        <v>46112.78107638889</v>
      </c>
      <c r="V1918"/>
      <c r="W1918" s="3">
        <v>46081.47180555556</v>
      </c>
      <c r="X1918" t="inlineStr">
        <is>
          <t>02</t>
        </is>
      </c>
      <c r="Y1918" t="inlineStr">
        <is>
          <t>2026-Q1</t>
        </is>
      </c>
    </row>
    <row r="1919" ht="38.25" customHeight="1">
      <c r="A1919" t="inlineStr">
        <is>
          <t>2025春新初一初二初三全科知识点总结归纳 各版本知识点总结 电子</t>
        </is>
      </c>
      <c r="B1919" t="inlineStr">
        <is>
          <t>recvdJwg0Y8nUx.jpg</t>
        </is>
      </c>
      <c r="C1919" s="2" t="str">
        <f>=HYPERLINK("https://xhslink.com/m/5U1xBnatzhR", "https://xhslink.com/m/5U1xBnatzhR")</f>
        <v>https://xhslink.com/m/5U1xBnatzhR</v>
      </c>
      <c r="D1919"/>
      <c r="E1919">
        <v>410</v>
      </c>
      <c r="F1919">
        <v>4</v>
      </c>
      <c r="G1919"/>
      <c r="H1919">
        <v>100</v>
      </c>
      <c r="I1919"/>
      <c r="J1919"/>
      <c r="K1919" t="inlineStr">
        <is>
          <t>初中生物</t>
        </is>
      </c>
      <c r="L1919"/>
      <c r="M1919" t="inlineStr">
        <is>
          <t>张老师精品资料铺的店</t>
        </is>
      </c>
      <c r="N1919">
        <v>2885</v>
      </c>
      <c r="O1919">
        <v>4.16</v>
      </c>
      <c r="P1919">
        <v>9243</v>
      </c>
      <c r="Q1919" t="inlineStr">
        <is>
          <t>681b31e33a53940001a479fb</t>
        </is>
      </c>
      <c r="R1919"/>
      <c r="S1919" t="inlineStr">
        <is>
          <t>中小学教辅/教材</t>
        </is>
      </c>
      <c r="T1919" t="inlineStr">
        <is>
          <t>0.14</t>
        </is>
      </c>
      <c r="U1919" s="3">
        <v>46112.78107638889</v>
      </c>
      <c r="V1919"/>
      <c r="W1919" s="3">
        <v>46081.47180555556</v>
      </c>
      <c r="X1919" t="inlineStr">
        <is>
          <t>02</t>
        </is>
      </c>
      <c r="Y1919" t="inlineStr">
        <is>
          <t>2026-Q1</t>
        </is>
      </c>
    </row>
    <row r="1920" ht="38.25" customHeight="1">
      <c r="A1920" t="inlineStr">
        <is>
          <t>七上生物-沪教版-知识清单</t>
        </is>
      </c>
      <c r="B1920" t="inlineStr">
        <is>
          <t>recvdJwg0YGUFj.jpg</t>
        </is>
      </c>
      <c r="C1920" s="2" t="str">
        <f>=HYPERLINK("https://xhslink.com/m/1ipIsCzWU4W", "https://xhslink.com/m/1ipIsCzWU4W")</f>
        <v>https://xhslink.com/m/1ipIsCzWU4W</v>
      </c>
      <c r="D1920"/>
      <c r="E1920">
        <v>383</v>
      </c>
      <c r="F1920">
        <v>9.9</v>
      </c>
      <c r="G1920"/>
      <c r="H1920">
        <v>200</v>
      </c>
      <c r="I1920"/>
      <c r="J1920"/>
      <c r="K1920" t="inlineStr">
        <is>
          <t>初中生物</t>
        </is>
      </c>
      <c r="L1920"/>
      <c r="M1920" t="inlineStr">
        <is>
          <t>赵老师初中学习资料的店</t>
        </is>
      </c>
      <c r="N1920">
        <v>10000</v>
      </c>
      <c r="O1920">
        <v>4.19</v>
      </c>
      <c r="P1920">
        <v>1413</v>
      </c>
      <c r="Q1920" t="inlineStr">
        <is>
          <t>692dac2b137a3b000169c265</t>
        </is>
      </c>
      <c r="R1920"/>
      <c r="S1920" t="inlineStr">
        <is>
          <t>中小学教辅/教材</t>
        </is>
      </c>
      <c r="T1920" t="inlineStr">
        <is>
          <t>0.04</t>
        </is>
      </c>
      <c r="U1920" s="3">
        <v>46112.78107638889</v>
      </c>
      <c r="V1920"/>
      <c r="W1920" s="3">
        <v>46081.47180555556</v>
      </c>
      <c r="X1920" t="inlineStr">
        <is>
          <t>02</t>
        </is>
      </c>
      <c r="Y1920" t="inlineStr">
        <is>
          <t>2026-Q1</t>
        </is>
      </c>
    </row>
    <row r="1921" ht="38.25" customHeight="1">
      <c r="A1921" t="inlineStr">
        <is>
          <t>人教版2025新版八上生物知识点总结电子版</t>
        </is>
      </c>
      <c r="B1921" t="inlineStr">
        <is>
          <t>recvdJwg0YIYMn.jpg</t>
        </is>
      </c>
      <c r="C1921" s="2" t="str">
        <f>=HYPERLINK("https://xhslink.com/m/A6Kio24CUbl", "https://xhslink.com/m/A6Kio24CUbl")</f>
        <v>https://xhslink.com/m/A6Kio24CUbl</v>
      </c>
      <c r="D1921"/>
      <c r="E1921">
        <v>375</v>
      </c>
      <c r="F1921">
        <v>0.9</v>
      </c>
      <c r="G1921"/>
      <c r="H1921">
        <v>150</v>
      </c>
      <c r="I1921"/>
      <c r="J1921"/>
      <c r="K1921" t="inlineStr">
        <is>
          <t>初中生物</t>
        </is>
      </c>
      <c r="L1921"/>
      <c r="M1921" t="inlineStr">
        <is>
          <t>扶桑资料室的店</t>
        </is>
      </c>
      <c r="N1921">
        <v>445</v>
      </c>
      <c r="O1921">
        <v>4.05</v>
      </c>
      <c r="P1921">
        <v>1078</v>
      </c>
      <c r="Q1921" t="inlineStr">
        <is>
          <t>68edc4efc753610001e79a85</t>
        </is>
      </c>
      <c r="R1921"/>
      <c r="S1921" t="inlineStr">
        <is>
          <t>中小学教辅/教材</t>
        </is>
      </c>
      <c r="T1921" t="inlineStr">
        <is>
          <t>0.84</t>
        </is>
      </c>
      <c r="U1921" s="3">
        <v>46112.78107638889</v>
      </c>
      <c r="V1921"/>
      <c r="W1921" s="3">
        <v>46081.47180555556</v>
      </c>
      <c r="X1921" t="inlineStr">
        <is>
          <t>02</t>
        </is>
      </c>
      <c r="Y1921" t="inlineStr">
        <is>
          <t>2026-Q1</t>
        </is>
      </c>
    </row>
    <row r="1922" ht="38.25" customHeight="1">
      <c r="A1922" t="inlineStr">
        <is>
          <t>2026新版七年级下册全科资料</t>
        </is>
      </c>
      <c r="B1922" t="inlineStr">
        <is>
          <t>recvdJwg0YgzNM.jpg</t>
        </is>
      </c>
      <c r="C1922" s="2" t="str">
        <f>=HYPERLINK("https://xhslink.com/m/3UWLJ9hTdoi", "https://xhslink.com/m/3UWLJ9hTdoi")</f>
        <v>https://xhslink.com/m/3UWLJ9hTdoi</v>
      </c>
      <c r="D1922"/>
      <c r="E1922">
        <v>235</v>
      </c>
      <c r="F1922">
        <v>7.2</v>
      </c>
      <c r="G1922"/>
      <c r="H1922">
        <v>100</v>
      </c>
      <c r="I1922"/>
      <c r="J1922"/>
      <c r="K1922" t="inlineStr">
        <is>
          <t>初中生物</t>
        </is>
      </c>
      <c r="L1922"/>
      <c r="M1922" t="inlineStr">
        <is>
          <t>云朵老师伴学的店</t>
        </is>
      </c>
      <c r="N1922">
        <v>417</v>
      </c>
      <c r="O1922">
        <v>4.53</v>
      </c>
      <c r="P1922">
        <v>745</v>
      </c>
      <c r="Q1922" t="inlineStr">
        <is>
          <t>695f45e3b1e6660001a3ef61</t>
        </is>
      </c>
      <c r="R1922"/>
      <c r="S1922" t="inlineStr">
        <is>
          <t>中小学教辅/教材</t>
        </is>
      </c>
      <c r="T1922" t="inlineStr">
        <is>
          <t>0.56</t>
        </is>
      </c>
      <c r="U1922" s="3">
        <v>46112.78107638889</v>
      </c>
      <c r="V1922"/>
      <c r="W1922" s="3">
        <v>46081.47180555556</v>
      </c>
      <c r="X1922" t="inlineStr">
        <is>
          <t>02</t>
        </is>
      </c>
      <c r="Y1922" t="inlineStr">
        <is>
          <t>2026-Q1</t>
        </is>
      </c>
    </row>
    <row r="1923" ht="38.25" customHeight="1">
      <c r="A1923" t="inlineStr">
        <is>
          <t>【官方正版】语文报金奖作文选(初中卷）</t>
        </is>
      </c>
      <c r="B1923" t="inlineStr">
        <is>
          <t>recvdJwg0YroV4.jpg</t>
        </is>
      </c>
      <c r="C1923" s="2" t="str">
        <f>=HYPERLINK("https://xhslink.com/m/3NZXvyjLSTp", "https://xhslink.com/m/3NZXvyjLSTp")</f>
        <v>https://xhslink.com/m/3NZXvyjLSTp</v>
      </c>
      <c r="D1923"/>
      <c r="E1923">
        <v>5555</v>
      </c>
      <c r="F1923">
        <v>41.88</v>
      </c>
      <c r="G1923"/>
      <c r="H1923">
        <v>300</v>
      </c>
      <c r="I1923">
        <v>1000</v>
      </c>
      <c r="J1923"/>
      <c r="K1923" t="inlineStr">
        <is>
          <t>初中语文</t>
        </is>
      </c>
      <c r="L1923"/>
      <c r="M1923" t="inlineStr">
        <is>
          <t>清华大学出版社的店</t>
        </is>
      </c>
      <c r="N1923">
        <v>445000</v>
      </c>
      <c r="O1923">
        <v>4.51</v>
      </c>
      <c r="P1923">
        <v>302000</v>
      </c>
      <c r="Q1923" t="inlineStr">
        <is>
          <t>68a8311dfba5440001978f8b</t>
        </is>
      </c>
      <c r="R1923" t="inlineStr">
        <is>
          <t>🚫重复</t>
        </is>
      </c>
      <c r="S1923" t="inlineStr">
        <is>
          <t>中小学教辅/教材</t>
        </is>
      </c>
      <c r="T1923" t="inlineStr">
        <is>
          <t>0.01</t>
        </is>
      </c>
      <c r="U1923" s="3">
        <v>46112.78107638889</v>
      </c>
      <c r="V1923"/>
      <c r="W1923" s="3">
        <v>46081.47180555556</v>
      </c>
      <c r="X1923" t="inlineStr">
        <is>
          <t>02</t>
        </is>
      </c>
      <c r="Y1923" t="inlineStr">
        <is>
          <t>2026-Q1</t>
        </is>
      </c>
    </row>
    <row r="1924" ht="38.25" customHeight="1">
      <c r="A1924" t="inlineStr">
        <is>
          <t>26年春季新版初中学习笔记知识点（电子版）自动发货</t>
        </is>
      </c>
      <c r="B1924" t="inlineStr">
        <is>
          <t>recvdJwg0YnwkG.jpg</t>
        </is>
      </c>
      <c r="C1924" s="2" t="str">
        <f>=HYPERLINK("https://xhslink.com/m/4F3dmjJQ1TG", "https://xhslink.com/m/4F3dmjJQ1TG")</f>
        <v>https://xhslink.com/m/4F3dmjJQ1TG</v>
      </c>
      <c r="D1924"/>
      <c r="E1924">
        <v>3108</v>
      </c>
      <c r="F1924">
        <v>39.9</v>
      </c>
      <c r="G1924"/>
      <c r="H1924">
        <v>200</v>
      </c>
      <c r="I1924">
        <v>1000</v>
      </c>
      <c r="J1924"/>
      <c r="K1924" t="inlineStr">
        <is>
          <t>初中语文</t>
        </is>
      </c>
      <c r="L1924"/>
      <c r="M1924" t="inlineStr">
        <is>
          <t>小米爱学习的店</t>
        </is>
      </c>
      <c r="N1924">
        <v>4020</v>
      </c>
      <c r="O1924">
        <v>4.36</v>
      </c>
      <c r="P1924">
        <v>6634</v>
      </c>
      <c r="Q1924" t="inlineStr">
        <is>
          <t>66cc564b5c80460001eb46a0</t>
        </is>
      </c>
      <c r="R1924" t="inlineStr">
        <is>
          <t>🚫重复</t>
        </is>
      </c>
      <c r="S1924" t="inlineStr">
        <is>
          <t>中小学教辅/教材</t>
        </is>
      </c>
      <c r="T1924" t="inlineStr">
        <is>
          <t>0.77</t>
        </is>
      </c>
      <c r="U1924" s="3">
        <v>46112.78107638889</v>
      </c>
      <c r="V1924"/>
      <c r="W1924" s="3">
        <v>46081.47180555556</v>
      </c>
      <c r="X1924" t="inlineStr">
        <is>
          <t>02</t>
        </is>
      </c>
      <c r="Y1924" t="inlineStr">
        <is>
          <t>2026-Q1</t>
        </is>
      </c>
    </row>
    <row r="1925" ht="38.25" customHeight="1">
      <c r="A1925" t="inlineStr">
        <is>
          <t>上海华育中学内部使用资料（笔记同款）</t>
        </is>
      </c>
      <c r="B1925" t="inlineStr">
        <is>
          <t>recvdJwg0YZFRl.jpg</t>
        </is>
      </c>
      <c r="C1925" s="2" t="str">
        <f>=HYPERLINK("https://xhslink.com/m/3GxfeDJYn3R", "https://xhslink.com/m/3GxfeDJYn3R")</f>
        <v>https://xhslink.com/m/3GxfeDJYn3R</v>
      </c>
      <c r="D1925"/>
      <c r="E1925">
        <v>2680</v>
      </c>
      <c r="F1925">
        <v>39.9</v>
      </c>
      <c r="G1925"/>
      <c r="H1925">
        <v>250</v>
      </c>
      <c r="I1925">
        <v>1000</v>
      </c>
      <c r="J1925"/>
      <c r="K1925" t="inlineStr">
        <is>
          <t>初中语文</t>
        </is>
      </c>
      <c r="L1925"/>
      <c r="M1925" t="inlineStr">
        <is>
          <t>沪上家长Club的店</t>
        </is>
      </c>
      <c r="N1925">
        <v>2967</v>
      </c>
      <c r="O1925">
        <v>4.62</v>
      </c>
      <c r="P1925">
        <v>11000</v>
      </c>
      <c r="Q1925" t="inlineStr">
        <is>
          <t>687daab2b1b9df0001327508</t>
        </is>
      </c>
      <c r="R1925" t="inlineStr">
        <is>
          <t>🚫重复</t>
        </is>
      </c>
      <c r="S1925" t="inlineStr">
        <is>
          <t>中小学教辅/教材</t>
        </is>
      </c>
      <c r="T1925" t="inlineStr">
        <is>
          <t>0.90</t>
        </is>
      </c>
      <c r="U1925" s="3">
        <v>46112.78107638889</v>
      </c>
      <c r="V1925"/>
      <c r="W1925" s="3">
        <v>46081.47180555556</v>
      </c>
      <c r="X1925" t="inlineStr">
        <is>
          <t>02</t>
        </is>
      </c>
      <c r="Y1925" t="inlineStr">
        <is>
          <t>2026-Q1</t>
        </is>
      </c>
    </row>
    <row r="1926" ht="38.25" customHeight="1">
      <c r="A1926" t="inlineStr">
        <is>
          <t>初中语文12部名著知识点导读总结-自动发货</t>
        </is>
      </c>
      <c r="B1926" t="inlineStr">
        <is>
          <t>recvdJwg0YQUBY.jpg</t>
        </is>
      </c>
      <c r="C1926" s="2" t="str">
        <f>=HYPERLINK("https://xhslink.com/m/62oKSMEd6lO", "https://xhslink.com/m/62oKSMEd6lO")</f>
        <v>https://xhslink.com/m/62oKSMEd6lO</v>
      </c>
      <c r="D1926"/>
      <c r="E1926">
        <v>1725</v>
      </c>
      <c r="F1926">
        <v>49.9</v>
      </c>
      <c r="G1926"/>
      <c r="H1926">
        <v>200</v>
      </c>
      <c r="I1926">
        <v>1000</v>
      </c>
      <c r="J1926"/>
      <c r="K1926" t="inlineStr">
        <is>
          <t>初中语文</t>
        </is>
      </c>
      <c r="L1926"/>
      <c r="M1926" t="inlineStr">
        <is>
          <t>三水爱学习的店</t>
        </is>
      </c>
      <c r="N1926">
        <v>11000</v>
      </c>
      <c r="O1926">
        <v>4.38</v>
      </c>
      <c r="P1926">
        <v>24000</v>
      </c>
      <c r="Q1926" t="inlineStr">
        <is>
          <t>67fa68513d8f380001a0b912</t>
        </is>
      </c>
      <c r="R1926" t="inlineStr">
        <is>
          <t>🚫重复</t>
        </is>
      </c>
      <c r="S1926" t="inlineStr">
        <is>
          <t>中小学教辅/教材</t>
        </is>
      </c>
      <c r="T1926" t="inlineStr">
        <is>
          <t>0.16</t>
        </is>
      </c>
      <c r="U1926" s="3">
        <v>46112.78107638889</v>
      </c>
      <c r="V1926"/>
      <c r="W1926" s="3">
        <v>46081.47180555556</v>
      </c>
      <c r="X1926" t="inlineStr">
        <is>
          <t>02</t>
        </is>
      </c>
      <c r="Y1926" t="inlineStr">
        <is>
          <t>2026-Q1</t>
        </is>
      </c>
    </row>
    <row r="1927" ht="38.25" customHeight="1">
      <c r="A1927" t="inlineStr">
        <is>
          <t>新人教版初中七八九年级各科知识点早背晚默小纸条电子版资料</t>
        </is>
      </c>
      <c r="B1927" t="inlineStr">
        <is>
          <t>recvdJwg0YG6kW.jpg</t>
        </is>
      </c>
      <c r="C1927" s="2" t="str">
        <f>=HYPERLINK("https://xhslink.com/m/7SieXCQ3Gdh", "https://xhslink.com/m/7SieXCQ3Gdh")</f>
        <v>https://xhslink.com/m/7SieXCQ3Gdh</v>
      </c>
      <c r="D1927"/>
      <c r="E1927">
        <v>1450</v>
      </c>
      <c r="F1927">
        <v>39.99</v>
      </c>
      <c r="G1927"/>
      <c r="H1927">
        <v>600</v>
      </c>
      <c r="I1927">
        <v>1000</v>
      </c>
      <c r="J1927"/>
      <c r="K1927" t="inlineStr">
        <is>
          <t>初中语文</t>
        </is>
      </c>
      <c r="L1927"/>
      <c r="M1927" t="inlineStr">
        <is>
          <t>朝阳老师优质资料的店</t>
        </is>
      </c>
      <c r="N1927">
        <v>727</v>
      </c>
      <c r="O1927">
        <v>4.48</v>
      </c>
      <c r="P1927">
        <v>2832</v>
      </c>
      <c r="Q1927" t="inlineStr">
        <is>
          <t>68fc3d88c074c5000129d2d2</t>
        </is>
      </c>
      <c r="R1927" t="inlineStr">
        <is>
          <t>🚫重复</t>
        </is>
      </c>
      <c r="S1927" t="inlineStr">
        <is>
          <t>中小学教辅/教材</t>
        </is>
      </c>
      <c r="T1927" t="inlineStr">
        <is>
          <t>1.99</t>
        </is>
      </c>
      <c r="U1927" s="3">
        <v>46112.78107638889</v>
      </c>
      <c r="V1927"/>
      <c r="W1927" s="3">
        <v>46081.47180555556</v>
      </c>
      <c r="X1927" t="inlineStr">
        <is>
          <t>02</t>
        </is>
      </c>
      <c r="Y1927" t="inlineStr">
        <is>
          <t>2026-Q1</t>
        </is>
      </c>
    </row>
    <row r="1928" ht="38.25" customHeight="1">
      <c r="A1928" t="inlineStr">
        <is>
          <t>林林老师八下语文手写笔记本</t>
        </is>
      </c>
      <c r="B1928" t="inlineStr">
        <is>
          <t>recvdJwg0Yqc5z.jpg</t>
        </is>
      </c>
      <c r="C1928" s="2" t="str">
        <f>=HYPERLINK("https://xhslink.com/m/7QPji5nAJNu", "https://xhslink.com/m/7QPji5nAJNu")</f>
        <v>https://xhslink.com/m/7QPji5nAJNu</v>
      </c>
      <c r="D1928"/>
      <c r="E1928">
        <v>1427</v>
      </c>
      <c r="F1928">
        <v>66</v>
      </c>
      <c r="G1928"/>
      <c r="H1928">
        <v>500</v>
      </c>
      <c r="I1928">
        <v>1000</v>
      </c>
      <c r="J1928"/>
      <c r="K1928" t="inlineStr">
        <is>
          <t>初中语文</t>
        </is>
      </c>
      <c r="L1928"/>
      <c r="M1928" t="inlineStr">
        <is>
          <t>林林老师手写笔记的店</t>
        </is>
      </c>
      <c r="N1928">
        <v>2119</v>
      </c>
      <c r="O1928">
        <v>4.14</v>
      </c>
      <c r="P1928">
        <v>3493</v>
      </c>
      <c r="Q1928" t="inlineStr">
        <is>
          <t>6947c023ae586c0001b18cec</t>
        </is>
      </c>
      <c r="R1928"/>
      <c r="S1928" t="inlineStr">
        <is>
          <t>老师资料</t>
        </is>
      </c>
      <c r="T1928" t="inlineStr">
        <is>
          <t>0.67</t>
        </is>
      </c>
      <c r="U1928" s="3">
        <v>46112.78107638889</v>
      </c>
      <c r="V1928"/>
      <c r="W1928" s="3">
        <v>46081.47180555556</v>
      </c>
      <c r="X1928" t="inlineStr">
        <is>
          <t>02</t>
        </is>
      </c>
      <c r="Y1928" t="inlineStr">
        <is>
          <t>2026-Q1</t>
        </is>
      </c>
    </row>
    <row r="1929" ht="38.25" customHeight="1">
      <c r="A1929" t="inlineStr">
        <is>
          <t>华理社 · 上海专版语数英沪上优学指向核心素养初中优秀教学设计 2026新版</t>
        </is>
      </c>
      <c r="B1929" t="inlineStr">
        <is>
          <t>recvdJwg0YVVCt.jpg</t>
        </is>
      </c>
      <c r="C1929" s="2" t="str">
        <f>=HYPERLINK("https://xhslink.com/m/9mkswuOlr2J", "https://xhslink.com/m/9mkswuOlr2J")</f>
        <v>https://xhslink.com/m/9mkswuOlr2J</v>
      </c>
      <c r="D1929"/>
      <c r="E1929">
        <v>1059</v>
      </c>
      <c r="F1929">
        <v>47.2</v>
      </c>
      <c r="G1929"/>
      <c r="H1929">
        <v>350</v>
      </c>
      <c r="I1929">
        <v>1000</v>
      </c>
      <c r="J1929"/>
      <c r="K1929" t="inlineStr">
        <is>
          <t>初中语文</t>
        </is>
      </c>
      <c r="L1929"/>
      <c r="M1929" t="inlineStr">
        <is>
          <t>华理社旗舰店</t>
        </is>
      </c>
      <c r="N1929">
        <v>15000</v>
      </c>
      <c r="O1929">
        <v>4.91</v>
      </c>
      <c r="P1929">
        <v>47000</v>
      </c>
      <c r="Q1929" t="inlineStr">
        <is>
          <t>695b605eb249210001cbc7dd</t>
        </is>
      </c>
      <c r="R1929" t="inlineStr">
        <is>
          <t>🚫重复</t>
        </is>
      </c>
      <c r="S1929" t="inlineStr">
        <is>
          <t>中小学教辅/教材</t>
        </is>
      </c>
      <c r="T1929" t="inlineStr">
        <is>
          <t>0.07</t>
        </is>
      </c>
      <c r="U1929" s="3">
        <v>46112.78107638889</v>
      </c>
      <c r="V1929"/>
      <c r="W1929" s="3">
        <v>46081.47180555556</v>
      </c>
      <c r="X1929" t="inlineStr">
        <is>
          <t>02</t>
        </is>
      </c>
      <c r="Y1929" t="inlineStr">
        <is>
          <t>2026-Q1</t>
        </is>
      </c>
    </row>
    <row r="1930" ht="38.25" customHeight="1">
      <c r="A1930" t="inlineStr">
        <is>
          <t>2026版初中作文实战通关讲义：破题立意+写作技法+真题演练</t>
        </is>
      </c>
      <c r="B1930" t="inlineStr">
        <is>
          <t>recvdJwg0Y7F7w.jpg</t>
        </is>
      </c>
      <c r="C1930" s="2" t="str">
        <f>=HYPERLINK("https://xhslink.com/m/7oKax8GZrfw", "https://xhslink.com/m/7oKax8GZrfw")</f>
        <v>https://xhslink.com/m/7oKax8GZrfw</v>
      </c>
      <c r="D1930"/>
      <c r="E1930">
        <v>532</v>
      </c>
      <c r="F1930">
        <v>89</v>
      </c>
      <c r="G1930"/>
      <c r="H1930">
        <v>350</v>
      </c>
      <c r="I1930"/>
      <c r="J1930"/>
      <c r="K1930" t="inlineStr">
        <is>
          <t>初中语文</t>
        </is>
      </c>
      <c r="L1930"/>
      <c r="M1930" t="inlineStr">
        <is>
          <t>满分教研室的店</t>
        </is>
      </c>
      <c r="N1930">
        <v>965</v>
      </c>
      <c r="O1930">
        <v>4.51</v>
      </c>
      <c r="P1930">
        <v>613</v>
      </c>
      <c r="Q1930" t="inlineStr">
        <is>
          <t>6950a8f7a3512300015435cf</t>
        </is>
      </c>
      <c r="R1930" t="inlineStr">
        <is>
          <t>🚫重复</t>
        </is>
      </c>
      <c r="S1930" t="inlineStr">
        <is>
          <t>中小学教辅/教材</t>
        </is>
      </c>
      <c r="T1930" t="inlineStr">
        <is>
          <t>0.55</t>
        </is>
      </c>
      <c r="U1930" s="3">
        <v>46112.78107638889</v>
      </c>
      <c r="V1930"/>
      <c r="W1930" s="3">
        <v>46081.47180555556</v>
      </c>
      <c r="X1930" t="inlineStr">
        <is>
          <t>02</t>
        </is>
      </c>
      <c r="Y1930" t="inlineStr">
        <is>
          <t>2026-Q1</t>
        </is>
      </c>
    </row>
    <row r="1931" ht="38.25" customHeight="1">
      <c r="A1931" t="inlineStr">
        <is>
          <t>初中练习单元期中期末月考检测卷初一初二初三多版本【电子版】</t>
        </is>
      </c>
      <c r="B1931" t="inlineStr">
        <is>
          <t>recvdJwg0YaVMT.jpg</t>
        </is>
      </c>
      <c r="C1931" s="2" t="str">
        <f>=HYPERLINK("https://xhslink.com/m/LauzpS3Rim", "https://xhslink.com/m/LauzpS3Rim")</f>
        <v>https://xhslink.com/m/LauzpS3Rim</v>
      </c>
      <c r="D1931"/>
      <c r="E1931">
        <v>7507</v>
      </c>
      <c r="F1931">
        <v>19.8</v>
      </c>
      <c r="G1931"/>
      <c r="H1931">
        <v>1000</v>
      </c>
      <c r="I1931">
        <v>1000</v>
      </c>
      <c r="J1931"/>
      <c r="K1931" t="inlineStr">
        <is>
          <t>初中数学</t>
        </is>
      </c>
      <c r="L1931" t="inlineStr">
        <is>
          <t>🔥低粉爆款</t>
        </is>
      </c>
      <c r="M1931" t="inlineStr">
        <is>
          <t>周老师的资料库的店</t>
        </is>
      </c>
      <c r="N1931">
        <v>1584</v>
      </c>
      <c r="O1931">
        <v>4.58</v>
      </c>
      <c r="P1931">
        <v>12000</v>
      </c>
      <c r="Q1931" t="inlineStr">
        <is>
          <t>683e925dda805a001544be53</t>
        </is>
      </c>
      <c r="R1931" t="inlineStr">
        <is>
          <t>🚫重复</t>
        </is>
      </c>
      <c r="S1931" t="inlineStr">
        <is>
          <t>中小学教辅/教材</t>
        </is>
      </c>
      <c r="T1931" t="inlineStr">
        <is>
          <t>4.74</t>
        </is>
      </c>
      <c r="U1931" s="3">
        <v>46112.78107638889</v>
      </c>
      <c r="V1931"/>
      <c r="W1931" s="3">
        <v>46081.47180555556</v>
      </c>
      <c r="X1931" t="inlineStr">
        <is>
          <t>02</t>
        </is>
      </c>
      <c r="Y1931" t="inlineStr">
        <is>
          <t>2026-Q1</t>
        </is>
      </c>
    </row>
    <row r="1932" ht="38.25" customHeight="1">
      <c r="A1932" t="inlineStr">
        <is>
          <t>2026初一初二初三精品资源包教材改版最新版本永久免费更新</t>
        </is>
      </c>
      <c r="B1932" t="inlineStr">
        <is>
          <t>recvdJwg0YTy4K.jpg</t>
        </is>
      </c>
      <c r="C1932" s="2" t="str">
        <f>=HYPERLINK("https://xhslink.com/m/5ijOtwdfzWs", "https://xhslink.com/m/5ijOtwdfzWs")</f>
        <v>https://xhslink.com/m/5ijOtwdfzWs</v>
      </c>
      <c r="D1932"/>
      <c r="E1932">
        <v>5961</v>
      </c>
      <c r="F1932">
        <v>25.8</v>
      </c>
      <c r="G1932"/>
      <c r="H1932">
        <v>300</v>
      </c>
      <c r="I1932">
        <v>1000</v>
      </c>
      <c r="J1932"/>
      <c r="K1932" t="inlineStr">
        <is>
          <t>初中数学</t>
        </is>
      </c>
      <c r="L1932"/>
      <c r="M1932" t="inlineStr">
        <is>
          <t>李老师的店</t>
        </is>
      </c>
      <c r="N1932">
        <v>2716</v>
      </c>
      <c r="O1932">
        <v>4.12</v>
      </c>
      <c r="P1932">
        <v>9422</v>
      </c>
      <c r="Q1932" t="inlineStr">
        <is>
          <t>679de22129b9f70001061da9</t>
        </is>
      </c>
      <c r="R1932" t="inlineStr">
        <is>
          <t>🚫重复</t>
        </is>
      </c>
      <c r="S1932" t="inlineStr">
        <is>
          <t>中小学教辅/教材</t>
        </is>
      </c>
      <c r="T1932" t="inlineStr">
        <is>
          <t>2.19</t>
        </is>
      </c>
      <c r="U1932" s="3">
        <v>46112.78107638889</v>
      </c>
      <c r="V1932"/>
      <c r="W1932" s="3">
        <v>46081.47180555556</v>
      </c>
      <c r="X1932" t="inlineStr">
        <is>
          <t>02</t>
        </is>
      </c>
      <c r="Y1932" t="inlineStr">
        <is>
          <t>2026-Q1</t>
        </is>
      </c>
    </row>
    <row r="1933" ht="38.25" customHeight="1">
      <c r="A1933" t="inlineStr">
        <is>
          <t>初中数学七八九年级上下册专题训练同步试题期中期末试题电子版</t>
        </is>
      </c>
      <c r="B1933" t="inlineStr">
        <is>
          <t>recvdJwg0YaDxt.jpg</t>
        </is>
      </c>
      <c r="C1933" s="2" t="str">
        <f>=HYPERLINK("https://xhslink.com/m/420Zl4jdP9c", "https://xhslink.com/m/420Zl4jdP9c")</f>
        <v>https://xhslink.com/m/420Zl4jdP9c</v>
      </c>
      <c r="D1933"/>
      <c r="E1933">
        <v>4692</v>
      </c>
      <c r="F1933">
        <v>18.9</v>
      </c>
      <c r="G1933"/>
      <c r="H1933">
        <v>950</v>
      </c>
      <c r="I1933">
        <v>1000</v>
      </c>
      <c r="J1933"/>
      <c r="K1933" t="inlineStr">
        <is>
          <t>初中数学</t>
        </is>
      </c>
      <c r="L1933" t="inlineStr">
        <is>
          <t>🔥低粉爆款</t>
        </is>
      </c>
      <c r="M1933" t="inlineStr">
        <is>
          <t>学习研习社的店</t>
        </is>
      </c>
      <c r="N1933">
        <v>537</v>
      </c>
      <c r="O1933">
        <v>4.53</v>
      </c>
      <c r="P1933">
        <v>5814</v>
      </c>
      <c r="Q1933" t="inlineStr">
        <is>
          <t>68956983a7c1e3000118cb96</t>
        </is>
      </c>
      <c r="R1933" t="inlineStr">
        <is>
          <t>🚫重复</t>
        </is>
      </c>
      <c r="S1933" t="inlineStr">
        <is>
          <t>中小学教辅/教材</t>
        </is>
      </c>
      <c r="T1933" t="inlineStr">
        <is>
          <t>8.74</t>
        </is>
      </c>
      <c r="U1933" s="3">
        <v>46112.78107638889</v>
      </c>
      <c r="V1933"/>
      <c r="W1933" s="3">
        <v>46081.47180555556</v>
      </c>
      <c r="X1933" t="inlineStr">
        <is>
          <t>02</t>
        </is>
      </c>
      <c r="Y1933" t="inlineStr">
        <is>
          <t>2026-Q1</t>
        </is>
      </c>
    </row>
    <row r="1934" ht="38.25" customHeight="1">
      <c r="A1934" t="inlineStr">
        <is>
          <t>2026人教版初中数学七八九年级上下册教案设计PPT课件试题试卷</t>
        </is>
      </c>
      <c r="B1934" t="inlineStr">
        <is>
          <t>recvdJwg0YEU4X.jpg</t>
        </is>
      </c>
      <c r="C1934" s="2" t="str">
        <f>=HYPERLINK("https://xhslink.com/m/2Rjxxs8agwg", "https://xhslink.com/m/2Rjxxs8agwg")</f>
        <v>https://xhslink.com/m/2Rjxxs8agwg</v>
      </c>
      <c r="D1934"/>
      <c r="E1934">
        <v>4120</v>
      </c>
      <c r="F1934">
        <v>25.8</v>
      </c>
      <c r="G1934"/>
      <c r="H1934">
        <v>200</v>
      </c>
      <c r="I1934">
        <v>1000</v>
      </c>
      <c r="J1934"/>
      <c r="K1934" t="inlineStr">
        <is>
          <t>初中数学</t>
        </is>
      </c>
      <c r="L1934"/>
      <c r="M1934" t="inlineStr">
        <is>
          <t>肖老师的店</t>
        </is>
      </c>
      <c r="N1934">
        <v>12000</v>
      </c>
      <c r="O1934">
        <v>4.6</v>
      </c>
      <c r="P1934">
        <v>67000</v>
      </c>
      <c r="Q1934" t="inlineStr">
        <is>
          <t>66d5cf77378c740001ac7a63</t>
        </is>
      </c>
      <c r="R1934" t="inlineStr">
        <is>
          <t>🚫重复</t>
        </is>
      </c>
      <c r="S1934" t="inlineStr">
        <is>
          <t>中小学教辅/教材</t>
        </is>
      </c>
      <c r="T1934" t="inlineStr">
        <is>
          <t>0.34</t>
        </is>
      </c>
      <c r="U1934" s="3">
        <v>46112.78107638889</v>
      </c>
      <c r="V1934"/>
      <c r="W1934" s="3">
        <v>46081.47180555556</v>
      </c>
      <c r="X1934" t="inlineStr">
        <is>
          <t>02</t>
        </is>
      </c>
      <c r="Y1934" t="inlineStr">
        <is>
          <t>2026-Q1</t>
        </is>
      </c>
    </row>
    <row r="1935" ht="38.25" customHeight="1">
      <c r="A1935" t="inlineStr">
        <is>
          <t>2026新初中数学多版本专题训练举一反三知识梳理复习电子版资料</t>
        </is>
      </c>
      <c r="B1935" t="inlineStr">
        <is>
          <t>recvdJwg0YrZdM.jpg</t>
        </is>
      </c>
      <c r="C1935" s="2" t="str">
        <f>=HYPERLINK("https://xhslink.com/m/6c1Xo9HRMo0", "https://xhslink.com/m/6c1Xo9HRMo0")</f>
        <v>https://xhslink.com/m/6c1Xo9HRMo0</v>
      </c>
      <c r="D1935"/>
      <c r="E1935">
        <v>3003</v>
      </c>
      <c r="F1935">
        <v>19.9</v>
      </c>
      <c r="G1935"/>
      <c r="H1935">
        <v>900</v>
      </c>
      <c r="I1935">
        <v>1000</v>
      </c>
      <c r="J1935"/>
      <c r="K1935" t="inlineStr">
        <is>
          <t>初中数学</t>
        </is>
      </c>
      <c r="L1935" t="inlineStr">
        <is>
          <t>🔥低粉爆款</t>
        </is>
      </c>
      <c r="M1935" t="inlineStr">
        <is>
          <t>木子老师吖的店</t>
        </is>
      </c>
      <c r="N1935">
        <v>346</v>
      </c>
      <c r="O1935">
        <v>4.45</v>
      </c>
      <c r="P1935">
        <v>3538</v>
      </c>
      <c r="Q1935" t="inlineStr">
        <is>
          <t>688b3a260e13d5000134220b</t>
        </is>
      </c>
      <c r="R1935" t="inlineStr">
        <is>
          <t>🚫重复</t>
        </is>
      </c>
      <c r="S1935" t="inlineStr">
        <is>
          <t>中小学教辅/教材</t>
        </is>
      </c>
      <c r="T1935" t="inlineStr">
        <is>
          <t>8.68</t>
        </is>
      </c>
      <c r="U1935" s="3">
        <v>46112.78107638889</v>
      </c>
      <c r="V1935"/>
      <c r="W1935" s="3">
        <v>46081.47180555556</v>
      </c>
      <c r="X1935" t="inlineStr">
        <is>
          <t>02</t>
        </is>
      </c>
      <c r="Y1935" t="inlineStr">
        <is>
          <t>2026-Q1</t>
        </is>
      </c>
    </row>
    <row r="1936" ht="38.25" customHeight="1">
      <c r="A1936" t="inlineStr">
        <is>
          <t>2025初中数学几何模型-从入门到精通520题|电子版（学生版+教师版</t>
        </is>
      </c>
      <c r="B1936" t="inlineStr">
        <is>
          <t>recvdJwg0YnKA7.jpg</t>
        </is>
      </c>
      <c r="C1936" s="2" t="str">
        <f>=HYPERLINK("https://xhslink.com/m/3mp1pKm1uqZ", "https://xhslink.com/m/3mp1pKm1uqZ")</f>
        <v>https://xhslink.com/m/3mp1pKm1uqZ</v>
      </c>
      <c r="D1936"/>
      <c r="E1936">
        <v>2645</v>
      </c>
      <c r="F1936">
        <v>9.9</v>
      </c>
      <c r="G1936"/>
      <c r="H1936">
        <v>450</v>
      </c>
      <c r="I1936">
        <v>1000</v>
      </c>
      <c r="J1936"/>
      <c r="K1936" t="inlineStr">
        <is>
          <t>初中数学</t>
        </is>
      </c>
      <c r="L1936"/>
      <c r="M1936" t="inlineStr">
        <is>
          <t>不暴躁的杨老师的店</t>
        </is>
      </c>
      <c r="N1936">
        <v>15000</v>
      </c>
      <c r="O1936">
        <v>4.63</v>
      </c>
      <c r="P1936">
        <v>9837</v>
      </c>
      <c r="Q1936" t="inlineStr">
        <is>
          <t>685ceed33970ba00011a9b48</t>
        </is>
      </c>
      <c r="R1936" t="inlineStr">
        <is>
          <t>🚫重复</t>
        </is>
      </c>
      <c r="S1936" t="inlineStr">
        <is>
          <t>中小学教辅/教材</t>
        </is>
      </c>
      <c r="T1936" t="inlineStr">
        <is>
          <t>0.18</t>
        </is>
      </c>
      <c r="U1936" s="3">
        <v>46112.78107638889</v>
      </c>
      <c r="V1936"/>
      <c r="W1936" s="3">
        <v>46081.47180555556</v>
      </c>
      <c r="X1936" t="inlineStr">
        <is>
          <t>02</t>
        </is>
      </c>
      <c r="Y1936" t="inlineStr">
        <is>
          <t>2026-Q1</t>
        </is>
      </c>
    </row>
    <row r="1937" ht="38.25" customHeight="1">
      <c r="A1937" t="inlineStr">
        <is>
          <t>【2026春】人教版初中数学同步讲义练习七八九年级上下册电子版</t>
        </is>
      </c>
      <c r="B1937" t="inlineStr">
        <is>
          <t>recvdJwg0YdrYN.jpg</t>
        </is>
      </c>
      <c r="C1937" s="2" t="str">
        <f>=HYPERLINK("https://xhslink.com/m/4Q6SBiQqgGj", "https://xhslink.com/m/4Q6SBiQqgGj")</f>
        <v>https://xhslink.com/m/4Q6SBiQqgGj</v>
      </c>
      <c r="D1937"/>
      <c r="E1937">
        <v>2318</v>
      </c>
      <c r="F1937">
        <v>16.9</v>
      </c>
      <c r="G1937"/>
      <c r="H1937">
        <v>100</v>
      </c>
      <c r="I1937">
        <v>1000</v>
      </c>
      <c r="J1937"/>
      <c r="K1937" t="inlineStr">
        <is>
          <t>初中数学</t>
        </is>
      </c>
      <c r="L1937"/>
      <c r="M1937" t="inlineStr">
        <is>
          <t>赵老师学习资料坊的店</t>
        </is>
      </c>
      <c r="N1937">
        <v>1371</v>
      </c>
      <c r="O1937">
        <v>4.56</v>
      </c>
      <c r="P1937">
        <v>11000</v>
      </c>
      <c r="Q1937" t="inlineStr">
        <is>
          <t>688c1b8599631f0001c14597</t>
        </is>
      </c>
      <c r="R1937" t="inlineStr">
        <is>
          <t>🚫重复</t>
        </is>
      </c>
      <c r="S1937" t="inlineStr">
        <is>
          <t>中小学教辅/教材</t>
        </is>
      </c>
      <c r="T1937" t="inlineStr">
        <is>
          <t>1.69</t>
        </is>
      </c>
      <c r="U1937" s="3">
        <v>46112.78107638889</v>
      </c>
      <c r="V1937"/>
      <c r="W1937" s="3">
        <v>46081.47180555556</v>
      </c>
      <c r="X1937" t="inlineStr">
        <is>
          <t>02</t>
        </is>
      </c>
      <c r="Y1937" t="inlineStr">
        <is>
          <t>2026-Q1</t>
        </is>
      </c>
    </row>
    <row r="1938" ht="38.25" customHeight="1">
      <c r="A1938" t="inlineStr">
        <is>
          <t>2026春季北师大版初中数学七八九年级上下册课件PPT教案试卷练习</t>
        </is>
      </c>
      <c r="B1938" t="inlineStr">
        <is>
          <t>recvdJwg0Y50OF.jpg</t>
        </is>
      </c>
      <c r="C1938" s="2" t="str">
        <f>=HYPERLINK("https://xhslink.com/m/6xOySMuFGw2", "https://xhslink.com/m/6xOySMuFGw2")</f>
        <v>https://xhslink.com/m/6xOySMuFGw2</v>
      </c>
      <c r="D1938"/>
      <c r="E1938">
        <v>2318</v>
      </c>
      <c r="F1938">
        <v>25</v>
      </c>
      <c r="G1938"/>
      <c r="H1938">
        <v>250</v>
      </c>
      <c r="I1938">
        <v>1000</v>
      </c>
      <c r="J1938"/>
      <c r="K1938" t="inlineStr">
        <is>
          <t>初中数学</t>
        </is>
      </c>
      <c r="L1938"/>
      <c r="M1938" t="inlineStr">
        <is>
          <t>小小智慧的店</t>
        </is>
      </c>
      <c r="N1938">
        <v>8267</v>
      </c>
      <c r="O1938">
        <v>4.56</v>
      </c>
      <c r="P1938">
        <v>49000</v>
      </c>
      <c r="Q1938" t="inlineStr">
        <is>
          <t>676c125d96674d0001243ae8</t>
        </is>
      </c>
      <c r="R1938" t="inlineStr">
        <is>
          <t>🚫重复</t>
        </is>
      </c>
      <c r="S1938" t="inlineStr">
        <is>
          <t>中小学教辅/教材</t>
        </is>
      </c>
      <c r="T1938" t="inlineStr">
        <is>
          <t>0.28</t>
        </is>
      </c>
      <c r="U1938" s="3">
        <v>46112.78107638889</v>
      </c>
      <c r="V1938"/>
      <c r="W1938" s="3">
        <v>46081.47180555556</v>
      </c>
      <c r="X1938" t="inlineStr">
        <is>
          <t>02</t>
        </is>
      </c>
      <c r="Y1938" t="inlineStr">
        <is>
          <t>2026-Q1</t>
        </is>
      </c>
    </row>
    <row r="1939" ht="38.25" customHeight="1">
      <c r="A1939" t="inlineStr">
        <is>
          <t>【官方正版】什么是初中数学</t>
        </is>
      </c>
      <c r="B1939" t="inlineStr">
        <is>
          <t>recvdJwg0YhK5w.jpg</t>
        </is>
      </c>
      <c r="C1939" s="2" t="str">
        <f>=HYPERLINK("https://xhslink.com/m/7jq6rUlXUiE", "https://xhslink.com/m/7jq6rUlXUiE")</f>
        <v>https://xhslink.com/m/7jq6rUlXUiE</v>
      </c>
      <c r="D1939"/>
      <c r="E1939">
        <v>1720</v>
      </c>
      <c r="F1939">
        <v>36</v>
      </c>
      <c r="G1939"/>
      <c r="H1939">
        <v>250</v>
      </c>
      <c r="I1939">
        <v>1000</v>
      </c>
      <c r="J1939"/>
      <c r="K1939" t="inlineStr">
        <is>
          <t>初中数学</t>
        </is>
      </c>
      <c r="L1939"/>
      <c r="M1939" t="inlineStr">
        <is>
          <t>清华大学出版社的店</t>
        </is>
      </c>
      <c r="N1939">
        <v>445000</v>
      </c>
      <c r="O1939">
        <v>4.51</v>
      </c>
      <c r="P1939">
        <v>302000</v>
      </c>
      <c r="Q1939" t="inlineStr">
        <is>
          <t>686cc49d3287950001ff6e78</t>
        </is>
      </c>
      <c r="R1939" t="inlineStr">
        <is>
          <t>🚫重复</t>
        </is>
      </c>
      <c r="S1939" t="inlineStr">
        <is>
          <t>中小学教辅/教材</t>
        </is>
      </c>
      <c r="T1939" t="inlineStr">
        <is>
          <t>0.00</t>
        </is>
      </c>
      <c r="U1939" s="3">
        <v>46112.78107638889</v>
      </c>
      <c r="V1939"/>
      <c r="W1939" s="3">
        <v>46081.47180555556</v>
      </c>
      <c r="X1939" t="inlineStr">
        <is>
          <t>02</t>
        </is>
      </c>
      <c r="Y1939" t="inlineStr">
        <is>
          <t>2026-Q1</t>
        </is>
      </c>
    </row>
    <row r="1940" ht="38.25" customHeight="1">
      <c r="A1940" t="inlineStr">
        <is>
          <t>华罗庚学校数学课本小学初中奥数自学启蒙老教材思维训练教辅书</t>
        </is>
      </c>
      <c r="B1940" t="inlineStr">
        <is>
          <t>recvdJwg0YKR2u.jpg</t>
        </is>
      </c>
      <c r="C1940" s="2" t="str">
        <f>=HYPERLINK("https://xhslink.com/m/5tNGlmZsXbz", "https://xhslink.com/m/5tNGlmZsXbz")</f>
        <v>https://xhslink.com/m/5tNGlmZsXbz</v>
      </c>
      <c r="D1940"/>
      <c r="E1940">
        <v>1235</v>
      </c>
      <c r="F1940">
        <v>65.88</v>
      </c>
      <c r="G1940"/>
      <c r="H1940">
        <v>300</v>
      </c>
      <c r="I1940">
        <v>1000</v>
      </c>
      <c r="J1940"/>
      <c r="K1940" t="inlineStr">
        <is>
          <t>初中数学</t>
        </is>
      </c>
      <c r="L1940" t="inlineStr">
        <is>
          <t>🔥低粉爆款</t>
        </is>
      </c>
      <c r="M1940" t="inlineStr">
        <is>
          <t>学有所获的店</t>
        </is>
      </c>
      <c r="N1940">
        <v>183</v>
      </c>
      <c r="O1940">
        <v>4.66</v>
      </c>
      <c r="P1940">
        <v>1246</v>
      </c>
      <c r="Q1940" t="inlineStr">
        <is>
          <t>6919587993e3a600012f19f0</t>
        </is>
      </c>
      <c r="R1940" t="inlineStr">
        <is>
          <t>🚫重复</t>
        </is>
      </c>
      <c r="S1940" t="inlineStr">
        <is>
          <t>中小学教辅/教材</t>
        </is>
      </c>
      <c r="T1940" t="inlineStr">
        <is>
          <t>6.75</t>
        </is>
      </c>
      <c r="U1940" s="3">
        <v>46112.78107638889</v>
      </c>
      <c r="V1940"/>
      <c r="W1940" s="3">
        <v>46081.47180555556</v>
      </c>
      <c r="X1940" t="inlineStr">
        <is>
          <t>02</t>
        </is>
      </c>
      <c r="Y1940" t="inlineStr">
        <is>
          <t>2026-Q1</t>
        </is>
      </c>
    </row>
    <row r="1941" ht="38.25" customHeight="1">
      <c r="A1941" t="inlineStr">
        <is>
          <t>25版人教【七上数学】专项题型汇总（电子版）</t>
        </is>
      </c>
      <c r="B1941" t="inlineStr">
        <is>
          <t>recvdJwg0Y7KQH.jpg</t>
        </is>
      </c>
      <c r="C1941" s="2" t="str">
        <f>=HYPERLINK("https://xhslink.com/m/1TUnzsjXr5k", "https://xhslink.com/m/1TUnzsjXr5k")</f>
        <v>https://xhslink.com/m/1TUnzsjXr5k</v>
      </c>
      <c r="D1941"/>
      <c r="E1941">
        <v>1141</v>
      </c>
      <c r="F1941">
        <v>19.9</v>
      </c>
      <c r="G1941"/>
      <c r="H1941">
        <v>300</v>
      </c>
      <c r="I1941">
        <v>1000</v>
      </c>
      <c r="J1941"/>
      <c r="K1941" t="inlineStr">
        <is>
          <t>初中数学</t>
        </is>
      </c>
      <c r="L1941"/>
      <c r="M1941" t="inlineStr">
        <is>
          <t>苏老师初中全科资料的店</t>
        </is>
      </c>
      <c r="N1941">
        <v>4080</v>
      </c>
      <c r="O1941">
        <v>4.47</v>
      </c>
      <c r="P1941">
        <v>11000</v>
      </c>
      <c r="Q1941" t="inlineStr">
        <is>
          <t>689fe5374eed2d0001df4cd5</t>
        </is>
      </c>
      <c r="R1941"/>
      <c r="S1941" t="inlineStr">
        <is>
          <t>中小学教辅/教材</t>
        </is>
      </c>
      <c r="T1941" t="inlineStr">
        <is>
          <t>0.28</t>
        </is>
      </c>
      <c r="U1941" s="3">
        <v>46112.78107638889</v>
      </c>
      <c r="V1941"/>
      <c r="W1941" s="3">
        <v>46081.47180555556</v>
      </c>
      <c r="X1941" t="inlineStr">
        <is>
          <t>02</t>
        </is>
      </c>
      <c r="Y1941" t="inlineStr">
        <is>
          <t>2026-Q1</t>
        </is>
      </c>
    </row>
    <row r="1942" ht="38.25" customHeight="1">
      <c r="A1942" t="inlineStr">
        <is>
          <t>2026 中考数学压轴题（选择题+填空题）非手写答案-电子版</t>
        </is>
      </c>
      <c r="B1942" t="inlineStr">
        <is>
          <t>recvdJwg0Yhn1e.jpg</t>
        </is>
      </c>
      <c r="C1942" s="2" t="str">
        <f>=HYPERLINK("https://xhslink.com/m/48b3uz7DDtd", "https://xhslink.com/m/48b3uz7DDtd")</f>
        <v>https://xhslink.com/m/48b3uz7DDtd</v>
      </c>
      <c r="D1942"/>
      <c r="E1942">
        <v>1091</v>
      </c>
      <c r="F1942">
        <v>9.9</v>
      </c>
      <c r="G1942"/>
      <c r="H1942">
        <v>150</v>
      </c>
      <c r="I1942">
        <v>1000</v>
      </c>
      <c r="J1942"/>
      <c r="K1942" t="inlineStr">
        <is>
          <t>初中数学</t>
        </is>
      </c>
      <c r="L1942"/>
      <c r="M1942" t="inlineStr">
        <is>
          <t>程老师的数学园地的店</t>
        </is>
      </c>
      <c r="N1942">
        <v>13000</v>
      </c>
      <c r="O1942">
        <v>4.58</v>
      </c>
      <c r="P1942">
        <v>9508</v>
      </c>
      <c r="Q1942" t="inlineStr">
        <is>
          <t>67ba65d1cb5e4200011696ea</t>
        </is>
      </c>
      <c r="R1942" t="inlineStr">
        <is>
          <t>🚫重复</t>
        </is>
      </c>
      <c r="S1942" t="inlineStr">
        <is>
          <t>中小学教辅/教材</t>
        </is>
      </c>
      <c r="T1942" t="inlineStr">
        <is>
          <t>0.08</t>
        </is>
      </c>
      <c r="U1942" s="3">
        <v>46112.78107638889</v>
      </c>
      <c r="V1942"/>
      <c r="W1942" s="3">
        <v>46081.47180555556</v>
      </c>
      <c r="X1942" t="inlineStr">
        <is>
          <t>02</t>
        </is>
      </c>
      <c r="Y1942" t="inlineStr">
        <is>
          <t>2026-Q1</t>
        </is>
      </c>
    </row>
    <row r="1943" ht="38.25" customHeight="1">
      <c r="A1943" t="inlineStr">
        <is>
          <t>初中数学中考真题—中考复习专项（通用版）</t>
        </is>
      </c>
      <c r="B1943" t="inlineStr">
        <is>
          <t>recvdJwg0YKKDj.jpg</t>
        </is>
      </c>
      <c r="C1943" s="2" t="str">
        <f>=HYPERLINK("https://xhslink.com/m/Jkv7XBM73Q", "https://xhslink.com/m/Jkv7XBM73Q")</f>
        <v>https://xhslink.com/m/Jkv7XBM73Q</v>
      </c>
      <c r="D1943"/>
      <c r="E1943">
        <v>1049</v>
      </c>
      <c r="F1943">
        <v>12</v>
      </c>
      <c r="G1943"/>
      <c r="H1943">
        <v>100</v>
      </c>
      <c r="I1943">
        <v>1000</v>
      </c>
      <c r="J1943"/>
      <c r="K1943" t="inlineStr">
        <is>
          <t>初中数学</t>
        </is>
      </c>
      <c r="L1943"/>
      <c r="M1943" t="inlineStr">
        <is>
          <t>小琳同学的数学笔记的店</t>
        </is>
      </c>
      <c r="N1943">
        <v>6702</v>
      </c>
      <c r="O1943">
        <v>4.58</v>
      </c>
      <c r="P1943">
        <v>9254</v>
      </c>
      <c r="Q1943" t="inlineStr">
        <is>
          <t>690ab2eedcedc70001491a77</t>
        </is>
      </c>
      <c r="R1943" t="inlineStr">
        <is>
          <t>🚫重复</t>
        </is>
      </c>
      <c r="S1943" t="inlineStr">
        <is>
          <t>中小学教辅/教材</t>
        </is>
      </c>
      <c r="T1943" t="inlineStr">
        <is>
          <t>0.16</t>
        </is>
      </c>
      <c r="U1943" s="3">
        <v>46112.78107638889</v>
      </c>
      <c r="V1943"/>
      <c r="W1943" s="3">
        <v>46081.47180555556</v>
      </c>
      <c r="X1943" t="inlineStr">
        <is>
          <t>02</t>
        </is>
      </c>
      <c r="Y1943" t="inlineStr">
        <is>
          <t>2026-Q1</t>
        </is>
      </c>
    </row>
    <row r="1944" ht="38.25" customHeight="1">
      <c r="A1944" t="inlineStr">
        <is>
          <t>2025国考省考真题历年公务员考试卷真题行测申论</t>
        </is>
      </c>
      <c r="B1944" t="inlineStr">
        <is>
          <t>recvdJwg0YBGZx.jpg</t>
        </is>
      </c>
      <c r="C1944" s="2" t="str">
        <f>=HYPERLINK("https://xhslink.com/m/18HcFGZaqvJ", "https://xhslink.com/m/18HcFGZaqvJ")</f>
        <v>https://xhslink.com/m/18HcFGZaqvJ</v>
      </c>
      <c r="D1944"/>
      <c r="E1944">
        <v>5426</v>
      </c>
      <c r="F1944">
        <v>8.99</v>
      </c>
      <c r="G1944"/>
      <c r="H1944">
        <v>650</v>
      </c>
      <c r="I1944">
        <v>3000</v>
      </c>
      <c r="J1944"/>
      <c r="K1944" t="inlineStr">
        <is>
          <t>公考</t>
        </is>
      </c>
      <c r="L1944" t="inlineStr">
        <is>
          <t>🔥低粉爆款</t>
        </is>
      </c>
      <c r="M1944" t="inlineStr">
        <is>
          <t>张小小上岸的店</t>
        </is>
      </c>
      <c r="N1944">
        <v>1026</v>
      </c>
      <c r="O1944">
        <v>4.54</v>
      </c>
      <c r="P1944">
        <v>10000</v>
      </c>
      <c r="Q1944" t="inlineStr">
        <is>
          <t>67a4a67297ab010001885882</t>
        </is>
      </c>
      <c r="R1944" t="inlineStr">
        <is>
          <t>🚫重复</t>
        </is>
      </c>
      <c r="S1944" t="inlineStr">
        <is>
          <t>考公资料</t>
        </is>
      </c>
      <c r="T1944" t="inlineStr">
        <is>
          <t>5.29</t>
        </is>
      </c>
      <c r="U1944" s="3">
        <v>46112.78107638889</v>
      </c>
      <c r="V1944"/>
      <c r="W1944" s="3">
        <v>46081.47180555556</v>
      </c>
      <c r="X1944" t="inlineStr">
        <is>
          <t>02</t>
        </is>
      </c>
      <c r="Y1944" t="inlineStr">
        <is>
          <t>2026-Q1</t>
        </is>
      </c>
    </row>
    <row r="1945" ht="38.25" customHeight="1">
      <c r="A1945" t="inlineStr">
        <is>
          <t>2026公安辅警招聘考试题库软件APP公安基础知识行测法律时政真题</t>
        </is>
      </c>
      <c r="B1945" t="inlineStr">
        <is>
          <t>recvdJwg0YSpLb.jpg</t>
        </is>
      </c>
      <c r="C1945" s="2" t="str">
        <f>=HYPERLINK("https://xhslink.com/m/2IqN98Yrwq7", "https://xhslink.com/m/2IqN98Yrwq7")</f>
        <v>https://xhslink.com/m/2IqN98Yrwq7</v>
      </c>
      <c r="D1945"/>
      <c r="E1945">
        <v>2805</v>
      </c>
      <c r="F1945">
        <v>66</v>
      </c>
      <c r="G1945"/>
      <c r="H1945">
        <v>200</v>
      </c>
      <c r="I1945"/>
      <c r="J1945"/>
      <c r="K1945" t="inlineStr">
        <is>
          <t>公考</t>
        </is>
      </c>
      <c r="L1945"/>
      <c r="M1945" t="inlineStr">
        <is>
          <t>果果study的店</t>
        </is>
      </c>
      <c r="N1945">
        <v>1007</v>
      </c>
      <c r="O1945">
        <v>4.45</v>
      </c>
      <c r="P1945">
        <v>14000</v>
      </c>
      <c r="Q1945" t="inlineStr">
        <is>
          <t>68fb412ccdf9d6000135c30e</t>
        </is>
      </c>
      <c r="R1945" t="inlineStr">
        <is>
          <t>🚫重复</t>
        </is>
      </c>
      <c r="S1945" t="inlineStr">
        <is>
          <t>软件应用</t>
        </is>
      </c>
      <c r="T1945" t="inlineStr">
        <is>
          <t>2.79</t>
        </is>
      </c>
      <c r="U1945" s="3">
        <v>46112.78107638889</v>
      </c>
      <c r="V1945"/>
      <c r="W1945" s="3">
        <v>46081.47180555556</v>
      </c>
      <c r="X1945" t="inlineStr">
        <is>
          <t>02</t>
        </is>
      </c>
      <c r="Y1945" t="inlineStr">
        <is>
          <t>2026-Q1</t>
        </is>
      </c>
    </row>
    <row r="1946" ht="38.25" customHeight="1">
      <c r="A1946" t="inlineStr">
        <is>
          <t>2026常识4600问 | 国考省考行测高分必背  修正版 115页电子版 ·</t>
        </is>
      </c>
      <c r="B1946" t="inlineStr">
        <is>
          <t>recvdJwg0YC7is.jpg</t>
        </is>
      </c>
      <c r="C1946" s="2" t="str">
        <f>=HYPERLINK("https://xhslink.com/m/1KzfRE5Cbwg", "https://xhslink.com/m/1KzfRE5Cbwg")</f>
        <v>https://xhslink.com/m/1KzfRE5Cbwg</v>
      </c>
      <c r="D1946"/>
      <c r="E1946">
        <v>2557</v>
      </c>
      <c r="F1946">
        <v>1.99</v>
      </c>
      <c r="G1946"/>
      <c r="H1946">
        <v>1500</v>
      </c>
      <c r="I1946">
        <v>2000</v>
      </c>
      <c r="J1946"/>
      <c r="K1946" t="inlineStr">
        <is>
          <t>公考</t>
        </is>
      </c>
      <c r="L1946" t="inlineStr">
        <is>
          <t>🔥低粉爆款</t>
        </is>
      </c>
      <c r="M1946" t="inlineStr">
        <is>
          <t>请回答1988呀的店</t>
        </is>
      </c>
      <c r="N1946">
        <v>319</v>
      </c>
      <c r="O1946">
        <v>4.46</v>
      </c>
      <c r="P1946">
        <v>2570</v>
      </c>
      <c r="Q1946" t="inlineStr">
        <is>
          <t>694417a7b113e4001500d281</t>
        </is>
      </c>
      <c r="R1946" t="inlineStr">
        <is>
          <t>🚫重复</t>
        </is>
      </c>
      <c r="S1946" t="inlineStr">
        <is>
          <t>考公资料</t>
        </is>
      </c>
      <c r="T1946" t="inlineStr">
        <is>
          <t>8.02</t>
        </is>
      </c>
      <c r="U1946" s="3">
        <v>46112.78107638889</v>
      </c>
      <c r="V1946"/>
      <c r="W1946" s="3">
        <v>46081.47180555556</v>
      </c>
      <c r="X1946" t="inlineStr">
        <is>
          <t>02</t>
        </is>
      </c>
      <c r="Y1946" t="inlineStr">
        <is>
          <t>2026-Q1</t>
        </is>
      </c>
    </row>
    <row r="1947" ht="38.25" customHeight="1">
      <c r="A1947" t="inlineStr">
        <is>
          <t>公考雷达，考试分析，预测分数，预测人数帮查</t>
        </is>
      </c>
      <c r="B1947" t="inlineStr">
        <is>
          <t>recvdJwg0YwZGR.jpg</t>
        </is>
      </c>
      <c r="C1947" s="2" t="str">
        <f>=HYPERLINK("https://xhslink.com/m/5c1vgogsiPT", "https://xhslink.com/m/5c1vgogsiPT")</f>
        <v>https://xhslink.com/m/5c1vgogsiPT</v>
      </c>
      <c r="D1947"/>
      <c r="E1947">
        <v>1490</v>
      </c>
      <c r="F1947">
        <v>30</v>
      </c>
      <c r="G1947"/>
      <c r="H1947">
        <v>500</v>
      </c>
      <c r="I1947"/>
      <c r="J1947"/>
      <c r="K1947" t="inlineStr">
        <is>
          <t>公考</t>
        </is>
      </c>
      <c r="L1947"/>
      <c r="M1947" t="inlineStr">
        <is>
          <t>花总藏宝阁的店</t>
        </is>
      </c>
      <c r="N1947">
        <v>643</v>
      </c>
      <c r="O1947">
        <v>4.32</v>
      </c>
      <c r="P1947">
        <v>1763</v>
      </c>
      <c r="Q1947" t="inlineStr">
        <is>
          <t>6988746084b90b0001055d3d</t>
        </is>
      </c>
      <c r="R1947"/>
      <c r="S1947" t="inlineStr">
        <is>
          <t>考公资料</t>
        </is>
      </c>
      <c r="T1947" t="inlineStr">
        <is>
          <t>2.32</t>
        </is>
      </c>
      <c r="U1947" s="3">
        <v>46112.78107638889</v>
      </c>
      <c r="V1947"/>
      <c r="W1947" s="3">
        <v>46081.47180555556</v>
      </c>
      <c r="X1947" t="inlineStr">
        <is>
          <t>02</t>
        </is>
      </c>
      <c r="Y1947" t="inlineStr">
        <is>
          <t>2026-Q1</t>
        </is>
      </c>
    </row>
    <row r="1948" ht="38.25" customHeight="1">
      <c r="A1948" t="inlineStr">
        <is>
          <t>禾悦读书 结构化面试必背资料包</t>
        </is>
      </c>
      <c r="B1948" t="inlineStr">
        <is>
          <t>recvdJwg0YHu4i.jpg</t>
        </is>
      </c>
      <c r="C1948" s="2" t="str">
        <f>=HYPERLINK("https://xhslink.com/m/4stD76wtGJy", "https://xhslink.com/m/4stD76wtGJy")</f>
        <v>https://xhslink.com/m/4stD76wtGJy</v>
      </c>
      <c r="D1948"/>
      <c r="E1948">
        <v>11000</v>
      </c>
      <c r="F1948">
        <v>8.88</v>
      </c>
      <c r="G1948"/>
      <c r="H1948">
        <v>200</v>
      </c>
      <c r="I1948">
        <v>2000</v>
      </c>
      <c r="J1948"/>
      <c r="K1948" t="inlineStr">
        <is>
          <t>面试</t>
        </is>
      </c>
      <c r="L1948" t="inlineStr">
        <is>
          <t>🔥低粉爆款</t>
        </is>
      </c>
      <c r="M1948" t="inlineStr">
        <is>
          <t>禾悦读书的店</t>
        </is>
      </c>
      <c r="N1948">
        <v>2214</v>
      </c>
      <c r="O1948">
        <v>4.05</v>
      </c>
      <c r="P1948">
        <v>12000</v>
      </c>
      <c r="Q1948" t="inlineStr">
        <is>
          <t>674c11ba49ec9e00017ba6d6</t>
        </is>
      </c>
      <c r="R1948"/>
      <c r="S1948" t="inlineStr">
        <is>
          <t>求职面试/职场</t>
        </is>
      </c>
      <c r="T1948" t="inlineStr">
        <is>
          <t>4.97</t>
        </is>
      </c>
      <c r="U1948" s="3">
        <v>46112.78107638889</v>
      </c>
      <c r="V1948"/>
      <c r="W1948" s="3">
        <v>46081.47180555556</v>
      </c>
      <c r="X1948" t="inlineStr">
        <is>
          <t>02</t>
        </is>
      </c>
      <c r="Y1948" t="inlineStr">
        <is>
          <t>2026-Q1</t>
        </is>
      </c>
    </row>
    <row r="1949" ht="38.25" customHeight="1">
      <c r="A1949" t="inlineStr">
        <is>
          <t>春秋高端公务员面试修身商务西装套装女职业面试正装工作西服上衣</t>
        </is>
      </c>
      <c r="B1949" t="inlineStr">
        <is>
          <t>recvdJwg0Y9CRD.jpg</t>
        </is>
      </c>
      <c r="C1949" s="2" t="str">
        <f>=HYPERLINK("https://xhslink.com/m/6pAsrwLn9lp", "https://xhslink.com/m/6pAsrwLn9lp")</f>
        <v>https://xhslink.com/m/6pAsrwLn9lp</v>
      </c>
      <c r="D1949"/>
      <c r="E1949">
        <v>10000</v>
      </c>
      <c r="F1949">
        <v>159</v>
      </c>
      <c r="G1949"/>
      <c r="H1949">
        <v>100</v>
      </c>
      <c r="I1949">
        <v>1000</v>
      </c>
      <c r="J1949"/>
      <c r="K1949" t="inlineStr">
        <is>
          <t>面试</t>
        </is>
      </c>
      <c r="L1949" t="inlineStr">
        <is>
          <t>🔥低粉爆款</t>
        </is>
      </c>
      <c r="M1949" t="inlineStr">
        <is>
          <t>小甜甜西装套装的店</t>
        </is>
      </c>
      <c r="N1949">
        <v>1024</v>
      </c>
      <c r="O1949">
        <v>4.72</v>
      </c>
      <c r="P1949">
        <v>16000</v>
      </c>
      <c r="Q1949" t="inlineStr">
        <is>
          <t>6768f354b1267e0001c255f1</t>
        </is>
      </c>
      <c r="R1949" t="inlineStr">
        <is>
          <t>🚫重复</t>
        </is>
      </c>
      <c r="S1949" t="inlineStr">
        <is>
          <t>求职面试/职场</t>
        </is>
      </c>
      <c r="T1949" t="inlineStr">
        <is>
          <t>9.77</t>
        </is>
      </c>
      <c r="U1949" s="3">
        <v>46112.78107638889</v>
      </c>
      <c r="V1949"/>
      <c r="W1949" s="3">
        <v>46081.47180555556</v>
      </c>
      <c r="X1949" t="inlineStr">
        <is>
          <t>02</t>
        </is>
      </c>
      <c r="Y1949" t="inlineStr">
        <is>
          <t>2026-Q1</t>
        </is>
      </c>
    </row>
    <row r="1950" ht="38.25" customHeight="1">
      <c r="A1950" t="inlineStr">
        <is>
          <t>结构化面试笔记素材（600页、近300个模板）虚拟</t>
        </is>
      </c>
      <c r="B1950" t="inlineStr">
        <is>
          <t>recvdJwg0YHagO.jpg</t>
        </is>
      </c>
      <c r="C1950" s="2" t="str">
        <f>=HYPERLINK("https://xhslink.com/m/6fHwALx1Bzo", "https://xhslink.com/m/6fHwALx1Bzo")</f>
        <v>https://xhslink.com/m/6fHwALx1Bzo</v>
      </c>
      <c r="D1950"/>
      <c r="E1950">
        <v>6404</v>
      </c>
      <c r="F1950">
        <v>3.9</v>
      </c>
      <c r="G1950"/>
      <c r="H1950">
        <v>200</v>
      </c>
      <c r="I1950">
        <v>1000</v>
      </c>
      <c r="J1950"/>
      <c r="K1950" t="inlineStr">
        <is>
          <t>面试</t>
        </is>
      </c>
      <c r="L1950"/>
      <c r="M1950" t="inlineStr">
        <is>
          <t>穷鬼考公上岸的店</t>
        </is>
      </c>
      <c r="N1950">
        <v>5750</v>
      </c>
      <c r="O1950">
        <v>4.04</v>
      </c>
      <c r="P1950">
        <v>21000</v>
      </c>
      <c r="Q1950" t="inlineStr">
        <is>
          <t>669729d476267a0001061fb3</t>
        </is>
      </c>
      <c r="R1950"/>
      <c r="S1950" t="inlineStr">
        <is>
          <t>求职面试/职场</t>
        </is>
      </c>
      <c r="T1950" t="inlineStr">
        <is>
          <t>1.11</t>
        </is>
      </c>
      <c r="U1950" s="3">
        <v>46112.78107638889</v>
      </c>
      <c r="V1950"/>
      <c r="W1950" s="3">
        <v>46081.47180555556</v>
      </c>
      <c r="X1950" t="inlineStr">
        <is>
          <t>02</t>
        </is>
      </c>
      <c r="Y1950" t="inlineStr">
        <is>
          <t>2026-Q1</t>
        </is>
      </c>
    </row>
    <row r="1951" ht="38.25" customHeight="1">
      <c r="A1951" t="inlineStr">
        <is>
          <t>【HL studio】轻熟V领法式长袖衬衫女春秋季职业公务员面试正装女</t>
        </is>
      </c>
      <c r="B1951" t="inlineStr">
        <is>
          <t>recvdJwg0YqNjA.jpg</t>
        </is>
      </c>
      <c r="C1951" s="2" t="str">
        <f>=HYPERLINK("https://xhslink.com/m/TMiFzsqBL4", "https://xhslink.com/m/TMiFzsqBL4")</f>
        <v>https://xhslink.com/m/TMiFzsqBL4</v>
      </c>
      <c r="D1951"/>
      <c r="E1951">
        <v>6119</v>
      </c>
      <c r="F1951">
        <v>159</v>
      </c>
      <c r="G1951"/>
      <c r="H1951">
        <v>350</v>
      </c>
      <c r="I1951">
        <v>1000</v>
      </c>
      <c r="J1951"/>
      <c r="K1951" t="inlineStr">
        <is>
          <t>面试</t>
        </is>
      </c>
      <c r="L1951"/>
      <c r="M1951" t="inlineStr">
        <is>
          <t>HLSTUDIO工作室的店</t>
        </is>
      </c>
      <c r="N1951">
        <v>2631</v>
      </c>
      <c r="O1951">
        <v>4.43</v>
      </c>
      <c r="P1951">
        <v>19000</v>
      </c>
      <c r="Q1951" t="inlineStr">
        <is>
          <t>68344823243bf8000191253b</t>
        </is>
      </c>
      <c r="R1951" t="inlineStr">
        <is>
          <t>🚫重复</t>
        </is>
      </c>
      <c r="S1951" t="inlineStr">
        <is>
          <t>求职面试/职场</t>
        </is>
      </c>
      <c r="T1951" t="inlineStr">
        <is>
          <t>2.33</t>
        </is>
      </c>
      <c r="U1951" s="3">
        <v>46112.78107638889</v>
      </c>
      <c r="V1951"/>
      <c r="W1951" s="3">
        <v>46081.47180555556</v>
      </c>
      <c r="X1951" t="inlineStr">
        <is>
          <t>02</t>
        </is>
      </c>
      <c r="Y1951" t="inlineStr">
        <is>
          <t>2026-Q1</t>
        </is>
      </c>
    </row>
    <row r="1952" ht="38.25" customHeight="1">
      <c r="A1952" t="inlineStr">
        <is>
          <t>教师结构化面试（新课标+教育热点）</t>
        </is>
      </c>
      <c r="B1952" t="inlineStr">
        <is>
          <t>recvdJwg0YafUV.jpg</t>
        </is>
      </c>
      <c r="C1952" s="2" t="str">
        <f>=HYPERLINK("https://xhslink.com/m/3hXXCQtORCK", "https://xhslink.com/m/3hXXCQtORCK")</f>
        <v>https://xhslink.com/m/3hXXCQtORCK</v>
      </c>
      <c r="D1952"/>
      <c r="E1952">
        <v>3429</v>
      </c>
      <c r="F1952">
        <v>20.9</v>
      </c>
      <c r="G1952"/>
      <c r="H1952">
        <v>100</v>
      </c>
      <c r="I1952">
        <v>1000</v>
      </c>
      <c r="J1952"/>
      <c r="K1952" t="inlineStr">
        <is>
          <t>面试</t>
        </is>
      </c>
      <c r="L1952"/>
      <c r="M1952" t="inlineStr">
        <is>
          <t>暮雨潇潇不解释的店</t>
        </is>
      </c>
      <c r="N1952">
        <v>37000</v>
      </c>
      <c r="O1952">
        <v>4.4</v>
      </c>
      <c r="P1952">
        <v>40000</v>
      </c>
      <c r="Q1952" t="inlineStr">
        <is>
          <t>672cc4f54c39cc000115a2d2</t>
        </is>
      </c>
      <c r="R1952" t="inlineStr">
        <is>
          <t>🚫重复</t>
        </is>
      </c>
      <c r="S1952" t="inlineStr">
        <is>
          <t>教资资料</t>
        </is>
      </c>
      <c r="T1952" t="inlineStr">
        <is>
          <t>0.09</t>
        </is>
      </c>
      <c r="U1952" s="3">
        <v>46112.78107638889</v>
      </c>
      <c r="V1952"/>
      <c r="W1952" s="3">
        <v>46081.47180555556</v>
      </c>
      <c r="X1952" t="inlineStr">
        <is>
          <t>02</t>
        </is>
      </c>
      <c r="Y1952" t="inlineStr">
        <is>
          <t>2026-Q1</t>
        </is>
      </c>
    </row>
    <row r="1953" ht="38.25" customHeight="1">
      <c r="A1953" t="inlineStr">
        <is>
          <t>考研院校数据拟录取名单复试名单分数线招生简章复试方案专业目录</t>
        </is>
      </c>
      <c r="B1953" t="inlineStr">
        <is>
          <t>recvdJwg0YanRT.jpg</t>
        </is>
      </c>
      <c r="C1953" s="2" t="str">
        <f>=HYPERLINK("https://xhslink.com/m/A8qC7wYMrK0", "https://xhslink.com/m/A8qC7wYMrK0")</f>
        <v>https://xhslink.com/m/A8qC7wYMrK0</v>
      </c>
      <c r="D1953"/>
      <c r="E1953">
        <v>3516</v>
      </c>
      <c r="F1953">
        <v>99</v>
      </c>
      <c r="G1953"/>
      <c r="H1953">
        <v>400</v>
      </c>
      <c r="I1953">
        <v>1000</v>
      </c>
      <c r="J1953"/>
      <c r="K1953" t="inlineStr">
        <is>
          <t>考研</t>
        </is>
      </c>
      <c r="L1953" t="inlineStr">
        <is>
          <t>🔥低粉爆款</t>
        </is>
      </c>
      <c r="M1953" t="inlineStr">
        <is>
          <t>择校调剂宝的店</t>
        </is>
      </c>
      <c r="N1953">
        <v>739</v>
      </c>
      <c r="O1953">
        <v>4.1</v>
      </c>
      <c r="P1953">
        <v>5603</v>
      </c>
      <c r="Q1953" t="inlineStr">
        <is>
          <t>689f068e11247e000129bb02</t>
        </is>
      </c>
      <c r="R1953"/>
      <c r="S1953" t="inlineStr">
        <is>
          <t>考研资料</t>
        </is>
      </c>
      <c r="T1953" t="inlineStr">
        <is>
          <t>4.76</t>
        </is>
      </c>
      <c r="U1953" s="3">
        <v>46112.78107638889</v>
      </c>
      <c r="V1953"/>
      <c r="W1953" s="3">
        <v>46081.47180555556</v>
      </c>
      <c r="X1953" t="inlineStr">
        <is>
          <t>02</t>
        </is>
      </c>
      <c r="Y1953" t="inlineStr">
        <is>
          <t>2026-Q1</t>
        </is>
      </c>
    </row>
    <row r="1954" ht="38.25" customHeight="1">
      <c r="A1954" t="inlineStr">
        <is>
          <t>中公教育 · 27/28考研择校择专小程序免费送，1v1咨询，附带往年报考数据</t>
        </is>
      </c>
      <c r="B1954" t="inlineStr">
        <is>
          <t>recvdJwg0Yv6SM.jpg</t>
        </is>
      </c>
      <c r="C1954" s="2" t="str">
        <f>=HYPERLINK("https://xhslink.com/m/A2a6sQRp688", "https://xhslink.com/m/A2a6sQRp688")</f>
        <v>https://xhslink.com/m/A2a6sQRp688</v>
      </c>
      <c r="D1954"/>
      <c r="E1954">
        <v>654</v>
      </c>
      <c r="F1954">
        <v>0.1</v>
      </c>
      <c r="G1954"/>
      <c r="H1954">
        <v>250</v>
      </c>
      <c r="I1954"/>
      <c r="J1954"/>
      <c r="K1954" t="inlineStr">
        <is>
          <t>考研</t>
        </is>
      </c>
      <c r="L1954"/>
      <c r="M1954" t="inlineStr">
        <is>
          <t>中公考研咨询的店</t>
        </is>
      </c>
      <c r="N1954">
        <v>904</v>
      </c>
      <c r="O1954">
        <v>3.7</v>
      </c>
      <c r="P1954">
        <v>1140</v>
      </c>
      <c r="Q1954" t="inlineStr">
        <is>
          <t>691c0e96dbfbf5000173e7b8</t>
        </is>
      </c>
      <c r="R1954"/>
      <c r="S1954" t="inlineStr">
        <is>
          <t>考研资料</t>
        </is>
      </c>
      <c r="T1954" t="inlineStr">
        <is>
          <t>0.72</t>
        </is>
      </c>
      <c r="U1954" s="3">
        <v>46112.78107638889</v>
      </c>
      <c r="V1954"/>
      <c r="W1954" s="3">
        <v>46081.47180555556</v>
      </c>
      <c r="X1954" t="inlineStr">
        <is>
          <t>02</t>
        </is>
      </c>
      <c r="Y1954" t="inlineStr">
        <is>
          <t>2026-Q1</t>
        </is>
      </c>
    </row>
    <row r="1955" ht="38.25" customHeight="1">
      <c r="A1955" t="inlineStr">
        <is>
          <t>爱启航 · 张宇2027考研数学基础30讲1000题一千题全家桶强化36讲</t>
        </is>
      </c>
      <c r="B1955" t="inlineStr">
        <is>
          <t>recvdJwg0YmmfR.jpg</t>
        </is>
      </c>
      <c r="C1955" s="2" t="str">
        <f>=HYPERLINK("https://xhslink.com/m/5vPa6JR7QRC", "https://xhslink.com/m/5vPa6JR7QRC")</f>
        <v>https://xhslink.com/m/5vPa6JR7QRC</v>
      </c>
      <c r="D1955"/>
      <c r="E1955">
        <v>513</v>
      </c>
      <c r="F1955">
        <v>224</v>
      </c>
      <c r="G1955"/>
      <c r="H1955">
        <v>100</v>
      </c>
      <c r="I1955"/>
      <c r="J1955"/>
      <c r="K1955" t="inlineStr">
        <is>
          <t>考研</t>
        </is>
      </c>
      <c r="L1955"/>
      <c r="M1955" t="inlineStr">
        <is>
          <t>爱启航旗舰店</t>
        </is>
      </c>
      <c r="N1955">
        <v>2576</v>
      </c>
      <c r="O1955">
        <v>4.68</v>
      </c>
      <c r="P1955">
        <v>1813</v>
      </c>
      <c r="Q1955" t="inlineStr">
        <is>
          <t>68b55d290c85cc0001bacbf4</t>
        </is>
      </c>
      <c r="R1955"/>
      <c r="S1955" t="inlineStr">
        <is>
          <t>考研资料</t>
        </is>
      </c>
      <c r="T1955" t="inlineStr">
        <is>
          <t>0.20</t>
        </is>
      </c>
      <c r="U1955" s="3">
        <v>46112.78107638889</v>
      </c>
      <c r="V1955"/>
      <c r="W1955" s="3">
        <v>46081.47180555556</v>
      </c>
      <c r="X1955" t="inlineStr">
        <is>
          <t>02</t>
        </is>
      </c>
      <c r="Y1955" t="inlineStr">
        <is>
          <t>2026-Q1</t>
        </is>
      </c>
    </row>
    <row r="1956" ht="38.25" customHeight="1">
      <c r="A1956" t="inlineStr">
        <is>
          <t>研途 · 27考研一对一咨询择校择专业 |  张雪峰考研团队（老师电话联系）</t>
        </is>
      </c>
      <c r="B1956" t="inlineStr">
        <is>
          <t>recvdJwg0YVoX5.jpg</t>
        </is>
      </c>
      <c r="C1956" s="2" t="str">
        <f>=HYPERLINK("https://xhslink.com/m/8rTDp7q6gNQ", "https://xhslink.com/m/8rTDp7q6gNQ")</f>
        <v>https://xhslink.com/m/8rTDp7q6gNQ</v>
      </c>
      <c r="D1956"/>
      <c r="E1956">
        <v>417</v>
      </c>
      <c r="F1956">
        <v>2.9</v>
      </c>
      <c r="G1956"/>
      <c r="H1956">
        <v>150</v>
      </c>
      <c r="I1956"/>
      <c r="J1956"/>
      <c r="K1956" t="inlineStr">
        <is>
          <t>考研</t>
        </is>
      </c>
      <c r="L1956"/>
      <c r="M1956" t="inlineStr">
        <is>
          <t>研途考研院校规划的店</t>
        </is>
      </c>
      <c r="N1956">
        <v>98000</v>
      </c>
      <c r="O1956">
        <v>3.72</v>
      </c>
      <c r="P1956">
        <v>1129</v>
      </c>
      <c r="Q1956" t="inlineStr">
        <is>
          <t>69689247adb68400011a5bac</t>
        </is>
      </c>
      <c r="R1956"/>
      <c r="S1956" t="inlineStr">
        <is>
          <t>考研资料</t>
        </is>
      </c>
      <c r="T1956" t="inlineStr">
        <is>
          <t>0.00</t>
        </is>
      </c>
      <c r="U1956" s="3">
        <v>46112.78107638889</v>
      </c>
      <c r="V1956"/>
      <c r="W1956" s="3">
        <v>46081.47180555556</v>
      </c>
      <c r="X1956" t="inlineStr">
        <is>
          <t>02</t>
        </is>
      </c>
      <c r="Y1956" t="inlineStr">
        <is>
          <t>2026-Q1</t>
        </is>
      </c>
    </row>
    <row r="1957" ht="38.25" customHeight="1">
      <c r="A1957" t="inlineStr">
        <is>
          <t>主页任选一份(下单请告知客服您需要的模板编号或截图)</t>
        </is>
      </c>
      <c r="B1957" t="inlineStr">
        <is>
          <t>recvdJMVHi3IU6.jpg</t>
        </is>
      </c>
      <c r="C1957" s="2" t="str">
        <f>=HYPERLINK("https://xhslink.com/m/1t5BvgXkwyF", "https://xhslink.com/m/1t5BvgXkwyF")</f>
        <v>https://xhslink.com/m/1t5BvgXkwyF</v>
      </c>
      <c r="D1957"/>
      <c r="E1957">
        <v>10000</v>
      </c>
      <c r="F1957">
        <v>5</v>
      </c>
      <c r="G1957"/>
      <c r="H1957">
        <v>150</v>
      </c>
      <c r="I1957"/>
      <c r="J1957"/>
      <c r="K1957" t="inlineStr">
        <is>
          <t>PPT</t>
        </is>
      </c>
      <c r="L1957"/>
      <c r="M1957" t="inlineStr">
        <is>
          <t>阿郁PPT的店</t>
        </is>
      </c>
      <c r="N1957">
        <v>12000</v>
      </c>
      <c r="O1957">
        <v>4.25</v>
      </c>
      <c r="P1957">
        <v>15000</v>
      </c>
      <c r="Q1957" t="inlineStr">
        <is>
          <t>66ec009e8f74cd0001c7b3db</t>
        </is>
      </c>
      <c r="R1957"/>
      <c r="S1957" t="inlineStr">
        <is>
          <t>PPT模板</t>
        </is>
      </c>
      <c r="T1957" t="inlineStr">
        <is>
          <t>0.83</t>
        </is>
      </c>
      <c r="U1957" s="3">
        <v>46112.78107638889</v>
      </c>
      <c r="V1957"/>
      <c r="W1957" s="3">
        <v>46094</v>
      </c>
      <c r="X1957" t="inlineStr">
        <is>
          <t>03</t>
        </is>
      </c>
      <c r="Y1957" t="inlineStr">
        <is>
          <t>2026-Q1</t>
        </is>
      </c>
    </row>
    <row r="1958" ht="38.25" customHeight="1">
      <c r="A1958" t="inlineStr">
        <is>
          <t>2026马年元旦联欢会（71页PPT+主持稿+12大游戏）、元旦游戏PPT</t>
        </is>
      </c>
      <c r="B1958" t="inlineStr">
        <is>
          <t>recvdJMWv8kC6l.jpg</t>
        </is>
      </c>
      <c r="C1958" s="2" t="str">
        <f>=HYPERLINK("https://xhslink.com/m/15YeUnUVfNq", "https://xhslink.com/m/15YeUnUVfNq")</f>
        <v>https://xhslink.com/m/15YeUnUVfNq</v>
      </c>
      <c r="D1958"/>
      <c r="E1958">
        <v>7559</v>
      </c>
      <c r="F1958">
        <v>88</v>
      </c>
      <c r="G1958"/>
      <c r="H1958">
        <v>150</v>
      </c>
      <c r="I1958">
        <v>6000</v>
      </c>
      <c r="J1958"/>
      <c r="K1958" t="inlineStr">
        <is>
          <t>PPT</t>
        </is>
      </c>
      <c r="L1958"/>
      <c r="M1958" t="inlineStr">
        <is>
          <t>小雅老师.的店</t>
        </is>
      </c>
      <c r="N1958">
        <v>49000</v>
      </c>
      <c r="O1958">
        <v>4.56</v>
      </c>
      <c r="P1958">
        <v>79000</v>
      </c>
      <c r="Q1958" t="inlineStr">
        <is>
          <t>676c2734d048b70001e1bbe6</t>
        </is>
      </c>
      <c r="R1958" t="inlineStr">
        <is>
          <t>🚫重复</t>
        </is>
      </c>
      <c r="S1958" t="inlineStr">
        <is>
          <t>PPT模板</t>
        </is>
      </c>
      <c r="T1958" t="inlineStr">
        <is>
          <t>0.15</t>
        </is>
      </c>
      <c r="U1958" s="3">
        <v>46112.78107638889</v>
      </c>
      <c r="V1958"/>
      <c r="W1958" s="3">
        <v>46094</v>
      </c>
      <c r="X1958" t="inlineStr">
        <is>
          <t>03</t>
        </is>
      </c>
      <c r="Y1958" t="inlineStr">
        <is>
          <t>2026-Q1</t>
        </is>
      </c>
    </row>
    <row r="1959" ht="38.25" customHeight="1">
      <c r="A1959" t="inlineStr">
        <is>
          <t>从PPT小白到大神的系统视频课（有老师答疑）</t>
        </is>
      </c>
      <c r="B1959" t="inlineStr">
        <is>
          <t>recvdJMWv8BIo6.jpg</t>
        </is>
      </c>
      <c r="C1959" s="2" t="str">
        <f>=HYPERLINK("https://xhslink.com/m/4R2SJirYKez", "https://xhslink.com/m/4R2SJirYKez")</f>
        <v>https://xhslink.com/m/4R2SJirYKez</v>
      </c>
      <c r="D1959"/>
      <c r="E1959">
        <v>6890</v>
      </c>
      <c r="F1959">
        <v>399</v>
      </c>
      <c r="G1959"/>
      <c r="H1959">
        <v>300</v>
      </c>
      <c r="I1959">
        <v>6000</v>
      </c>
      <c r="J1959"/>
      <c r="K1959" t="inlineStr">
        <is>
          <t>PPT</t>
        </is>
      </c>
      <c r="L1959"/>
      <c r="M1959" t="inlineStr">
        <is>
          <t>利兄日志PPT的店</t>
        </is>
      </c>
      <c r="N1959">
        <v>458000</v>
      </c>
      <c r="O1959">
        <v>4.4</v>
      </c>
      <c r="P1959">
        <v>7794</v>
      </c>
      <c r="Q1959" t="inlineStr">
        <is>
          <t>6533740f797cb300017ec8a7</t>
        </is>
      </c>
      <c r="R1959" t="inlineStr">
        <is>
          <t>🚫重复</t>
        </is>
      </c>
      <c r="S1959" t="inlineStr">
        <is>
          <t>PPT模板</t>
        </is>
      </c>
      <c r="T1959" t="inlineStr">
        <is>
          <t>0.02</t>
        </is>
      </c>
      <c r="U1959" s="3">
        <v>46112.78107638889</v>
      </c>
      <c r="V1959"/>
      <c r="W1959" s="3">
        <v>46094</v>
      </c>
      <c r="X1959" t="inlineStr">
        <is>
          <t>03</t>
        </is>
      </c>
      <c r="Y1959" t="inlineStr">
        <is>
          <t>2026-Q1</t>
        </is>
      </c>
    </row>
    <row r="1960" ht="38.25" customHeight="1">
      <c r="A1960" t="inlineStr">
        <is>
          <t>卓越课程•优质•精美•教学ppt</t>
        </is>
      </c>
      <c r="B1960" t="inlineStr">
        <is>
          <t>recvdJMWv8M0D8.jpg</t>
        </is>
      </c>
      <c r="C1960" s="2" t="str">
        <f>=HYPERLINK("https://xhslink.com/m/8DW9antkzFu", "https://xhslink.com/m/8DW9antkzFu")</f>
        <v>https://xhslink.com/m/8DW9antkzFu</v>
      </c>
      <c r="D1960"/>
      <c r="E1960">
        <v>6655</v>
      </c>
      <c r="F1960">
        <v>39.99</v>
      </c>
      <c r="G1960"/>
      <c r="H1960">
        <v>300</v>
      </c>
      <c r="I1960">
        <v>1000</v>
      </c>
      <c r="J1960"/>
      <c r="K1960" t="inlineStr">
        <is>
          <t>PPT</t>
        </is>
      </c>
      <c r="L1960"/>
      <c r="M1960" t="inlineStr">
        <is>
          <t>万能口袋的店</t>
        </is>
      </c>
      <c r="N1960">
        <v>2741</v>
      </c>
      <c r="O1960">
        <v>4.42</v>
      </c>
      <c r="P1960">
        <v>11000</v>
      </c>
      <c r="Q1960" t="inlineStr">
        <is>
          <t>67cef5c129b9f700014b8001</t>
        </is>
      </c>
      <c r="R1960" t="inlineStr">
        <is>
          <t>🚫重复</t>
        </is>
      </c>
      <c r="S1960" t="inlineStr">
        <is>
          <t>PPT模板</t>
        </is>
      </c>
      <c r="T1960" t="inlineStr">
        <is>
          <t>2.43</t>
        </is>
      </c>
      <c r="U1960" s="3">
        <v>46112.78107638889</v>
      </c>
      <c r="V1960"/>
      <c r="W1960" s="3">
        <v>46094</v>
      </c>
      <c r="X1960" t="inlineStr">
        <is>
          <t>03</t>
        </is>
      </c>
      <c r="Y1960" t="inlineStr">
        <is>
          <t>2026-Q1</t>
        </is>
      </c>
    </row>
    <row r="1961" ht="38.25" customHeight="1">
      <c r="A1961" t="inlineStr">
        <is>
          <t>初中语文作文技巧方法提升系列电子资料包PPT课件（教师必备）</t>
        </is>
      </c>
      <c r="B1961" t="inlineStr">
        <is>
          <t>recvdJMWv8qGk1.jpg</t>
        </is>
      </c>
      <c r="C1961" s="2" t="str">
        <f>=HYPERLINK("https://xhslink.com/m/6C0FW7B7ELK", "https://xhslink.com/m/6C0FW7B7ELK")</f>
        <v>https://xhslink.com/m/6C0FW7B7ELK</v>
      </c>
      <c r="D1961"/>
      <c r="E1961">
        <v>5844</v>
      </c>
      <c r="F1961">
        <v>29.9</v>
      </c>
      <c r="G1961"/>
      <c r="H1961">
        <v>400</v>
      </c>
      <c r="I1961">
        <v>1000</v>
      </c>
      <c r="J1961"/>
      <c r="K1961" t="inlineStr">
        <is>
          <t>PPT</t>
        </is>
      </c>
      <c r="L1961" t="inlineStr">
        <is>
          <t>🔥低粉爆款</t>
        </is>
      </c>
      <c r="M1961" t="inlineStr">
        <is>
          <t>阳光泡芙的店</t>
        </is>
      </c>
      <c r="N1961">
        <v>1651</v>
      </c>
      <c r="O1961">
        <v>4.23</v>
      </c>
      <c r="P1961">
        <v>7473</v>
      </c>
      <c r="Q1961" t="inlineStr">
        <is>
          <t>68d227ce9b776a0015380d55</t>
        </is>
      </c>
      <c r="R1961" t="inlineStr">
        <is>
          <t>🚫重复</t>
        </is>
      </c>
      <c r="S1961" t="inlineStr">
        <is>
          <t>中小学教辅/教材</t>
        </is>
      </c>
      <c r="T1961" t="inlineStr">
        <is>
          <t>3.54</t>
        </is>
      </c>
      <c r="U1961" s="3">
        <v>46112.78107638889</v>
      </c>
      <c r="V1961"/>
      <c r="W1961" s="3">
        <v>46094</v>
      </c>
      <c r="X1961" t="inlineStr">
        <is>
          <t>03</t>
        </is>
      </c>
      <c r="Y1961" t="inlineStr">
        <is>
          <t>2026-Q1</t>
        </is>
      </c>
    </row>
    <row r="1962" ht="38.25" customHeight="1">
      <c r="A1962" t="inlineStr">
        <is>
          <t>2025秋人教版英语26个英文字母课件ppt（自然拼读）</t>
        </is>
      </c>
      <c r="B1962" t="inlineStr">
        <is>
          <t>recvdJMWv8SHK6.jpg</t>
        </is>
      </c>
      <c r="C1962" s="2" t="str">
        <f>=HYPERLINK("https://xhslink.com/m/7Di6j7EVpQx", "https://xhslink.com/m/7Di6j7EVpQx")</f>
        <v>https://xhslink.com/m/7Di6j7EVpQx</v>
      </c>
      <c r="D1962"/>
      <c r="E1962">
        <v>4577</v>
      </c>
      <c r="F1962">
        <v>33.6</v>
      </c>
      <c r="G1962"/>
      <c r="H1962">
        <v>200</v>
      </c>
      <c r="I1962">
        <v>1000</v>
      </c>
      <c r="J1962"/>
      <c r="K1962" t="inlineStr">
        <is>
          <t>PPT</t>
        </is>
      </c>
      <c r="L1962"/>
      <c r="M1962" t="inlineStr">
        <is>
          <t>小美教英语的店</t>
        </is>
      </c>
      <c r="N1962">
        <v>4245</v>
      </c>
      <c r="O1962">
        <v>4.06</v>
      </c>
      <c r="P1962">
        <v>6845</v>
      </c>
      <c r="Q1962" t="inlineStr">
        <is>
          <t>68fe4d1fc67e4700017b0ef0</t>
        </is>
      </c>
      <c r="R1962"/>
      <c r="S1962" t="inlineStr">
        <is>
          <t>中小学教辅/教材</t>
        </is>
      </c>
      <c r="T1962" t="inlineStr">
        <is>
          <t>1.08</t>
        </is>
      </c>
      <c r="U1962" s="3">
        <v>46112.78107638889</v>
      </c>
      <c r="V1962"/>
      <c r="W1962" s="3">
        <v>46094</v>
      </c>
      <c r="X1962" t="inlineStr">
        <is>
          <t>03</t>
        </is>
      </c>
      <c r="Y1962" t="inlineStr">
        <is>
          <t>2026-Q1</t>
        </is>
      </c>
    </row>
    <row r="1963" ht="38.25" customHeight="1">
      <c r="A1963" t="inlineStr">
        <is>
          <t>PPT套用模板『按编号拍下』温馨提示:下单前确认好是否为自己需要</t>
        </is>
      </c>
      <c r="B1963" t="inlineStr">
        <is>
          <t>recvdJMWv8Zck5.jpg</t>
        </is>
      </c>
      <c r="C1963" s="2" t="str">
        <f>=HYPERLINK("https://xhslink.com/m/9uI6yypgpQQ", "https://xhslink.com/m/9uI6yypgpQQ")</f>
        <v>https://xhslink.com/m/9uI6yypgpQQ</v>
      </c>
      <c r="D1963"/>
      <c r="E1963">
        <v>4149</v>
      </c>
      <c r="F1963">
        <v>2.99</v>
      </c>
      <c r="G1963"/>
      <c r="H1963">
        <v>350</v>
      </c>
      <c r="I1963">
        <v>1000</v>
      </c>
      <c r="J1963"/>
      <c r="K1963" t="inlineStr">
        <is>
          <t>PPT</t>
        </is>
      </c>
      <c r="L1963"/>
      <c r="M1963" t="inlineStr">
        <is>
          <t>红了一只大萝卜🥕的店</t>
        </is>
      </c>
      <c r="N1963">
        <v>1679</v>
      </c>
      <c r="O1963">
        <v>4.47</v>
      </c>
      <c r="P1963">
        <v>9248</v>
      </c>
      <c r="Q1963" t="inlineStr">
        <is>
          <t>684aba33fab3990001d107a5</t>
        </is>
      </c>
      <c r="R1963"/>
      <c r="S1963" t="inlineStr">
        <is>
          <t>PPT模板</t>
        </is>
      </c>
      <c r="T1963" t="inlineStr">
        <is>
          <t>2.47</t>
        </is>
      </c>
      <c r="U1963" s="3">
        <v>46112.78107638889</v>
      </c>
      <c r="V1963"/>
      <c r="W1963" s="3">
        <v>46094</v>
      </c>
      <c r="X1963" t="inlineStr">
        <is>
          <t>03</t>
        </is>
      </c>
      <c r="Y1963" t="inlineStr">
        <is>
          <t>2026-Q1</t>
        </is>
      </c>
    </row>
    <row r="1964" ht="38.25" customHeight="1">
      <c r="A1964" t="inlineStr">
        <is>
          <t>【限时8.8】2025最新小学期中家长会ppt课件 均可编辑 拍下秒发货</t>
        </is>
      </c>
      <c r="B1964" t="inlineStr">
        <is>
          <t>recvdJMWv8QsUH.jpg</t>
        </is>
      </c>
      <c r="C1964" s="2" t="str">
        <f>=HYPERLINK("https://xhslink.com/m/gwrGugQaiJ", "https://xhslink.com/m/gwrGugQaiJ")</f>
        <v>https://xhslink.com/m/gwrGugQaiJ</v>
      </c>
      <c r="D1964"/>
      <c r="E1964">
        <v>3932</v>
      </c>
      <c r="F1964">
        <v>58.8</v>
      </c>
      <c r="G1964"/>
      <c r="H1964">
        <v>100</v>
      </c>
      <c r="I1964">
        <v>1000</v>
      </c>
      <c r="J1964"/>
      <c r="K1964" t="inlineStr">
        <is>
          <t>PPT</t>
        </is>
      </c>
      <c r="L1964" t="inlineStr">
        <is>
          <t>🔥低粉爆款</t>
        </is>
      </c>
      <c r="M1964" t="inlineStr">
        <is>
          <t>夏夏老师🍋的店</t>
        </is>
      </c>
      <c r="N1964">
        <v>1186</v>
      </c>
      <c r="O1964">
        <v>4.13</v>
      </c>
      <c r="P1964">
        <v>5623</v>
      </c>
      <c r="Q1964" t="inlineStr">
        <is>
          <t>6914bec7b51a380001e5a2d3</t>
        </is>
      </c>
      <c r="R1964"/>
      <c r="S1964" t="inlineStr">
        <is>
          <t>PPT模板</t>
        </is>
      </c>
      <c r="T1964" t="inlineStr">
        <is>
          <t>3.32</t>
        </is>
      </c>
      <c r="U1964" s="3">
        <v>46112.78107638889</v>
      </c>
      <c r="V1964"/>
      <c r="W1964" s="3">
        <v>46094</v>
      </c>
      <c r="X1964" t="inlineStr">
        <is>
          <t>03</t>
        </is>
      </c>
      <c r="Y1964" t="inlineStr">
        <is>
          <t>2026-Q1</t>
        </is>
      </c>
    </row>
    <row r="1965" ht="38.25" customHeight="1">
      <c r="A1965" t="inlineStr">
        <is>
          <t>2026春季新版苏教版小学数学一二三四五六年级上下册课件PPT教案</t>
        </is>
      </c>
      <c r="B1965" t="inlineStr">
        <is>
          <t>recvdJN5zAEwXm.jpg</t>
        </is>
      </c>
      <c r="C1965" s="2" t="str">
        <f>=HYPERLINK("https://xhslink.com/m/9ucbeqKQ1nY", "https://xhslink.com/m/9ucbeqKQ1nY")</f>
        <v>https://xhslink.com/m/9ucbeqKQ1nY</v>
      </c>
      <c r="D1965"/>
      <c r="E1965">
        <v>2743</v>
      </c>
      <c r="F1965">
        <v>32.8</v>
      </c>
      <c r="G1965"/>
      <c r="H1965">
        <v>400</v>
      </c>
      <c r="I1965">
        <v>1000</v>
      </c>
      <c r="J1965"/>
      <c r="K1965" t="inlineStr">
        <is>
          <t>PPT</t>
        </is>
      </c>
      <c r="L1965"/>
      <c r="M1965" t="inlineStr">
        <is>
          <t>小小智慧的店</t>
        </is>
      </c>
      <c r="N1965">
        <v>8323</v>
      </c>
      <c r="O1965">
        <v>4.57</v>
      </c>
      <c r="P1965">
        <v>50000</v>
      </c>
      <c r="Q1965" t="inlineStr">
        <is>
          <t>67614dffb1267e00018f818e</t>
        </is>
      </c>
      <c r="R1965" t="inlineStr">
        <is>
          <t>🚫重复</t>
        </is>
      </c>
      <c r="S1965" t="inlineStr">
        <is>
          <t>中小学教辅/教材</t>
        </is>
      </c>
      <c r="T1965" t="inlineStr">
        <is>
          <t>0.33</t>
        </is>
      </c>
      <c r="U1965" s="3">
        <v>46112.78107638889</v>
      </c>
      <c r="V1965"/>
      <c r="W1965" s="3">
        <v>46094</v>
      </c>
      <c r="X1965" t="inlineStr">
        <is>
          <t>03</t>
        </is>
      </c>
      <c r="Y1965" t="inlineStr">
        <is>
          <t>2026-Q1</t>
        </is>
      </c>
    </row>
    <row r="1966" ht="38.25" customHeight="1">
      <c r="A1966" t="inlineStr">
        <is>
          <t>工作PPT模板-自动发货，不支持退换，介意慎拍！下单选择清楚编号</t>
        </is>
      </c>
      <c r="B1966" t="inlineStr">
        <is>
          <t>recvdJN6aiSR7q.jpg</t>
        </is>
      </c>
      <c r="C1966" s="2" t="str">
        <f>=HYPERLINK("https://xhslink.com/m/10L9MSPGHpS", "https://xhslink.com/m/10L9MSPGHpS")</f>
        <v>https://xhslink.com/m/10L9MSPGHpS</v>
      </c>
      <c r="D1966"/>
      <c r="E1966">
        <v>2442</v>
      </c>
      <c r="F1966">
        <v>8.8</v>
      </c>
      <c r="G1966"/>
      <c r="H1966">
        <v>550</v>
      </c>
      <c r="I1966">
        <v>1000</v>
      </c>
      <c r="J1966"/>
      <c r="K1966" t="inlineStr">
        <is>
          <t>PPT</t>
        </is>
      </c>
      <c r="L1966"/>
      <c r="M1966" t="inlineStr">
        <is>
          <t>小橙子PPT制作的店</t>
        </is>
      </c>
      <c r="N1966">
        <v>7759</v>
      </c>
      <c r="O1966">
        <v>4.61</v>
      </c>
      <c r="P1966">
        <v>14000</v>
      </c>
      <c r="Q1966" t="inlineStr">
        <is>
          <t>696f779026bf6e000185f5e7</t>
        </is>
      </c>
      <c r="R1966" t="inlineStr">
        <is>
          <t>🚫重复</t>
        </is>
      </c>
      <c r="S1966" t="inlineStr">
        <is>
          <t>PPT模板</t>
        </is>
      </c>
      <c r="T1966" t="inlineStr">
        <is>
          <t>0.31</t>
        </is>
      </c>
      <c r="U1966" s="3">
        <v>46112.78107638889</v>
      </c>
      <c r="V1966"/>
      <c r="W1966" s="3">
        <v>46094</v>
      </c>
      <c r="X1966" t="inlineStr">
        <is>
          <t>03</t>
        </is>
      </c>
      <c r="Y1966" t="inlineStr">
        <is>
          <t>2026-Q1</t>
        </is>
      </c>
    </row>
    <row r="1967" ht="38.25" customHeight="1">
      <c r="A1967" t="inlineStr">
        <is>
          <t>高级感PPT模板大全极简商务设计培训答辩工作汇报总结</t>
        </is>
      </c>
      <c r="B1967" t="inlineStr">
        <is>
          <t>recvdJN6aikgZO.jpg</t>
        </is>
      </c>
      <c r="C1967" s="2" t="str">
        <f>=HYPERLINK("https://xhslink.com/m/4A8fQYMpgGH", "https://xhslink.com/m/4A8fQYMpgGH")</f>
        <v>https://xhslink.com/m/4A8fQYMpgGH</v>
      </c>
      <c r="D1967"/>
      <c r="E1967">
        <v>2383</v>
      </c>
      <c r="F1967">
        <v>0.5</v>
      </c>
      <c r="G1967"/>
      <c r="H1967">
        <v>250</v>
      </c>
      <c r="I1967">
        <v>1000</v>
      </c>
      <c r="J1967"/>
      <c r="K1967" t="inlineStr">
        <is>
          <t>PPT</t>
        </is>
      </c>
      <c r="L1967" t="inlineStr">
        <is>
          <t>🔥低粉爆款</t>
        </is>
      </c>
      <c r="M1967" t="inlineStr">
        <is>
          <t>静安小书店的店</t>
        </is>
      </c>
      <c r="N1967">
        <v>89</v>
      </c>
      <c r="O1967">
        <v>4.01</v>
      </c>
      <c r="P1967">
        <v>2452</v>
      </c>
      <c r="Q1967" t="inlineStr">
        <is>
          <t>68d78e7353446d0001a390e3</t>
        </is>
      </c>
      <c r="R1967"/>
      <c r="S1967" t="inlineStr">
        <is>
          <t>PPT模板</t>
        </is>
      </c>
      <c r="T1967" t="inlineStr">
        <is>
          <t>26.78</t>
        </is>
      </c>
      <c r="U1967" s="3">
        <v>46112.78107638889</v>
      </c>
      <c r="V1967"/>
      <c r="W1967" s="3">
        <v>46094</v>
      </c>
      <c r="X1967" t="inlineStr">
        <is>
          <t>03</t>
        </is>
      </c>
      <c r="Y1967" t="inlineStr">
        <is>
          <t>2026-Q1</t>
        </is>
      </c>
    </row>
    <row r="1968" ht="38.25" customHeight="1">
      <c r="A1968" t="inlineStr">
        <is>
          <t>幼儿园主题活动PPT模版（下单前确认好是否为自己所需</t>
        </is>
      </c>
      <c r="B1968" t="inlineStr">
        <is>
          <t>recvdJN6ai89ai.jpg</t>
        </is>
      </c>
      <c r="C1968" s="2" t="str">
        <f>=HYPERLINK("https://xhslink.com/m/7cq5Z3uaGx9", "https://xhslink.com/m/7cq5Z3uaGx9")</f>
        <v>https://xhslink.com/m/7cq5Z3uaGx9</v>
      </c>
      <c r="D1968"/>
      <c r="E1968">
        <v>2222</v>
      </c>
      <c r="F1968">
        <v>2.99</v>
      </c>
      <c r="G1968"/>
      <c r="H1968">
        <v>750</v>
      </c>
      <c r="I1968">
        <v>1000</v>
      </c>
      <c r="J1968"/>
      <c r="K1968" t="inlineStr">
        <is>
          <t>PPT</t>
        </is>
      </c>
      <c r="L1968"/>
      <c r="M1968" t="inlineStr">
        <is>
          <t>一口一个喜洋洋22的店</t>
        </is>
      </c>
      <c r="N1968">
        <v>1220</v>
      </c>
      <c r="O1968">
        <v>4.51</v>
      </c>
      <c r="P1968">
        <v>11000</v>
      </c>
      <c r="Q1968" t="inlineStr">
        <is>
          <t>6948787dc3ae5b0001e449d4</t>
        </is>
      </c>
      <c r="R1968" t="inlineStr">
        <is>
          <t>🚫重复</t>
        </is>
      </c>
      <c r="S1968" t="inlineStr">
        <is>
          <t>PPT模板</t>
        </is>
      </c>
      <c r="T1968" t="inlineStr">
        <is>
          <t>1.82</t>
        </is>
      </c>
      <c r="U1968" s="3">
        <v>46112.78107638889</v>
      </c>
      <c r="V1968"/>
      <c r="W1968" s="3">
        <v>46094</v>
      </c>
      <c r="X1968" t="inlineStr">
        <is>
          <t>03</t>
        </is>
      </c>
      <c r="Y1968" t="inlineStr">
        <is>
          <t>2026-Q1</t>
        </is>
      </c>
    </row>
    <row r="1969" ht="38.25" customHeight="1">
      <c r="A1969" t="inlineStr">
        <is>
          <t>小清新系列PPT模板任选一套（默认发百度网盘，商品链接内可选）</t>
        </is>
      </c>
      <c r="B1969" t="inlineStr">
        <is>
          <t>recvdJN6ai7ZuR.jpg</t>
        </is>
      </c>
      <c r="C1969" s="2" t="str">
        <f>=HYPERLINK("https://xhslink.com/m/7UidPgwQ0TO", "https://xhslink.com/m/7UidPgwQ0TO")</f>
        <v>https://xhslink.com/m/7UidPgwQ0TO</v>
      </c>
      <c r="D1969"/>
      <c r="E1969">
        <v>2158</v>
      </c>
      <c r="F1969">
        <v>4.9</v>
      </c>
      <c r="G1969"/>
      <c r="H1969">
        <v>100</v>
      </c>
      <c r="I1969">
        <v>1000</v>
      </c>
      <c r="J1969"/>
      <c r="K1969" t="inlineStr">
        <is>
          <t>PPT</t>
        </is>
      </c>
      <c r="L1969"/>
      <c r="M1969" t="inlineStr">
        <is>
          <t>到点下班PPT的店</t>
        </is>
      </c>
      <c r="N1969">
        <v>8574</v>
      </c>
      <c r="O1969">
        <v>4.15</v>
      </c>
      <c r="P1969">
        <v>29000</v>
      </c>
      <c r="Q1969" t="inlineStr">
        <is>
          <t>681c666fec1b9300016418fa</t>
        </is>
      </c>
      <c r="R1969"/>
      <c r="S1969" t="inlineStr">
        <is>
          <t>PPT模板</t>
        </is>
      </c>
      <c r="T1969" t="inlineStr">
        <is>
          <t>0.25</t>
        </is>
      </c>
      <c r="U1969" s="3">
        <v>46112.78107638889</v>
      </c>
      <c r="V1969"/>
      <c r="W1969" s="3">
        <v>46094</v>
      </c>
      <c r="X1969" t="inlineStr">
        <is>
          <t>03</t>
        </is>
      </c>
      <c r="Y1969" t="inlineStr">
        <is>
          <t>2026-Q1</t>
        </is>
      </c>
    </row>
    <row r="1970" ht="38.25" customHeight="1">
      <c r="A1970" t="inlineStr">
        <is>
          <t>高级感古风素雅中国风博物馆水墨古典文化艺术新中式通用ppt模版</t>
        </is>
      </c>
      <c r="B1970" t="inlineStr">
        <is>
          <t>recvdJN6ai3NKt.jpg</t>
        </is>
      </c>
      <c r="C1970" s="2" t="str">
        <f>=HYPERLINK("https://xhslink.com/m/AJGQqmZLINq", "https://xhslink.com/m/AJGQqmZLINq")</f>
        <v>https://xhslink.com/m/AJGQqmZLINq</v>
      </c>
      <c r="D1970"/>
      <c r="E1970">
        <v>2096</v>
      </c>
      <c r="F1970">
        <v>4.5</v>
      </c>
      <c r="G1970"/>
      <c r="H1970">
        <v>100</v>
      </c>
      <c r="I1970">
        <v>1000</v>
      </c>
      <c r="J1970"/>
      <c r="K1970" t="inlineStr">
        <is>
          <t>PPT</t>
        </is>
      </c>
      <c r="L1970"/>
      <c r="M1970" t="inlineStr">
        <is>
          <t>三只喵ppt的店</t>
        </is>
      </c>
      <c r="N1970">
        <v>3500</v>
      </c>
      <c r="O1970">
        <v>4.53</v>
      </c>
      <c r="P1970">
        <v>37000</v>
      </c>
      <c r="Q1970" t="inlineStr">
        <is>
          <t>67e2125948d525000123fc43</t>
        </is>
      </c>
      <c r="R1970" t="inlineStr">
        <is>
          <t>🚫重复</t>
        </is>
      </c>
      <c r="S1970" t="inlineStr">
        <is>
          <t>PPT模板</t>
        </is>
      </c>
      <c r="T1970" t="inlineStr">
        <is>
          <t>0.60</t>
        </is>
      </c>
      <c r="U1970" s="3">
        <v>46112.78107638889</v>
      </c>
      <c r="V1970"/>
      <c r="W1970" s="3">
        <v>46094</v>
      </c>
      <c r="X1970" t="inlineStr">
        <is>
          <t>03</t>
        </is>
      </c>
      <c r="Y1970" t="inlineStr">
        <is>
          <t>2026-Q1</t>
        </is>
      </c>
    </row>
    <row r="1971" ht="38.25" customHeight="1">
      <c r="A1971" t="inlineStr">
        <is>
          <t>新人教版初中数学七八九789年级上下册课件PPT教案资料电子版</t>
        </is>
      </c>
      <c r="B1971" t="inlineStr">
        <is>
          <t>recvdJN6aica8a.jpg</t>
        </is>
      </c>
      <c r="C1971" s="2" t="str">
        <f>=HYPERLINK("https://xhslink.com/m/HLufBfanqS", "https://xhslink.com/m/HLufBfanqS")</f>
        <v>https://xhslink.com/m/HLufBfanqS</v>
      </c>
      <c r="D1971"/>
      <c r="E1971">
        <v>2067</v>
      </c>
      <c r="F1971">
        <v>49.9</v>
      </c>
      <c r="G1971"/>
      <c r="H1971">
        <v>100</v>
      </c>
      <c r="I1971">
        <v>1000</v>
      </c>
      <c r="J1971"/>
      <c r="K1971" t="inlineStr">
        <is>
          <t>PPT</t>
        </is>
      </c>
      <c r="L1971"/>
      <c r="M1971" t="inlineStr">
        <is>
          <t>小章鱼PPT的店</t>
        </is>
      </c>
      <c r="N1971">
        <v>8849</v>
      </c>
      <c r="O1971">
        <v>4.2</v>
      </c>
      <c r="P1971">
        <v>32000</v>
      </c>
      <c r="Q1971" t="inlineStr">
        <is>
          <t>674eab1eeb35d700018edae2</t>
        </is>
      </c>
      <c r="R1971" t="inlineStr">
        <is>
          <t>🚫重复</t>
        </is>
      </c>
      <c r="S1971" t="inlineStr">
        <is>
          <t>中小学教辅/教材</t>
        </is>
      </c>
      <c r="T1971" t="inlineStr">
        <is>
          <t>0.23</t>
        </is>
      </c>
      <c r="U1971" s="3">
        <v>46112.78107638889</v>
      </c>
      <c r="V1971"/>
      <c r="W1971" s="3">
        <v>46094</v>
      </c>
      <c r="X1971" t="inlineStr">
        <is>
          <t>03</t>
        </is>
      </c>
      <c r="Y1971" t="inlineStr">
        <is>
          <t>2026-Q1</t>
        </is>
      </c>
    </row>
    <row r="1972" ht="38.25" customHeight="1">
      <c r="A1972" t="inlineStr">
        <is>
          <t>1000页高端工作汇报总结PPT模板| 逻辑图·数据图表·图文排版</t>
        </is>
      </c>
      <c r="B1972" t="inlineStr">
        <is>
          <t>recvdJN6aiErBS.jpg</t>
        </is>
      </c>
      <c r="C1972" s="2" t="str">
        <f>=HYPERLINK("https://xhslink.com/m/8g2Lvi4lRNH", "https://xhslink.com/m/8g2Lvi4lRNH")</f>
        <v>https://xhslink.com/m/8g2Lvi4lRNH</v>
      </c>
      <c r="D1972"/>
      <c r="E1972">
        <v>1877</v>
      </c>
      <c r="F1972">
        <v>79</v>
      </c>
      <c r="G1972"/>
      <c r="H1972">
        <v>100</v>
      </c>
      <c r="I1972">
        <v>1000</v>
      </c>
      <c r="J1972"/>
      <c r="K1972" t="inlineStr">
        <is>
          <t>PPT</t>
        </is>
      </c>
      <c r="L1972"/>
      <c r="M1972" t="inlineStr">
        <is>
          <t>职场PPT研究室的店</t>
        </is>
      </c>
      <c r="N1972">
        <v>94000</v>
      </c>
      <c r="O1972">
        <v>4.21</v>
      </c>
      <c r="P1972">
        <v>2006</v>
      </c>
      <c r="Q1972" t="inlineStr">
        <is>
          <t>67545bf9dda05800011586cc</t>
        </is>
      </c>
      <c r="R1972"/>
      <c r="S1972" t="inlineStr">
        <is>
          <t>PPT模板</t>
        </is>
      </c>
      <c r="T1972" t="inlineStr">
        <is>
          <t>0.02</t>
        </is>
      </c>
      <c r="U1972" s="3">
        <v>46112.78107638889</v>
      </c>
      <c r="V1972"/>
      <c r="W1972" s="3">
        <v>46094</v>
      </c>
      <c r="X1972" t="inlineStr">
        <is>
          <t>03</t>
        </is>
      </c>
      <c r="Y1972" t="inlineStr">
        <is>
          <t>2026-Q1</t>
        </is>
      </c>
    </row>
    <row r="1973" ht="38.25" customHeight="1">
      <c r="A1973" t="inlineStr">
        <is>
          <t>PPT设计素材库（PPT素材丨字体丨箭头丨标题丨字效）</t>
        </is>
      </c>
      <c r="B1973" t="inlineStr">
        <is>
          <t>recvdJN6aiWPCB.jpg</t>
        </is>
      </c>
      <c r="C1973" s="2" t="str">
        <f>=HYPERLINK("https://xhslink.com/m/3GsV7eyaLC0", "https://xhslink.com/m/3GsV7eyaLC0")</f>
        <v>https://xhslink.com/m/3GsV7eyaLC0</v>
      </c>
      <c r="D1973"/>
      <c r="E1973">
        <v>1532</v>
      </c>
      <c r="F1973">
        <v>69.99</v>
      </c>
      <c r="G1973"/>
      <c r="H1973">
        <v>200</v>
      </c>
      <c r="I1973">
        <v>1000</v>
      </c>
      <c r="J1973"/>
      <c r="K1973" t="inlineStr">
        <is>
          <t>PPT</t>
        </is>
      </c>
      <c r="L1973"/>
      <c r="M1973" t="inlineStr">
        <is>
          <t>毛球PPT模板的店</t>
        </is>
      </c>
      <c r="N1973">
        <v>1015</v>
      </c>
      <c r="O1973">
        <v>4.54</v>
      </c>
      <c r="P1973">
        <v>9973</v>
      </c>
      <c r="Q1973" t="inlineStr">
        <is>
          <t>67a2ec0ce437e40001d3504d</t>
        </is>
      </c>
      <c r="R1973" t="inlineStr">
        <is>
          <t>🚫重复</t>
        </is>
      </c>
      <c r="S1973" t="inlineStr">
        <is>
          <t>PPT模板</t>
        </is>
      </c>
      <c r="T1973" t="inlineStr">
        <is>
          <t>1.51</t>
        </is>
      </c>
      <c r="U1973" s="3">
        <v>46112.78107638889</v>
      </c>
      <c r="V1973"/>
      <c r="W1973" s="3">
        <v>46094</v>
      </c>
      <c r="X1973" t="inlineStr">
        <is>
          <t>03</t>
        </is>
      </c>
      <c r="Y1973" t="inlineStr">
        <is>
          <t>2026-Q1</t>
        </is>
      </c>
    </row>
    <row r="1974" ht="38.25" customHeight="1">
      <c r="A1974" t="inlineStr">
        <is>
          <t>简约 极简 商务PPT模板设计素材(40个模板可供修改选择）</t>
        </is>
      </c>
      <c r="B1974" t="inlineStr">
        <is>
          <t>recvdJN6aidymz.jpg</t>
        </is>
      </c>
      <c r="C1974" s="2" t="str">
        <f>=HYPERLINK("https://xhslink.com/m/4Pw7lAqvnYA", "https://xhslink.com/m/4Pw7lAqvnYA")</f>
        <v>https://xhslink.com/m/4Pw7lAqvnYA</v>
      </c>
      <c r="D1974"/>
      <c r="E1974">
        <v>1479</v>
      </c>
      <c r="F1974">
        <v>3.9</v>
      </c>
      <c r="G1974"/>
      <c r="H1974">
        <v>900</v>
      </c>
      <c r="I1974">
        <v>1000</v>
      </c>
      <c r="J1974"/>
      <c r="K1974" t="inlineStr">
        <is>
          <t>PPT</t>
        </is>
      </c>
      <c r="L1974" t="inlineStr">
        <is>
          <t>🔥低粉爆款</t>
        </is>
      </c>
      <c r="M1974" t="inlineStr">
        <is>
          <t>小吴老师twv的店</t>
        </is>
      </c>
      <c r="N1974">
        <v>107</v>
      </c>
      <c r="O1974">
        <v>4.17</v>
      </c>
      <c r="P1974">
        <v>1542</v>
      </c>
      <c r="Q1974" t="inlineStr">
        <is>
          <t>6940bd614423c3000131807e</t>
        </is>
      </c>
      <c r="R1974"/>
      <c r="S1974" t="inlineStr">
        <is>
          <t>PPT模板</t>
        </is>
      </c>
      <c r="T1974" t="inlineStr">
        <is>
          <t>13.82</t>
        </is>
      </c>
      <c r="U1974" s="3">
        <v>46112.78107638889</v>
      </c>
      <c r="V1974"/>
      <c r="W1974" s="3">
        <v>46094</v>
      </c>
      <c r="X1974" t="inlineStr">
        <is>
          <t>03</t>
        </is>
      </c>
      <c r="Y1974" t="inlineStr">
        <is>
          <t>2026-Q1</t>
        </is>
      </c>
    </row>
    <row r="1975" ht="38.25" customHeight="1">
      <c r="A1975" t="inlineStr">
        <is>
          <t>家长会课件PPT合集（附讲稿）｜持续更新中～</t>
        </is>
      </c>
      <c r="B1975" t="inlineStr">
        <is>
          <t>recvdJN6aicx7p.jpg</t>
        </is>
      </c>
      <c r="C1975" s="2" t="str">
        <f>=HYPERLINK("https://xhslink.com/m/4u9uobyIVTO", "https://xhslink.com/m/4u9uobyIVTO")</f>
        <v>https://xhslink.com/m/4u9uobyIVTO</v>
      </c>
      <c r="D1975"/>
      <c r="E1975">
        <v>1413</v>
      </c>
      <c r="F1975">
        <v>29.99</v>
      </c>
      <c r="G1975"/>
      <c r="H1975">
        <v>1000</v>
      </c>
      <c r="I1975">
        <v>1000</v>
      </c>
      <c r="J1975"/>
      <c r="K1975" t="inlineStr">
        <is>
          <t>PPT</t>
        </is>
      </c>
      <c r="L1975"/>
      <c r="M1975" t="inlineStr">
        <is>
          <t>豹款资料库的店</t>
        </is>
      </c>
      <c r="N1975">
        <v>1284</v>
      </c>
      <c r="O1975">
        <v>4.52</v>
      </c>
      <c r="P1975">
        <v>10000</v>
      </c>
      <c r="Q1975" t="inlineStr">
        <is>
          <t>68f2f90504ab190001502be7</t>
        </is>
      </c>
      <c r="R1975" t="inlineStr">
        <is>
          <t>🚫重复</t>
        </is>
      </c>
      <c r="S1975" t="inlineStr">
        <is>
          <t>老师资料</t>
        </is>
      </c>
      <c r="T1975" t="inlineStr">
        <is>
          <t>1.10</t>
        </is>
      </c>
      <c r="U1975" s="3">
        <v>46112.78107638889</v>
      </c>
      <c r="V1975"/>
      <c r="W1975" s="3">
        <v>46094</v>
      </c>
      <c r="X1975" t="inlineStr">
        <is>
          <t>03</t>
        </is>
      </c>
      <c r="Y1975" t="inlineStr">
        <is>
          <t>2026-Q1</t>
        </is>
      </c>
    </row>
    <row r="1976" ht="38.25" customHeight="1">
      <c r="A1976" t="inlineStr">
        <is>
          <t>课前互动小游戏PPT课件（拍下自动发网盘）</t>
        </is>
      </c>
      <c r="B1976" t="inlineStr">
        <is>
          <t>recvdJN6ainREr.jpg</t>
        </is>
      </c>
      <c r="C1976" s="2" t="str">
        <f>=HYPERLINK("https://xhslink.com/m/6t0pNldOfGZ", "https://xhslink.com/m/6t0pNldOfGZ")</f>
        <v>https://xhslink.com/m/6t0pNldOfGZ</v>
      </c>
      <c r="D1976"/>
      <c r="E1976">
        <v>1051</v>
      </c>
      <c r="F1976">
        <v>49.9</v>
      </c>
      <c r="G1976"/>
      <c r="H1976">
        <v>150</v>
      </c>
      <c r="I1976">
        <v>1000</v>
      </c>
      <c r="J1976"/>
      <c r="K1976" t="inlineStr">
        <is>
          <t>PPT</t>
        </is>
      </c>
      <c r="L1976"/>
      <c r="M1976" t="inlineStr">
        <is>
          <t>学海知识的店</t>
        </is>
      </c>
      <c r="N1976">
        <v>1657</v>
      </c>
      <c r="O1976">
        <v>4.06</v>
      </c>
      <c r="P1976">
        <v>1311</v>
      </c>
      <c r="Q1976" t="inlineStr">
        <is>
          <t>68cbaf726d08080015146e30</t>
        </is>
      </c>
      <c r="R1976"/>
      <c r="S1976" t="inlineStr">
        <is>
          <t>PPT模板</t>
        </is>
      </c>
      <c r="T1976" t="inlineStr">
        <is>
          <t>0.63</t>
        </is>
      </c>
      <c r="U1976" s="3">
        <v>46112.78107638889</v>
      </c>
      <c r="V1976"/>
      <c r="W1976" s="3">
        <v>46094</v>
      </c>
      <c r="X1976" t="inlineStr">
        <is>
          <t>03</t>
        </is>
      </c>
      <c r="Y1976" t="inlineStr">
        <is>
          <t>2026-Q1</t>
        </is>
      </c>
    </row>
    <row r="1977" ht="38.25" customHeight="1">
      <c r="A1977" t="inlineStr">
        <is>
          <t>红色系学生会述职竞选｜PPT成品+汇报稿｜17页｜可自行编辑</t>
        </is>
      </c>
      <c r="B1977" t="inlineStr">
        <is>
          <t>recvdJN6aiJwhf.jpg</t>
        </is>
      </c>
      <c r="C1977" s="2" t="str">
        <f>=HYPERLINK("https://xhslink.com/m/6FifUfssRZ0", "https://xhslink.com/m/6FifUfssRZ0")</f>
        <v>https://xhslink.com/m/6FifUfssRZ0</v>
      </c>
      <c r="D1977"/>
      <c r="E1977">
        <v>1038</v>
      </c>
      <c r="F1977">
        <v>5.7</v>
      </c>
      <c r="G1977"/>
      <c r="H1977">
        <v>100</v>
      </c>
      <c r="I1977">
        <v>1000</v>
      </c>
      <c r="J1977"/>
      <c r="K1977" t="inlineStr">
        <is>
          <t>PPT</t>
        </is>
      </c>
      <c r="L1977"/>
      <c r="M1977" t="inlineStr">
        <is>
          <t>英语小园丁🍅 ( ppt版的店</t>
        </is>
      </c>
      <c r="N1977">
        <v>1236</v>
      </c>
      <c r="O1977">
        <v>4.2</v>
      </c>
      <c r="P1977">
        <v>4661</v>
      </c>
      <c r="Q1977" t="inlineStr">
        <is>
          <t>684eae0a0da50d0001eb9d4c</t>
        </is>
      </c>
      <c r="R1977"/>
      <c r="S1977" t="inlineStr">
        <is>
          <t>PPT模板</t>
        </is>
      </c>
      <c r="T1977" t="inlineStr">
        <is>
          <t>0.84</t>
        </is>
      </c>
      <c r="U1977" s="3">
        <v>46112.78107638889</v>
      </c>
      <c r="V1977"/>
      <c r="W1977" s="3">
        <v>46094</v>
      </c>
      <c r="X1977" t="inlineStr">
        <is>
          <t>03</t>
        </is>
      </c>
      <c r="Y1977" t="inlineStr">
        <is>
          <t>2026-Q1</t>
        </is>
      </c>
    </row>
    <row r="1978" ht="38.25" customHeight="1">
      <c r="A1978" t="inlineStr">
        <is>
          <t>2026幼儿园上下学期大班中班小班家长会ppt课件+发言稿</t>
        </is>
      </c>
      <c r="B1978" t="inlineStr">
        <is>
          <t>recvdJN6ai0R5S.jpg</t>
        </is>
      </c>
      <c r="C1978" s="2" t="str">
        <f>=HYPERLINK("https://xhslink.com/m/38xucyc8RHk", "https://xhslink.com/m/38xucyc8RHk")</f>
        <v>https://xhslink.com/m/38xucyc8RHk</v>
      </c>
      <c r="D1978"/>
      <c r="E1978">
        <v>1102</v>
      </c>
      <c r="F1978">
        <v>39.9</v>
      </c>
      <c r="G1978"/>
      <c r="H1978">
        <v>400</v>
      </c>
      <c r="I1978">
        <v>1000</v>
      </c>
      <c r="J1978"/>
      <c r="K1978" t="inlineStr">
        <is>
          <t>PPT</t>
        </is>
      </c>
      <c r="L1978"/>
      <c r="M1978" t="inlineStr">
        <is>
          <t>A西米露教育咨询的店</t>
        </is>
      </c>
      <c r="N1978">
        <v>2417</v>
      </c>
      <c r="O1978">
        <v>4.11</v>
      </c>
      <c r="P1978">
        <v>15000</v>
      </c>
      <c r="Q1978" t="inlineStr">
        <is>
          <t>6832e497d5fe8c000138df3e</t>
        </is>
      </c>
      <c r="R1978"/>
      <c r="S1978" t="inlineStr">
        <is>
          <t>老师资料</t>
        </is>
      </c>
      <c r="T1978" t="inlineStr">
        <is>
          <t>0.46</t>
        </is>
      </c>
      <c r="U1978" s="3">
        <v>46112.78107638889</v>
      </c>
      <c r="V1978"/>
      <c r="W1978" s="3">
        <v>46094</v>
      </c>
      <c r="X1978" t="inlineStr">
        <is>
          <t>03</t>
        </is>
      </c>
      <c r="Y1978" t="inlineStr">
        <is>
          <t>2026-Q1</t>
        </is>
      </c>
    </row>
    <row r="1979" ht="38.25" customHeight="1">
      <c r="A1979" t="inlineStr">
        <is>
          <t>G1 | 27页AI+PPT 格式 | 原创设计师年终汇报工作总结模板源文件</t>
        </is>
      </c>
      <c r="B1979" t="inlineStr">
        <is>
          <t>recvdJN6aiopVZ.jpg</t>
        </is>
      </c>
      <c r="C1979" s="2" t="str">
        <f>=HYPERLINK("https://xhslink.com/m/9Sx6l5mMxCT", "https://xhslink.com/m/9Sx6l5mMxCT")</f>
        <v>https://xhslink.com/m/9Sx6l5mMxCT</v>
      </c>
      <c r="D1979"/>
      <c r="E1979">
        <v>941</v>
      </c>
      <c r="F1979">
        <v>6.6</v>
      </c>
      <c r="G1979"/>
      <c r="H1979">
        <v>700</v>
      </c>
      <c r="I1979"/>
      <c r="J1979"/>
      <c r="K1979" t="inlineStr">
        <is>
          <t>PPT</t>
        </is>
      </c>
      <c r="L1979"/>
      <c r="M1979" t="inlineStr">
        <is>
          <t>D-Art的店</t>
        </is>
      </c>
      <c r="N1979">
        <v>4961</v>
      </c>
      <c r="O1979">
        <v>4.63</v>
      </c>
      <c r="P1979">
        <v>14000</v>
      </c>
      <c r="Q1979" t="inlineStr">
        <is>
          <t>696640b39c8a6a00015bfe2f</t>
        </is>
      </c>
      <c r="R1979" t="inlineStr">
        <is>
          <t>🚫重复</t>
        </is>
      </c>
      <c r="S1979" t="inlineStr">
        <is>
          <t>PPT模板</t>
        </is>
      </c>
      <c r="T1979" t="inlineStr">
        <is>
          <t>0.19</t>
        </is>
      </c>
      <c r="U1979" s="3">
        <v>46112.78107638889</v>
      </c>
      <c r="V1979"/>
      <c r="W1979" s="3">
        <v>46094</v>
      </c>
      <c r="X1979" t="inlineStr">
        <is>
          <t>03</t>
        </is>
      </c>
      <c r="Y1979" t="inlineStr">
        <is>
          <t>2026-Q1</t>
        </is>
      </c>
    </row>
    <row r="1980" ht="38.25" customHeight="1">
      <c r="A1980" t="inlineStr">
        <is>
          <t>PPT模板 商务逻辑思维战略分析营销模型 210页支持Win/Mac 无水印</t>
        </is>
      </c>
      <c r="B1980" t="inlineStr">
        <is>
          <t>recvdJN6ai9kT6.jpg</t>
        </is>
      </c>
      <c r="C1980" s="2" t="str">
        <f>=HYPERLINK("https://xhslink.com/m/3ZtmrNkHGW7", "https://xhslink.com/m/3ZtmrNkHGW7")</f>
        <v>https://xhslink.com/m/3ZtmrNkHGW7</v>
      </c>
      <c r="D1980"/>
      <c r="E1980">
        <v>894</v>
      </c>
      <c r="F1980">
        <v>39.99</v>
      </c>
      <c r="G1980"/>
      <c r="H1980">
        <v>100</v>
      </c>
      <c r="I1980"/>
      <c r="J1980"/>
      <c r="K1980" t="inlineStr">
        <is>
          <t>PPT</t>
        </is>
      </c>
      <c r="L1980"/>
      <c r="M1980" t="inlineStr">
        <is>
          <t>1248演示设计的店</t>
        </is>
      </c>
      <c r="N1980">
        <v>4462</v>
      </c>
      <c r="O1980">
        <v>4.61</v>
      </c>
      <c r="P1980">
        <v>13000</v>
      </c>
      <c r="Q1980" t="inlineStr">
        <is>
          <t>6716310e33b2f1000151ae65</t>
        </is>
      </c>
      <c r="R1980" t="inlineStr">
        <is>
          <t>🚫重复</t>
        </is>
      </c>
      <c r="S1980" t="inlineStr">
        <is>
          <t>PPT模板</t>
        </is>
      </c>
      <c r="T1980" t="inlineStr">
        <is>
          <t>0.20</t>
        </is>
      </c>
      <c r="U1980" s="3">
        <v>46112.78107638889</v>
      </c>
      <c r="V1980"/>
      <c r="W1980" s="3">
        <v>46094</v>
      </c>
      <c r="X1980" t="inlineStr">
        <is>
          <t>03</t>
        </is>
      </c>
      <c r="Y1980" t="inlineStr">
        <is>
          <t>2026-Q1</t>
        </is>
      </c>
    </row>
    <row r="1981" ht="38.25" customHeight="1">
      <c r="A1981" t="inlineStr">
        <is>
          <t>PPT模板 商务风立体逻辑图 220页支持Win/Mac 无水印 永久可用</t>
        </is>
      </c>
      <c r="B1981" t="inlineStr">
        <is>
          <t>recvdJN6aix64E.jpg</t>
        </is>
      </c>
      <c r="C1981" s="2" t="str">
        <f>=HYPERLINK("https://xhslink.com/m/9vL71PCtthX", "https://xhslink.com/m/9vL71PCtthX")</f>
        <v>https://xhslink.com/m/9vL71PCtthX</v>
      </c>
      <c r="D1981"/>
      <c r="E1981">
        <v>861</v>
      </c>
      <c r="F1981">
        <v>39.99</v>
      </c>
      <c r="G1981"/>
      <c r="H1981">
        <v>150</v>
      </c>
      <c r="I1981"/>
      <c r="J1981"/>
      <c r="K1981" t="inlineStr">
        <is>
          <t>PPT</t>
        </is>
      </c>
      <c r="L1981"/>
      <c r="M1981" t="inlineStr">
        <is>
          <t>毛球PPT模板的店</t>
        </is>
      </c>
      <c r="N1981">
        <v>1015</v>
      </c>
      <c r="O1981">
        <v>4.54</v>
      </c>
      <c r="P1981">
        <v>9973</v>
      </c>
      <c r="Q1981" t="inlineStr">
        <is>
          <t>6788a2c5658c1600010a246f</t>
        </is>
      </c>
      <c r="R1981" t="inlineStr">
        <is>
          <t>🚫重复</t>
        </is>
      </c>
      <c r="S1981" t="inlineStr">
        <is>
          <t>PPT模板</t>
        </is>
      </c>
      <c r="T1981" t="inlineStr">
        <is>
          <t>0.85</t>
        </is>
      </c>
      <c r="U1981" s="3">
        <v>46112.78107638889</v>
      </c>
      <c r="V1981"/>
      <c r="W1981" s="3">
        <v>46094</v>
      </c>
      <c r="X1981" t="inlineStr">
        <is>
          <t>03</t>
        </is>
      </c>
      <c r="Y1981" t="inlineStr">
        <is>
          <t>2026-Q1</t>
        </is>
      </c>
    </row>
    <row r="1982" ht="38.25" customHeight="1">
      <c r="A1982" t="inlineStr">
        <is>
          <t>2026中考数学一轮复习讲义 与PPT</t>
        </is>
      </c>
      <c r="B1982" t="inlineStr">
        <is>
          <t>recvdJN6aiaYpG.jpg</t>
        </is>
      </c>
      <c r="C1982" s="2" t="str">
        <f>=HYPERLINK("https://xhslink.com/m/34Qh31YA0kK", "https://xhslink.com/m/34Qh31YA0kK")</f>
        <v>https://xhslink.com/m/34Qh31YA0kK</v>
      </c>
      <c r="D1982"/>
      <c r="E1982">
        <v>826</v>
      </c>
      <c r="F1982">
        <v>39.9</v>
      </c>
      <c r="G1982"/>
      <c r="H1982">
        <v>300</v>
      </c>
      <c r="I1982"/>
      <c r="J1982"/>
      <c r="K1982" t="inlineStr">
        <is>
          <t>PPT</t>
        </is>
      </c>
      <c r="L1982"/>
      <c r="M1982" t="inlineStr">
        <is>
          <t>冬的数叶的店</t>
        </is>
      </c>
      <c r="N1982">
        <v>5202</v>
      </c>
      <c r="O1982">
        <v>4.43</v>
      </c>
      <c r="P1982">
        <v>13000</v>
      </c>
      <c r="Q1982" t="inlineStr">
        <is>
          <t>6974e1f0a1496d0001713034</t>
        </is>
      </c>
      <c r="R1982" t="inlineStr">
        <is>
          <t>🚫重复</t>
        </is>
      </c>
      <c r="S1982" t="inlineStr">
        <is>
          <t>中小学教辅/教材</t>
        </is>
      </c>
      <c r="T1982" t="inlineStr">
        <is>
          <t>0.16</t>
        </is>
      </c>
      <c r="U1982" s="3">
        <v>46112.78107638889</v>
      </c>
      <c r="V1982"/>
      <c r="W1982" s="3">
        <v>46094</v>
      </c>
      <c r="X1982" t="inlineStr">
        <is>
          <t>03</t>
        </is>
      </c>
      <c r="Y1982" t="inlineStr">
        <is>
          <t>2026-Q1</t>
        </is>
      </c>
    </row>
    <row r="1983" ht="38.25" customHeight="1">
      <c r="A1983" t="inlineStr">
        <is>
          <t>【332】红色工作汇报通用PPT模板</t>
        </is>
      </c>
      <c r="B1983" t="inlineStr">
        <is>
          <t>recvdJN6aiBxmm.jpg</t>
        </is>
      </c>
      <c r="C1983" s="2" t="str">
        <f>=HYPERLINK("https://xhslink.com/m/618GVo7hfyo", "https://xhslink.com/m/618GVo7hfyo")</f>
        <v>https://xhslink.com/m/618GVo7hfyo</v>
      </c>
      <c r="D1983"/>
      <c r="E1983">
        <v>820</v>
      </c>
      <c r="F1983">
        <v>3.9</v>
      </c>
      <c r="G1983"/>
      <c r="H1983">
        <v>100</v>
      </c>
      <c r="I1983"/>
      <c r="J1983"/>
      <c r="K1983" t="inlineStr">
        <is>
          <t>PPT</t>
        </is>
      </c>
      <c r="L1983"/>
      <c r="M1983" t="inlineStr">
        <is>
          <t>小渔Eudora的店</t>
        </is>
      </c>
      <c r="N1983">
        <v>23000</v>
      </c>
      <c r="O1983">
        <v>4.22</v>
      </c>
      <c r="P1983">
        <v>42000</v>
      </c>
      <c r="Q1983" t="inlineStr">
        <is>
          <t>6811d57e46684b000177a807</t>
        </is>
      </c>
      <c r="R1983" t="inlineStr">
        <is>
          <t>🚫重复</t>
        </is>
      </c>
      <c r="S1983" t="inlineStr">
        <is>
          <t>PPT模板</t>
        </is>
      </c>
      <c r="T1983" t="inlineStr">
        <is>
          <t>0.04</t>
        </is>
      </c>
      <c r="U1983" s="3">
        <v>46112.78107638889</v>
      </c>
      <c r="V1983"/>
      <c r="W1983" s="3">
        <v>46094</v>
      </c>
      <c r="X1983" t="inlineStr">
        <is>
          <t>03</t>
        </is>
      </c>
      <c r="Y1983" t="inlineStr">
        <is>
          <t>2026-Q1</t>
        </is>
      </c>
    </row>
    <row r="1984" ht="38.25" customHeight="1">
      <c r="A1984" t="inlineStr">
        <is>
          <t>牛津自然拼读PPT精品课</t>
        </is>
      </c>
      <c r="B1984" t="inlineStr">
        <is>
          <t>recvdJN6aiwoiy.jpg</t>
        </is>
      </c>
      <c r="C1984" s="2" t="str">
        <f>=HYPERLINK("https://xhslink.com/m/4yhgKu4bTOZ", "https://xhslink.com/m/4yhgKu4bTOZ")</f>
        <v>https://xhslink.com/m/4yhgKu4bTOZ</v>
      </c>
      <c r="D1984"/>
      <c r="E1984">
        <v>798</v>
      </c>
      <c r="F1984">
        <v>38.9</v>
      </c>
      <c r="G1984"/>
      <c r="H1984">
        <v>100</v>
      </c>
      <c r="I1984"/>
      <c r="J1984"/>
      <c r="K1984" t="inlineStr">
        <is>
          <t>PPT</t>
        </is>
      </c>
      <c r="L1984"/>
      <c r="M1984" t="inlineStr">
        <is>
          <t>英语资料ABC的店</t>
        </is>
      </c>
      <c r="N1984">
        <v>4321</v>
      </c>
      <c r="O1984">
        <v>4.52</v>
      </c>
      <c r="P1984">
        <v>17000</v>
      </c>
      <c r="Q1984" t="inlineStr">
        <is>
          <t>68af14b282bd710001286f5e</t>
        </is>
      </c>
      <c r="R1984"/>
      <c r="S1984" t="inlineStr">
        <is>
          <t>PPT模板</t>
        </is>
      </c>
      <c r="T1984" t="inlineStr">
        <is>
          <t>0.18</t>
        </is>
      </c>
      <c r="U1984" s="3">
        <v>46112.78107638889</v>
      </c>
      <c r="V1984"/>
      <c r="W1984" s="3">
        <v>46094</v>
      </c>
      <c r="X1984" t="inlineStr">
        <is>
          <t>03</t>
        </is>
      </c>
      <c r="Y1984" t="inlineStr">
        <is>
          <t>2026-Q1</t>
        </is>
      </c>
    </row>
    <row r="1985" ht="38.25" customHeight="1">
      <c r="A1985" t="inlineStr">
        <is>
          <t>24页个人职场工作项目述职报告PPT/KEYNOTE简约创意大气模板</t>
        </is>
      </c>
      <c r="B1985" t="inlineStr">
        <is>
          <t>recvdJN6aiQUrh.jpg</t>
        </is>
      </c>
      <c r="C1985" s="2" t="str">
        <f>=HYPERLINK("https://xhslink.com/m/7gmDAX0qHVK", "https://xhslink.com/m/7gmDAX0qHVK")</f>
        <v>https://xhslink.com/m/7gmDAX0qHVK</v>
      </c>
      <c r="D1985"/>
      <c r="E1985">
        <v>787</v>
      </c>
      <c r="F1985">
        <v>5.9</v>
      </c>
      <c r="G1985"/>
      <c r="H1985">
        <v>100</v>
      </c>
      <c r="I1985"/>
      <c r="J1985"/>
      <c r="K1985" t="inlineStr">
        <is>
          <t>PPT</t>
        </is>
      </c>
      <c r="L1985"/>
      <c r="M1985" t="inlineStr">
        <is>
          <t>Goodmore古德猫的店</t>
        </is>
      </c>
      <c r="N1985">
        <v>1116</v>
      </c>
      <c r="O1985">
        <v>4.18</v>
      </c>
      <c r="P1985">
        <v>4252</v>
      </c>
      <c r="Q1985" t="inlineStr">
        <is>
          <t>6809167d6768bb00012449d0</t>
        </is>
      </c>
      <c r="R1985"/>
      <c r="S1985" t="inlineStr">
        <is>
          <t>PPT模板</t>
        </is>
      </c>
      <c r="T1985" t="inlineStr">
        <is>
          <t>0.71</t>
        </is>
      </c>
      <c r="U1985" s="3">
        <v>46112.78107638889</v>
      </c>
      <c r="V1985"/>
      <c r="W1985" s="3">
        <v>46094</v>
      </c>
      <c r="X1985" t="inlineStr">
        <is>
          <t>03</t>
        </is>
      </c>
      <c r="Y1985" t="inlineStr">
        <is>
          <t>2026-Q1</t>
        </is>
      </c>
    </row>
    <row r="1986" ht="38.25" customHeight="1">
      <c r="A1986" t="inlineStr">
        <is>
          <t>创赛PPT高级字体＋各类高级背景（163张）</t>
        </is>
      </c>
      <c r="B1986" t="inlineStr">
        <is>
          <t>recvdJN6aiB5L0.jpg</t>
        </is>
      </c>
      <c r="C1986" s="2" t="str">
        <f>=HYPERLINK("https://xhslink.com/m/6duA3WcP229", "https://xhslink.com/m/6duA3WcP229")</f>
        <v>https://xhslink.com/m/6duA3WcP229</v>
      </c>
      <c r="D1986"/>
      <c r="E1986">
        <v>684</v>
      </c>
      <c r="F1986">
        <v>2.99</v>
      </c>
      <c r="G1986"/>
      <c r="H1986">
        <v>150</v>
      </c>
      <c r="I1986"/>
      <c r="J1986"/>
      <c r="K1986" t="inlineStr">
        <is>
          <t>PPT</t>
        </is>
      </c>
      <c r="L1986"/>
      <c r="M1986" t="inlineStr">
        <is>
          <t>柒个PPT的店</t>
        </is>
      </c>
      <c r="N1986">
        <v>412</v>
      </c>
      <c r="O1986">
        <v>4.09</v>
      </c>
      <c r="P1986">
        <v>1146</v>
      </c>
      <c r="Q1986" t="inlineStr">
        <is>
          <t>6912199b571d6600015a3252</t>
        </is>
      </c>
      <c r="R1986"/>
      <c r="S1986" t="inlineStr">
        <is>
          <t>PPT模板</t>
        </is>
      </c>
      <c r="T1986" t="inlineStr">
        <is>
          <t>1.66</t>
        </is>
      </c>
      <c r="U1986" s="3">
        <v>46112.78107638889</v>
      </c>
      <c r="V1986"/>
      <c r="W1986" s="3">
        <v>46094</v>
      </c>
      <c r="X1986" t="inlineStr">
        <is>
          <t>03</t>
        </is>
      </c>
      <c r="Y1986" t="inlineStr">
        <is>
          <t>2026-Q1</t>
        </is>
      </c>
    </row>
    <row r="1987" ht="38.25" customHeight="1">
      <c r="A1987" t="inlineStr">
        <is>
          <t>854号工作总结ppt模板一套，拍下秒发</t>
        </is>
      </c>
      <c r="B1987" t="inlineStr">
        <is>
          <t>recvdJN6aicCg7.jpg</t>
        </is>
      </c>
      <c r="C1987" s="2" t="str">
        <f>=HYPERLINK("https://xhslink.com/m/7VTTHn9v9KX", "https://xhslink.com/m/7VTTHn9v9KX")</f>
        <v>https://xhslink.com/m/7VTTHn9v9KX</v>
      </c>
      <c r="D1987"/>
      <c r="E1987">
        <v>662</v>
      </c>
      <c r="F1987">
        <v>49.9</v>
      </c>
      <c r="G1987"/>
      <c r="H1987">
        <v>150</v>
      </c>
      <c r="I1987"/>
      <c r="J1987"/>
      <c r="K1987" t="inlineStr">
        <is>
          <t>PPT</t>
        </is>
      </c>
      <c r="L1987"/>
      <c r="M1987" t="inlineStr">
        <is>
          <t>辉月PPT的店</t>
        </is>
      </c>
      <c r="N1987">
        <v>3632</v>
      </c>
      <c r="O1987">
        <v>4.09</v>
      </c>
      <c r="P1987">
        <v>10000</v>
      </c>
      <c r="Q1987" t="inlineStr">
        <is>
          <t>6758224deb35d70001dfae19</t>
        </is>
      </c>
      <c r="R1987" t="inlineStr">
        <is>
          <t>🚫重复</t>
        </is>
      </c>
      <c r="S1987" t="inlineStr">
        <is>
          <t>PPT模板</t>
        </is>
      </c>
      <c r="T1987" t="inlineStr">
        <is>
          <t>0.18</t>
        </is>
      </c>
      <c r="U1987" s="3">
        <v>46112.78107638889</v>
      </c>
      <c r="V1987"/>
      <c r="W1987" s="3">
        <v>46094</v>
      </c>
      <c r="X1987" t="inlineStr">
        <is>
          <t>03</t>
        </is>
      </c>
      <c r="Y1987" t="inlineStr">
        <is>
          <t>2026-Q1</t>
        </is>
      </c>
    </row>
    <row r="1988" ht="38.25" customHeight="1">
      <c r="A1988" t="inlineStr">
        <is>
          <t>辅导员年度总结述职报告蓝色PPT模板</t>
        </is>
      </c>
      <c r="B1988" t="inlineStr">
        <is>
          <t>recvdJN6aiO3TS.jpg</t>
        </is>
      </c>
      <c r="C1988" s="2" t="str">
        <f>=HYPERLINK("https://xhslink.com/m/SgmkBDqZO7", "https://xhslink.com/m/SgmkBDqZO7")</f>
        <v>https://xhslink.com/m/SgmkBDqZO7</v>
      </c>
      <c r="D1988"/>
      <c r="E1988">
        <v>628</v>
      </c>
      <c r="F1988">
        <v>0.99</v>
      </c>
      <c r="G1988"/>
      <c r="H1988">
        <v>300</v>
      </c>
      <c r="I1988"/>
      <c r="J1988"/>
      <c r="K1988" t="inlineStr">
        <is>
          <t>PPT</t>
        </is>
      </c>
      <c r="L1988" t="inlineStr">
        <is>
          <t>🔥低粉爆款</t>
        </is>
      </c>
      <c r="M1988" t="inlineStr">
        <is>
          <t>赛先升ppt的店</t>
        </is>
      </c>
      <c r="N1988">
        <v>174</v>
      </c>
      <c r="O1988">
        <v>4.56</v>
      </c>
      <c r="P1988">
        <v>2058</v>
      </c>
      <c r="Q1988" t="inlineStr">
        <is>
          <t>694264ecab7cc40001e4cddf</t>
        </is>
      </c>
      <c r="R1988" t="inlineStr">
        <is>
          <t>🚫重复</t>
        </is>
      </c>
      <c r="S1988" t="inlineStr">
        <is>
          <t>PPT模板</t>
        </is>
      </c>
      <c r="T1988" t="inlineStr">
        <is>
          <t>3.61</t>
        </is>
      </c>
      <c r="U1988" s="3">
        <v>46112.78107638889</v>
      </c>
      <c r="V1988"/>
      <c r="W1988" s="3">
        <v>46094</v>
      </c>
      <c r="X1988" t="inlineStr">
        <is>
          <t>03</t>
        </is>
      </c>
      <c r="Y1988" t="inlineStr">
        <is>
          <t>2026-Q1</t>
        </is>
      </c>
    </row>
    <row r="1989" ht="38.25" customHeight="1">
      <c r="A1989" t="inlineStr">
        <is>
          <t>猫meme小猫整活搞笑ppt</t>
        </is>
      </c>
      <c r="B1989" t="inlineStr">
        <is>
          <t>recvdJN6aiZ2oN.jpg</t>
        </is>
      </c>
      <c r="C1989" s="2" t="str">
        <f>=HYPERLINK("https://xhslink.com/m/4pRS4T8Wdpa", "https://xhslink.com/m/4pRS4T8Wdpa")</f>
        <v>https://xhslink.com/m/4pRS4T8Wdpa</v>
      </c>
      <c r="D1989"/>
      <c r="E1989">
        <v>626</v>
      </c>
      <c r="F1989">
        <v>2.9</v>
      </c>
      <c r="G1989"/>
      <c r="H1989">
        <v>100</v>
      </c>
      <c r="I1989"/>
      <c r="J1989"/>
      <c r="K1989" t="inlineStr">
        <is>
          <t>PPT</t>
        </is>
      </c>
      <c r="L1989" t="inlineStr">
        <is>
          <t>🔥低粉爆款</t>
        </is>
      </c>
      <c r="M1989" t="inlineStr">
        <is>
          <t>小野的PPT&amp;笔记工坊的店</t>
        </is>
      </c>
      <c r="N1989">
        <v>183</v>
      </c>
      <c r="O1989">
        <v>4.13</v>
      </c>
      <c r="P1989">
        <v>858</v>
      </c>
      <c r="Q1989" t="inlineStr">
        <is>
          <t>68fba4fdc4f8910001cafd9f</t>
        </is>
      </c>
      <c r="R1989"/>
      <c r="S1989" t="inlineStr">
        <is>
          <t>PPT模板</t>
        </is>
      </c>
      <c r="T1989" t="inlineStr">
        <is>
          <t>3.42</t>
        </is>
      </c>
      <c r="U1989" s="3">
        <v>46112.78107638889</v>
      </c>
      <c r="V1989"/>
      <c r="W1989" s="3">
        <v>46094</v>
      </c>
      <c r="X1989" t="inlineStr">
        <is>
          <t>03</t>
        </is>
      </c>
      <c r="Y1989" t="inlineStr">
        <is>
          <t>2026-Q1</t>
        </is>
      </c>
    </row>
    <row r="1990" ht="38.25" customHeight="1">
      <c r="A1990" t="inlineStr">
        <is>
          <t>PPT模板 商务逻辑思维战略分析营销模型 210页支持Win/Mac 无水印</t>
        </is>
      </c>
      <c r="B1990" t="inlineStr">
        <is>
          <t>recvdJN6aieZcc.jpg</t>
        </is>
      </c>
      <c r="C1990" s="2" t="str">
        <f>=HYPERLINK("https://xhslink.com/m/7YJctxTDqHO", "https://xhslink.com/m/7YJctxTDqHO")</f>
        <v>https://xhslink.com/m/7YJctxTDqHO</v>
      </c>
      <c r="D1990"/>
      <c r="E1990">
        <v>600</v>
      </c>
      <c r="F1990">
        <v>39.99</v>
      </c>
      <c r="G1990"/>
      <c r="H1990">
        <v>100</v>
      </c>
      <c r="I1990"/>
      <c r="J1990"/>
      <c r="K1990" t="inlineStr">
        <is>
          <t>PPT</t>
        </is>
      </c>
      <c r="L1990"/>
      <c r="M1990" t="inlineStr">
        <is>
          <t>毛球PPT模板的店</t>
        </is>
      </c>
      <c r="N1990">
        <v>1015</v>
      </c>
      <c r="O1990">
        <v>4.54</v>
      </c>
      <c r="P1990">
        <v>9973</v>
      </c>
      <c r="Q1990" t="inlineStr">
        <is>
          <t>67860d9603b5e400014f8f1c</t>
        </is>
      </c>
      <c r="R1990" t="inlineStr">
        <is>
          <t>🚫重复</t>
        </is>
      </c>
      <c r="S1990" t="inlineStr">
        <is>
          <t>PPT模板</t>
        </is>
      </c>
      <c r="T1990" t="inlineStr">
        <is>
          <t>0.59</t>
        </is>
      </c>
      <c r="U1990" s="3">
        <v>46112.78107638889</v>
      </c>
      <c r="V1990"/>
      <c r="W1990" s="3">
        <v>46094</v>
      </c>
      <c r="X1990" t="inlineStr">
        <is>
          <t>03</t>
        </is>
      </c>
      <c r="Y1990" t="inlineStr">
        <is>
          <t>2026-Q1</t>
        </is>
      </c>
    </row>
    <row r="1991" ht="38.25" customHeight="1">
      <c r="A1991" t="inlineStr">
        <is>
          <t>PPT多图片排版模板（全套包含本链接里的所有规格）</t>
        </is>
      </c>
      <c r="B1991" t="inlineStr">
        <is>
          <t>recvdJN6aiz6Bt.jpg</t>
        </is>
      </c>
      <c r="C1991" s="2" t="str">
        <f>=HYPERLINK("https://xhslink.com/m/4iWnw7kTPFH", "https://xhslink.com/m/4iWnw7kTPFH")</f>
        <v>https://xhslink.com/m/4iWnw7kTPFH</v>
      </c>
      <c r="D1991"/>
      <c r="E1991">
        <v>600</v>
      </c>
      <c r="F1991">
        <v>3.9</v>
      </c>
      <c r="G1991"/>
      <c r="H1991">
        <v>100</v>
      </c>
      <c r="I1991"/>
      <c r="J1991"/>
      <c r="K1991" t="inlineStr">
        <is>
          <t>PPT</t>
        </is>
      </c>
      <c r="L1991"/>
      <c r="M1991" t="inlineStr">
        <is>
          <t>孜孜办公技巧的店</t>
        </is>
      </c>
      <c r="N1991">
        <v>5359</v>
      </c>
      <c r="O1991">
        <v>4.59</v>
      </c>
      <c r="P1991">
        <v>1524</v>
      </c>
      <c r="Q1991" t="inlineStr">
        <is>
          <t>68d28d5c002e7e0001e914ea</t>
        </is>
      </c>
      <c r="R1991"/>
      <c r="S1991" t="inlineStr">
        <is>
          <t>PPT模板</t>
        </is>
      </c>
      <c r="T1991" t="inlineStr">
        <is>
          <t>0.11</t>
        </is>
      </c>
      <c r="U1991" s="3">
        <v>46112.78107638889</v>
      </c>
      <c r="V1991"/>
      <c r="W1991" s="3">
        <v>46094</v>
      </c>
      <c r="X1991" t="inlineStr">
        <is>
          <t>03</t>
        </is>
      </c>
      <c r="Y1991" t="inlineStr">
        <is>
          <t>2026-Q1</t>
        </is>
      </c>
    </row>
    <row r="1992" ht="38.25" customHeight="1">
      <c r="A1992" t="inlineStr">
        <is>
          <t>多图轮播效果PPT（3张、5张、7张、9张、11张、13张不退不换）</t>
        </is>
      </c>
      <c r="B1992" t="inlineStr">
        <is>
          <t>recvdJN6aiGhsk.jpg</t>
        </is>
      </c>
      <c r="C1992" s="2" t="str">
        <f>=HYPERLINK("https://xhslink.com/m/3lWKok7hH98", "https://xhslink.com/m/3lWKok7hH98")</f>
        <v>https://xhslink.com/m/3lWKok7hH98</v>
      </c>
      <c r="D1992"/>
      <c r="E1992">
        <v>580</v>
      </c>
      <c r="F1992">
        <v>3.99</v>
      </c>
      <c r="G1992"/>
      <c r="H1992">
        <v>200</v>
      </c>
      <c r="I1992"/>
      <c r="J1992"/>
      <c r="K1992" t="inlineStr">
        <is>
          <t>PPT</t>
        </is>
      </c>
      <c r="L1992"/>
      <c r="M1992" t="inlineStr">
        <is>
          <t>一心molly的店</t>
        </is>
      </c>
      <c r="N1992">
        <v>206</v>
      </c>
      <c r="O1992">
        <v>4.21</v>
      </c>
      <c r="P1992">
        <v>1140</v>
      </c>
      <c r="Q1992" t="inlineStr">
        <is>
          <t>6867d7aec27dbc00018ddd60</t>
        </is>
      </c>
      <c r="R1992"/>
      <c r="S1992" t="inlineStr">
        <is>
          <t>PPT模板</t>
        </is>
      </c>
      <c r="T1992" t="inlineStr">
        <is>
          <t>2.82</t>
        </is>
      </c>
      <c r="U1992" s="3">
        <v>46112.78107638889</v>
      </c>
      <c r="V1992"/>
      <c r="W1992" s="3">
        <v>46094</v>
      </c>
      <c r="X1992" t="inlineStr">
        <is>
          <t>03</t>
        </is>
      </c>
      <c r="Y1992" t="inlineStr">
        <is>
          <t>2026-Q1</t>
        </is>
      </c>
    </row>
    <row r="1993" ht="38.25" customHeight="1">
      <c r="A1993" t="inlineStr">
        <is>
          <t>j人必备的北京旅游攻略（5.6万字 126页ppt）</t>
        </is>
      </c>
      <c r="B1993" t="inlineStr">
        <is>
          <t>recvdJN6ai17xC.jpg</t>
        </is>
      </c>
      <c r="C1993" s="2" t="str">
        <f>=HYPERLINK("https://xhslink.com/m/2V4WIIZNDrm", "https://xhslink.com/m/2V4WIIZNDrm")</f>
        <v>https://xhslink.com/m/2V4WIIZNDrm</v>
      </c>
      <c r="D1993"/>
      <c r="E1993">
        <v>514</v>
      </c>
      <c r="F1993">
        <v>29.9</v>
      </c>
      <c r="G1993"/>
      <c r="H1993">
        <v>200</v>
      </c>
      <c r="I1993"/>
      <c r="J1993"/>
      <c r="K1993" t="inlineStr">
        <is>
          <t>PPT</t>
        </is>
      </c>
      <c r="L1993" t="inlineStr">
        <is>
          <t>🔥低粉爆款</t>
        </is>
      </c>
      <c r="M1993" t="inlineStr">
        <is>
          <t>🐸旅行小青蛙🐸的店</t>
        </is>
      </c>
      <c r="N1993">
        <v>158</v>
      </c>
      <c r="O1993">
        <v>4.19</v>
      </c>
      <c r="P1993">
        <v>524</v>
      </c>
      <c r="Q1993" t="inlineStr">
        <is>
          <t>690a17a87071920001b6e0e6</t>
        </is>
      </c>
      <c r="R1993"/>
      <c r="S1993" t="inlineStr">
        <is>
          <t>PPT模板</t>
        </is>
      </c>
      <c r="T1993" t="inlineStr">
        <is>
          <t>3.25</t>
        </is>
      </c>
      <c r="U1993" s="3">
        <v>46112.78107638889</v>
      </c>
      <c r="V1993"/>
      <c r="W1993" s="3">
        <v>46094</v>
      </c>
      <c r="X1993" t="inlineStr">
        <is>
          <t>03</t>
        </is>
      </c>
      <c r="Y1993" t="inlineStr">
        <is>
          <t>2026-Q1</t>
        </is>
      </c>
    </row>
    <row r="1994" ht="38.25" customHeight="1">
      <c r="A1994" t="inlineStr">
        <is>
          <t>【限时8.8】中小学 教师培训经验分享PPT</t>
        </is>
      </c>
      <c r="B1994" t="inlineStr">
        <is>
          <t>recvdJN6aiUPIk.jpg</t>
        </is>
      </c>
      <c r="C1994" s="2" t="str">
        <f>=HYPERLINK("https://xhslink.com/m/AGVt1YURJ0H", "https://xhslink.com/m/AGVt1YURJ0H")</f>
        <v>https://xhslink.com/m/AGVt1YURJ0H</v>
      </c>
      <c r="D1994"/>
      <c r="E1994">
        <v>616</v>
      </c>
      <c r="F1994">
        <v>49.9</v>
      </c>
      <c r="G1994"/>
      <c r="H1994">
        <v>200</v>
      </c>
      <c r="I1994"/>
      <c r="J1994"/>
      <c r="K1994" t="inlineStr">
        <is>
          <t>PPT</t>
        </is>
      </c>
      <c r="L1994"/>
      <c r="M1994" t="inlineStr">
        <is>
          <t>嘉嘉超努力的店</t>
        </is>
      </c>
      <c r="N1994">
        <v>1216</v>
      </c>
      <c r="O1994">
        <v>4.55</v>
      </c>
      <c r="P1994">
        <v>6035</v>
      </c>
      <c r="Q1994" t="inlineStr">
        <is>
          <t>68d655713f37a90001e37948</t>
        </is>
      </c>
      <c r="R1994" t="inlineStr">
        <is>
          <t>🚫重复</t>
        </is>
      </c>
      <c r="S1994" t="inlineStr">
        <is>
          <t>PPT模板</t>
        </is>
      </c>
      <c r="T1994" t="inlineStr">
        <is>
          <t>0.51</t>
        </is>
      </c>
      <c r="U1994" s="3">
        <v>46112.78107638889</v>
      </c>
      <c r="V1994"/>
      <c r="W1994" s="3">
        <v>46094</v>
      </c>
      <c r="X1994" t="inlineStr">
        <is>
          <t>03</t>
        </is>
      </c>
      <c r="Y1994" t="inlineStr">
        <is>
          <t>2026-Q1</t>
        </is>
      </c>
    </row>
    <row r="1995" ht="38.25" customHeight="1">
      <c r="A1995" t="inlineStr">
        <is>
          <t>期末散学典礼PPT期末表彰大会PPT教师期末培训</t>
        </is>
      </c>
      <c r="B1995" t="inlineStr">
        <is>
          <t>recvdJN6aixX2d.jpg</t>
        </is>
      </c>
      <c r="C1995" s="2" t="str">
        <f>=HYPERLINK("https://xhslink.com/m/4Vs5VaW6gqe", "https://xhslink.com/m/4Vs5VaW6gqe")</f>
        <v>https://xhslink.com/m/4Vs5VaW6gqe</v>
      </c>
      <c r="D1995"/>
      <c r="E1995">
        <v>527</v>
      </c>
      <c r="F1995">
        <v>9.9</v>
      </c>
      <c r="G1995"/>
      <c r="H1995">
        <v>100</v>
      </c>
      <c r="I1995"/>
      <c r="J1995"/>
      <c r="K1995" t="inlineStr">
        <is>
          <t>PPT</t>
        </is>
      </c>
      <c r="L1995"/>
      <c r="M1995" t="inlineStr">
        <is>
          <t>保温杯泡枸杞老师的店</t>
        </is>
      </c>
      <c r="N1995">
        <v>2147</v>
      </c>
      <c r="O1995">
        <v>3.98</v>
      </c>
      <c r="P1995">
        <v>4659</v>
      </c>
      <c r="Q1995" t="inlineStr">
        <is>
          <t>6777920e286c9f0001cb32d9</t>
        </is>
      </c>
      <c r="R1995"/>
      <c r="S1995" t="inlineStr">
        <is>
          <t>PPT模板</t>
        </is>
      </c>
      <c r="T1995" t="inlineStr">
        <is>
          <t>0.25</t>
        </is>
      </c>
      <c r="U1995" s="3">
        <v>46112.78107638889</v>
      </c>
      <c r="V1995"/>
      <c r="W1995" s="3">
        <v>46094</v>
      </c>
      <c r="X1995" t="inlineStr">
        <is>
          <t>03</t>
        </is>
      </c>
      <c r="Y1995" t="inlineStr">
        <is>
          <t>2026-Q1</t>
        </is>
      </c>
    </row>
    <row r="1996" ht="38.25" customHeight="1">
      <c r="A1996" t="inlineStr">
        <is>
          <t>期末家长会通用课件，39页，内容可以自己改</t>
        </is>
      </c>
      <c r="B1996" t="inlineStr">
        <is>
          <t>recvdJN6aiuaLi.jpg</t>
        </is>
      </c>
      <c r="C1996" s="2" t="str">
        <f>=HYPERLINK("https://xhslink.com/m/31oxUfJ8SFz", "https://xhslink.com/m/31oxUfJ8SFz")</f>
        <v>https://xhslink.com/m/31oxUfJ8SFz</v>
      </c>
      <c r="D1996"/>
      <c r="E1996">
        <v>526</v>
      </c>
      <c r="F1996">
        <v>88</v>
      </c>
      <c r="G1996"/>
      <c r="H1996">
        <v>500</v>
      </c>
      <c r="I1996"/>
      <c r="J1996"/>
      <c r="K1996" t="inlineStr">
        <is>
          <t>PPT</t>
        </is>
      </c>
      <c r="L1996"/>
      <c r="M1996" t="inlineStr">
        <is>
          <t>开学就想放暑假的店</t>
        </is>
      </c>
      <c r="N1996">
        <v>37000</v>
      </c>
      <c r="O1996">
        <v>4.42</v>
      </c>
      <c r="P1996">
        <v>54000</v>
      </c>
      <c r="Q1996" t="inlineStr">
        <is>
          <t>6967b35444a6c900012679ec</t>
        </is>
      </c>
      <c r="R1996" t="inlineStr">
        <is>
          <t>🚫重复</t>
        </is>
      </c>
      <c r="S1996" t="inlineStr">
        <is>
          <t>中小学教辅/教材</t>
        </is>
      </c>
      <c r="T1996" t="inlineStr">
        <is>
          <t>0.01</t>
        </is>
      </c>
      <c r="U1996" s="3">
        <v>46112.78107638889</v>
      </c>
      <c r="V1996"/>
      <c r="W1996" s="3">
        <v>46094</v>
      </c>
      <c r="X1996" t="inlineStr">
        <is>
          <t>03</t>
        </is>
      </c>
      <c r="Y1996" t="inlineStr">
        <is>
          <t>2026-Q1</t>
        </is>
      </c>
    </row>
    <row r="1997" ht="38.25" customHeight="1">
      <c r="A1997" t="inlineStr">
        <is>
          <t>新中式国风PPT模板水墨唐宋代美学 古典山水国潮艺术设计传统文化</t>
        </is>
      </c>
      <c r="B1997" t="inlineStr">
        <is>
          <t>recvdJN6ai19kr.jpg</t>
        </is>
      </c>
      <c r="C1997" s="2" t="str">
        <f>=HYPERLINK("https://xhslink.com/m/8zm0paCSe63", "https://xhslink.com/m/8zm0paCSe63")</f>
        <v>https://xhslink.com/m/8zm0paCSe63</v>
      </c>
      <c r="D1997"/>
      <c r="E1997">
        <v>539</v>
      </c>
      <c r="F1997">
        <v>2.99</v>
      </c>
      <c r="G1997"/>
      <c r="H1997">
        <v>100</v>
      </c>
      <c r="I1997"/>
      <c r="J1997"/>
      <c r="K1997" t="inlineStr">
        <is>
          <t>PPT</t>
        </is>
      </c>
      <c r="L1997" t="inlineStr">
        <is>
          <t>🔥低粉爆款</t>
        </is>
      </c>
      <c r="M1997" t="inlineStr">
        <is>
          <t>PPT收藏夹的店</t>
        </is>
      </c>
      <c r="N1997">
        <v>115</v>
      </c>
      <c r="O1997">
        <v>4.22</v>
      </c>
      <c r="P1997">
        <v>1914</v>
      </c>
      <c r="Q1997" t="inlineStr">
        <is>
          <t>68ecd67129904900010f5662</t>
        </is>
      </c>
      <c r="R1997"/>
      <c r="S1997" t="inlineStr">
        <is>
          <t>PPT模板</t>
        </is>
      </c>
      <c r="T1997" t="inlineStr">
        <is>
          <t>4.69</t>
        </is>
      </c>
      <c r="U1997" s="3">
        <v>46112.78107638889</v>
      </c>
      <c r="V1997"/>
      <c r="W1997" s="3">
        <v>46094</v>
      </c>
      <c r="X1997" t="inlineStr">
        <is>
          <t>03</t>
        </is>
      </c>
      <c r="Y1997" t="inlineStr">
        <is>
          <t>2026-Q1</t>
        </is>
      </c>
    </row>
    <row r="1998" ht="38.25" customHeight="1">
      <c r="A1998" t="inlineStr">
        <is>
          <t>2025新人教版八下英语PPT课件</t>
        </is>
      </c>
      <c r="B1998" t="inlineStr">
        <is>
          <t>recvdJN6aiNAtZ.jpg</t>
        </is>
      </c>
      <c r="C1998" s="2" t="str">
        <f>=HYPERLINK("https://xhslink.com/m/i48DbEZZUj", "https://xhslink.com/m/i48DbEZZUj")</f>
        <v>https://xhslink.com/m/i48DbEZZUj</v>
      </c>
      <c r="D1998"/>
      <c r="E1998">
        <v>518</v>
      </c>
      <c r="F1998">
        <v>100</v>
      </c>
      <c r="G1998"/>
      <c r="H1998">
        <v>100</v>
      </c>
      <c r="I1998"/>
      <c r="J1998"/>
      <c r="K1998" t="inlineStr">
        <is>
          <t>PPT</t>
        </is>
      </c>
      <c r="L1998"/>
      <c r="M1998" t="inlineStr">
        <is>
          <t>智绘优课的店</t>
        </is>
      </c>
      <c r="N1998">
        <v>6328</v>
      </c>
      <c r="O1998">
        <v>4.45</v>
      </c>
      <c r="P1998">
        <v>634</v>
      </c>
      <c r="Q1998" t="inlineStr">
        <is>
          <t>69607261c429e2000113a8c8</t>
        </is>
      </c>
      <c r="R1998"/>
      <c r="S1998" t="inlineStr">
        <is>
          <t>PPT模板</t>
        </is>
      </c>
      <c r="T1998" t="inlineStr">
        <is>
          <t>0.08</t>
        </is>
      </c>
      <c r="U1998" s="3">
        <v>46112.78107638889</v>
      </c>
      <c r="V1998"/>
      <c r="W1998" s="3">
        <v>46094</v>
      </c>
      <c r="X1998" t="inlineStr">
        <is>
          <t>03</t>
        </is>
      </c>
      <c r="Y1998" t="inlineStr">
        <is>
          <t>2026-Q1</t>
        </is>
      </c>
    </row>
    <row r="1999" ht="38.25" customHeight="1">
      <c r="A1999" t="inlineStr">
        <is>
          <t>K111—研究生年终总结汇报PPT模板</t>
        </is>
      </c>
      <c r="B1999" t="inlineStr">
        <is>
          <t>recvdJN6aiCU6W.jpg</t>
        </is>
      </c>
      <c r="C1999" s="2" t="str">
        <f>=HYPERLINK("https://xhslink.com/m/30I1Ci8y58n", "https://xhslink.com/m/30I1Ci8y58n")</f>
        <v>https://xhslink.com/m/30I1Ci8y58n</v>
      </c>
      <c r="D1999"/>
      <c r="E1999">
        <v>415</v>
      </c>
      <c r="F1999">
        <v>39.99</v>
      </c>
      <c r="G1999"/>
      <c r="H1999">
        <v>100</v>
      </c>
      <c r="I1999"/>
      <c r="J1999"/>
      <c r="K1999" t="inlineStr">
        <is>
          <t>PPT</t>
        </is>
      </c>
      <c r="L1999"/>
      <c r="M1999" t="inlineStr">
        <is>
          <t>香草的百宝箱的店</t>
        </is>
      </c>
      <c r="N1999">
        <v>5081</v>
      </c>
      <c r="O1999">
        <v>4.57</v>
      </c>
      <c r="P1999">
        <v>17000</v>
      </c>
      <c r="Q1999" t="inlineStr">
        <is>
          <t>68199245bf391700017a2201</t>
        </is>
      </c>
      <c r="R1999"/>
      <c r="S1999" t="inlineStr">
        <is>
          <t>PPT模板</t>
        </is>
      </c>
      <c r="T1999" t="inlineStr">
        <is>
          <t>0.08</t>
        </is>
      </c>
      <c r="U1999" s="3">
        <v>46112.78107638889</v>
      </c>
      <c r="V1999"/>
      <c r="W1999" s="3">
        <v>46094</v>
      </c>
      <c r="X1999" t="inlineStr">
        <is>
          <t>03</t>
        </is>
      </c>
      <c r="Y1999" t="inlineStr">
        <is>
          <t>2026-Q1</t>
        </is>
      </c>
    </row>
    <row r="2000" ht="38.25" customHeight="1">
      <c r="A2000" t="inlineStr">
        <is>
          <t>PPT(1 - 37号)丨下单对应笔记编号(不支持开票)</t>
        </is>
      </c>
      <c r="B2000" t="inlineStr">
        <is>
          <t>recvdJN6aixym9.jpg</t>
        </is>
      </c>
      <c r="C2000" s="2" t="str">
        <f>=HYPERLINK("https://xhslink.com/m/1Y7SBDtiYy8", "https://xhslink.com/m/1Y7SBDtiYy8")</f>
        <v>https://xhslink.com/m/1Y7SBDtiYy8</v>
      </c>
      <c r="D2000"/>
      <c r="E2000">
        <v>394</v>
      </c>
      <c r="F2000">
        <v>29.9</v>
      </c>
      <c r="G2000"/>
      <c r="H2000">
        <v>100</v>
      </c>
      <c r="I2000"/>
      <c r="J2000"/>
      <c r="K2000" t="inlineStr">
        <is>
          <t>PPT</t>
        </is>
      </c>
      <c r="L2000"/>
      <c r="M2000" t="inlineStr">
        <is>
          <t>方奇设计的店</t>
        </is>
      </c>
      <c r="N2000">
        <v>6761</v>
      </c>
      <c r="O2000">
        <v>4.22</v>
      </c>
      <c r="P2000">
        <v>2214</v>
      </c>
      <c r="Q2000" t="inlineStr">
        <is>
          <t>6937a3e8bd92f5000103592b</t>
        </is>
      </c>
      <c r="R2000"/>
      <c r="S2000" t="inlineStr">
        <is>
          <t>PPT模板</t>
        </is>
      </c>
      <c r="T2000" t="inlineStr">
        <is>
          <t>0.06</t>
        </is>
      </c>
      <c r="U2000" s="3">
        <v>46112.78107638889</v>
      </c>
      <c r="V2000"/>
      <c r="W2000" s="3">
        <v>46094</v>
      </c>
      <c r="X2000" t="inlineStr">
        <is>
          <t>03</t>
        </is>
      </c>
      <c r="Y2000" t="inlineStr">
        <is>
          <t>2026-Q1</t>
        </is>
      </c>
    </row>
    <row r="2001" ht="38.25" customHeight="1">
      <c r="A2001" t="inlineStr">
        <is>
          <t>超丝滑动态图片展示模板丨高级感丨PPT</t>
        </is>
      </c>
      <c r="B2001" t="inlineStr">
        <is>
          <t>recvdJN6aivbNf.jpg</t>
        </is>
      </c>
      <c r="C2001" s="2" t="str">
        <f>=HYPERLINK("https://xhslink.com/m/8XfWpMB0XLi", "https://xhslink.com/m/8XfWpMB0XLi")</f>
        <v>https://xhslink.com/m/8XfWpMB0XLi</v>
      </c>
      <c r="D2001"/>
      <c r="E2001">
        <v>406</v>
      </c>
      <c r="F2001">
        <v>1.9</v>
      </c>
      <c r="G2001"/>
      <c r="H2001">
        <v>100</v>
      </c>
      <c r="I2001"/>
      <c r="J2001"/>
      <c r="K2001" t="inlineStr">
        <is>
          <t>PPT</t>
        </is>
      </c>
      <c r="L2001" t="inlineStr">
        <is>
          <t>🔥低粉爆款</t>
        </is>
      </c>
      <c r="M2001" t="inlineStr">
        <is>
          <t>幕布研究所的店</t>
        </is>
      </c>
      <c r="N2001">
        <v>104</v>
      </c>
      <c r="O2001">
        <v>4.05</v>
      </c>
      <c r="P2001">
        <v>1162</v>
      </c>
      <c r="Q2001" t="inlineStr">
        <is>
          <t>68ddee11c7536100018deee5</t>
        </is>
      </c>
      <c r="R2001"/>
      <c r="S2001" t="inlineStr">
        <is>
          <t>PPT模板</t>
        </is>
      </c>
      <c r="T2001" t="inlineStr">
        <is>
          <t>3.90</t>
        </is>
      </c>
      <c r="U2001" s="3">
        <v>46112.78107638889</v>
      </c>
      <c r="V2001"/>
      <c r="W2001" s="3">
        <v>46094</v>
      </c>
      <c r="X2001" t="inlineStr">
        <is>
          <t>03</t>
        </is>
      </c>
      <c r="Y2001" t="inlineStr">
        <is>
          <t>2026-Q1</t>
        </is>
      </c>
    </row>
    <row r="2002" ht="38.25" customHeight="1">
      <c r="A2002" t="inlineStr">
        <is>
          <t>100页红色ppt动态工作总结PPT模板多图排版图文排版高端汇报述职</t>
        </is>
      </c>
      <c r="B2002" t="inlineStr">
        <is>
          <t>recvdJN6aiCY85.jpg</t>
        </is>
      </c>
      <c r="C2002" s="2" t="str">
        <f>=HYPERLINK("https://xhslink.com/m/3jMfgKsGeMB", "https://xhslink.com/m/3jMfgKsGeMB")</f>
        <v>https://xhslink.com/m/3jMfgKsGeMB</v>
      </c>
      <c r="D2002"/>
      <c r="E2002">
        <v>358</v>
      </c>
      <c r="F2002">
        <v>1</v>
      </c>
      <c r="G2002"/>
      <c r="H2002">
        <v>300</v>
      </c>
      <c r="I2002"/>
      <c r="J2002"/>
      <c r="K2002" t="inlineStr">
        <is>
          <t>PPT</t>
        </is>
      </c>
      <c r="L2002"/>
      <c r="M2002" t="inlineStr">
        <is>
          <t>云朵的电子资料分享的店</t>
        </is>
      </c>
      <c r="N2002">
        <v>4190</v>
      </c>
      <c r="O2002">
        <v>4.6</v>
      </c>
      <c r="P2002">
        <v>28000</v>
      </c>
      <c r="Q2002" t="inlineStr">
        <is>
          <t>695a11f27cad4e000171bbf3</t>
        </is>
      </c>
      <c r="R2002" t="inlineStr">
        <is>
          <t>🚫重复</t>
        </is>
      </c>
      <c r="S2002" t="inlineStr">
        <is>
          <t>PPT模板</t>
        </is>
      </c>
      <c r="T2002" t="inlineStr">
        <is>
          <t>0.09</t>
        </is>
      </c>
      <c r="U2002" s="3">
        <v>46112.78107638889</v>
      </c>
      <c r="V2002"/>
      <c r="W2002" s="3">
        <v>46094</v>
      </c>
      <c r="X2002" t="inlineStr">
        <is>
          <t>03</t>
        </is>
      </c>
      <c r="Y2002" t="inlineStr">
        <is>
          <t>2026-Q1</t>
        </is>
      </c>
    </row>
    <row r="2003" ht="38.25" customHeight="1">
      <c r="A2003" t="inlineStr">
        <is>
          <t>2026新译林三四五六年级下册英语课件PPT教案备课预习试卷电子版</t>
        </is>
      </c>
      <c r="B2003" t="inlineStr">
        <is>
          <t>recvdJN6ai1p2V.jpg</t>
        </is>
      </c>
      <c r="C2003" s="2" t="str">
        <f>=HYPERLINK("https://xhslink.com/m/AnoMIWtaGZ7", "https://xhslink.com/m/AnoMIWtaGZ7")</f>
        <v>https://xhslink.com/m/AnoMIWtaGZ7</v>
      </c>
      <c r="D2003"/>
      <c r="E2003">
        <v>372</v>
      </c>
      <c r="F2003">
        <v>29.9</v>
      </c>
      <c r="G2003"/>
      <c r="H2003">
        <v>250</v>
      </c>
      <c r="I2003"/>
      <c r="J2003"/>
      <c r="K2003" t="inlineStr">
        <is>
          <t>PPT</t>
        </is>
      </c>
      <c r="L2003"/>
      <c r="M2003" t="inlineStr">
        <is>
          <t>教研小飞姐的店</t>
        </is>
      </c>
      <c r="N2003">
        <v>409</v>
      </c>
      <c r="O2003">
        <v>4.5</v>
      </c>
      <c r="P2003">
        <v>2619</v>
      </c>
      <c r="Q2003" t="inlineStr">
        <is>
          <t>695e1458733c060001aef0d8</t>
        </is>
      </c>
      <c r="R2003"/>
      <c r="S2003" t="inlineStr">
        <is>
          <t>中小学教辅/教材</t>
        </is>
      </c>
      <c r="T2003" t="inlineStr">
        <is>
          <t>0.91</t>
        </is>
      </c>
      <c r="U2003" s="3">
        <v>46112.78107638889</v>
      </c>
      <c r="V2003"/>
      <c r="W2003" s="3">
        <v>46094</v>
      </c>
      <c r="X2003" t="inlineStr">
        <is>
          <t>03</t>
        </is>
      </c>
      <c r="Y2003" t="inlineStr">
        <is>
          <t>2026-Q1</t>
        </is>
      </c>
    </row>
    <row r="2004" ht="38.25" customHeight="1">
      <c r="A2004" t="inlineStr">
        <is>
          <t>编号235丨工作述职报告PPT模板</t>
        </is>
      </c>
      <c r="B2004" t="inlineStr">
        <is>
          <t>recvdJN6aivXdc.jpg</t>
        </is>
      </c>
      <c r="C2004" s="2" t="str">
        <f>=HYPERLINK("https://xhslink.com/m/64X7Czkk2S6", "https://xhslink.com/m/64X7Czkk2S6")</f>
        <v>https://xhslink.com/m/64X7Czkk2S6</v>
      </c>
      <c r="D2004"/>
      <c r="E2004">
        <v>334</v>
      </c>
      <c r="F2004">
        <v>3.88</v>
      </c>
      <c r="G2004"/>
      <c r="H2004">
        <v>100</v>
      </c>
      <c r="I2004"/>
      <c r="J2004"/>
      <c r="K2004" t="inlineStr">
        <is>
          <t>PPT</t>
        </is>
      </c>
      <c r="L2004"/>
      <c r="M2004" t="inlineStr">
        <is>
          <t>黑羊PPT（接美化）的店</t>
        </is>
      </c>
      <c r="N2004">
        <v>21000</v>
      </c>
      <c r="O2004">
        <v>4.43</v>
      </c>
      <c r="P2004">
        <v>10000</v>
      </c>
      <c r="Q2004" t="inlineStr">
        <is>
          <t>69016301becfcc00017b4abe</t>
        </is>
      </c>
      <c r="R2004"/>
      <c r="S2004" t="inlineStr">
        <is>
          <t>PPT模板</t>
        </is>
      </c>
      <c r="T2004" t="inlineStr">
        <is>
          <t>0.02</t>
        </is>
      </c>
      <c r="U2004" s="3">
        <v>46112.78107638889</v>
      </c>
      <c r="V2004"/>
      <c r="W2004" s="3">
        <v>46094</v>
      </c>
      <c r="X2004" t="inlineStr">
        <is>
          <t>03</t>
        </is>
      </c>
      <c r="Y2004" t="inlineStr">
        <is>
          <t>2026-Q1</t>
        </is>
      </c>
    </row>
    <row r="2005" ht="38.25" customHeight="1">
      <c r="A2005" t="inlineStr">
        <is>
          <t>课题申报框架构图教学思政科研绘图技术路线图visoi流程图ppt模板</t>
        </is>
      </c>
      <c r="B2005" t="inlineStr">
        <is>
          <t>recvdJN6aiDUaa.jpg</t>
        </is>
      </c>
      <c r="C2005" s="2" t="str">
        <f>=HYPERLINK("https://xhslink.com/m/867bBEK7Md9", "https://xhslink.com/m/867bBEK7Md9")</f>
        <v>https://xhslink.com/m/867bBEK7Md9</v>
      </c>
      <c r="D2005"/>
      <c r="E2005">
        <v>327</v>
      </c>
      <c r="F2005">
        <v>28.8</v>
      </c>
      <c r="G2005"/>
      <c r="H2005">
        <v>150</v>
      </c>
      <c r="I2005"/>
      <c r="J2005"/>
      <c r="K2005" t="inlineStr">
        <is>
          <t>PPT</t>
        </is>
      </c>
      <c r="L2005"/>
      <c r="M2005" t="inlineStr">
        <is>
          <t>拾光云集铺的店</t>
        </is>
      </c>
      <c r="N2005">
        <v>1204</v>
      </c>
      <c r="O2005">
        <v>3.98</v>
      </c>
      <c r="P2005">
        <v>1272</v>
      </c>
      <c r="Q2005" t="inlineStr">
        <is>
          <t>6940d641266b95000185233f</t>
        </is>
      </c>
      <c r="R2005"/>
      <c r="S2005" t="inlineStr">
        <is>
          <t>PPT模板</t>
        </is>
      </c>
      <c r="T2005" t="inlineStr">
        <is>
          <t>0.27</t>
        </is>
      </c>
      <c r="U2005" s="3">
        <v>46112.78107638889</v>
      </c>
      <c r="V2005"/>
      <c r="W2005" s="3">
        <v>46094</v>
      </c>
      <c r="X2005" t="inlineStr">
        <is>
          <t>03</t>
        </is>
      </c>
      <c r="Y2005" t="inlineStr">
        <is>
          <t>2026-Q1</t>
        </is>
      </c>
    </row>
    <row r="2006" ht="38.25" customHeight="1">
      <c r="A2006" t="inlineStr">
        <is>
          <t>红色团支书述职报告PPT模板</t>
        </is>
      </c>
      <c r="B2006" t="inlineStr">
        <is>
          <t>recvdJN6aiB6QX.jpg</t>
        </is>
      </c>
      <c r="C2006" s="2" t="str">
        <f>=HYPERLINK("https://xhslink.com/m/Aw1ggekgGkc", "https://xhslink.com/m/Aw1ggekgGkc")</f>
        <v>https://xhslink.com/m/Aw1ggekgGkc</v>
      </c>
      <c r="D2006"/>
      <c r="E2006">
        <v>337</v>
      </c>
      <c r="F2006">
        <v>0.99</v>
      </c>
      <c r="G2006"/>
      <c r="H2006">
        <v>150</v>
      </c>
      <c r="I2006"/>
      <c r="J2006"/>
      <c r="K2006" t="inlineStr">
        <is>
          <t>PPT</t>
        </is>
      </c>
      <c r="L2006"/>
      <c r="M2006" t="inlineStr">
        <is>
          <t>赛先升ppt的店</t>
        </is>
      </c>
      <c r="N2006">
        <v>174</v>
      </c>
      <c r="O2006">
        <v>4.56</v>
      </c>
      <c r="P2006">
        <v>2058</v>
      </c>
      <c r="Q2006" t="inlineStr">
        <is>
          <t>694bc4dae40d430001879af6</t>
        </is>
      </c>
      <c r="R2006" t="inlineStr">
        <is>
          <t>🚫重复</t>
        </is>
      </c>
      <c r="S2006" t="inlineStr">
        <is>
          <t>PPT模板</t>
        </is>
      </c>
      <c r="T2006" t="inlineStr">
        <is>
          <t>1.94</t>
        </is>
      </c>
      <c r="U2006" s="3">
        <v>46112.78107638889</v>
      </c>
      <c r="V2006"/>
      <c r="W2006" s="3">
        <v>46094</v>
      </c>
      <c r="X2006" t="inlineStr">
        <is>
          <t>03</t>
        </is>
      </c>
      <c r="Y2006" t="inlineStr">
        <is>
          <t>2026-Q1</t>
        </is>
      </c>
    </row>
    <row r="2007" ht="38.25" customHeight="1">
      <c r="A2007" t="inlineStr">
        <is>
          <t>七上期末（期中）语文复习课件PPT</t>
        </is>
      </c>
      <c r="B2007" t="inlineStr">
        <is>
          <t>recvdJN6aiHu3x.jpg</t>
        </is>
      </c>
      <c r="C2007" s="2" t="str">
        <f>=HYPERLINK("https://xhslink.com/m/X4TJQzM4U", "https://xhslink.com/m/X4TJQzM4U")</f>
        <v>https://xhslink.com/m/X4TJQzM4U</v>
      </c>
      <c r="D2007"/>
      <c r="E2007">
        <v>296</v>
      </c>
      <c r="F2007">
        <v>29.9</v>
      </c>
      <c r="G2007"/>
      <c r="H2007">
        <v>100</v>
      </c>
      <c r="I2007"/>
      <c r="J2007"/>
      <c r="K2007" t="inlineStr">
        <is>
          <t>PPT</t>
        </is>
      </c>
      <c r="L2007"/>
      <c r="M2007" t="inlineStr">
        <is>
          <t>桃雾绵绵冰的店</t>
        </is>
      </c>
      <c r="N2007">
        <v>140</v>
      </c>
      <c r="O2007">
        <v>4.2</v>
      </c>
      <c r="P2007">
        <v>428</v>
      </c>
      <c r="Q2007" t="inlineStr">
        <is>
          <t>6971a7f69738780001bfc291</t>
        </is>
      </c>
      <c r="R2007"/>
      <c r="S2007" t="inlineStr">
        <is>
          <t>中小学教辅/教材</t>
        </is>
      </c>
      <c r="T2007" t="inlineStr">
        <is>
          <t>2.11</t>
        </is>
      </c>
      <c r="U2007" s="3">
        <v>46112.78107638889</v>
      </c>
      <c r="V2007"/>
      <c r="W2007" s="3">
        <v>46094</v>
      </c>
      <c r="X2007" t="inlineStr">
        <is>
          <t>03</t>
        </is>
      </c>
      <c r="Y2007" t="inlineStr">
        <is>
          <t>2026-Q1</t>
        </is>
      </c>
    </row>
    <row r="2008" ht="38.25" customHeight="1">
      <c r="A2008" t="inlineStr">
        <is>
          <t>【6种配色】 16页 年会年终总价ppt 拍下不退换 自动发货</t>
        </is>
      </c>
      <c r="B2008" t="inlineStr">
        <is>
          <t>recvdJN6aiRHbG.jpg</t>
        </is>
      </c>
      <c r="C2008" s="2" t="str">
        <f>=HYPERLINK("https://xhslink.com/m/2gAifm8riq4", "https://xhslink.com/m/2gAifm8riq4")</f>
        <v>https://xhslink.com/m/2gAifm8riq4</v>
      </c>
      <c r="D2008"/>
      <c r="E2008">
        <v>318</v>
      </c>
      <c r="F2008">
        <v>9.99</v>
      </c>
      <c r="G2008"/>
      <c r="H2008">
        <v>200</v>
      </c>
      <c r="I2008"/>
      <c r="J2008"/>
      <c r="K2008" t="inlineStr">
        <is>
          <t>PPT</t>
        </is>
      </c>
      <c r="L2008"/>
      <c r="M2008" t="inlineStr">
        <is>
          <t>石头PPT的店</t>
        </is>
      </c>
      <c r="N2008">
        <v>10000</v>
      </c>
      <c r="O2008">
        <v>4.21</v>
      </c>
      <c r="P2008">
        <v>12000</v>
      </c>
      <c r="Q2008" t="inlineStr">
        <is>
          <t>696239803db79c0001351f1c</t>
        </is>
      </c>
      <c r="R2008"/>
      <c r="S2008" t="inlineStr">
        <is>
          <t>PPT模板</t>
        </is>
      </c>
      <c r="T2008" t="inlineStr">
        <is>
          <t>0.03</t>
        </is>
      </c>
      <c r="U2008" s="3">
        <v>46112.78107638889</v>
      </c>
      <c r="V2008"/>
      <c r="W2008" s="3">
        <v>46094</v>
      </c>
      <c r="X2008" t="inlineStr">
        <is>
          <t>03</t>
        </is>
      </c>
      <c r="Y2008" t="inlineStr">
        <is>
          <t>2026-Q1</t>
        </is>
      </c>
    </row>
    <row r="2009" ht="38.25" customHeight="1">
      <c r="A2009" t="inlineStr">
        <is>
          <t>儿童文学名著 一二三年级课外书 小学生阅读书小学语文彩图注音版</t>
        </is>
      </c>
      <c r="B2009" t="inlineStr">
        <is>
          <t>recvdJN6aiOwTK.jpg</t>
        </is>
      </c>
      <c r="C2009" s="2" t="str">
        <f>=HYPERLINK("https://xhslink.com/m/9JKhmcOIXZi", "https://xhslink.com/m/9JKhmcOIXZi")</f>
        <v>https://xhslink.com/m/9JKhmcOIXZi</v>
      </c>
      <c r="D2009"/>
      <c r="E2009">
        <v>24000</v>
      </c>
      <c r="F2009">
        <v>249</v>
      </c>
      <c r="G2009"/>
      <c r="H2009">
        <v>150</v>
      </c>
      <c r="I2009">
        <v>1000</v>
      </c>
      <c r="J2009"/>
      <c r="K2009" t="inlineStr">
        <is>
          <t>小学资料</t>
        </is>
      </c>
      <c r="L2009"/>
      <c r="M2009" t="inlineStr">
        <is>
          <t>悠悠妈严选的店</t>
        </is>
      </c>
      <c r="N2009">
        <v>15000</v>
      </c>
      <c r="O2009">
        <v>4.57</v>
      </c>
      <c r="P2009">
        <v>54000</v>
      </c>
      <c r="Q2009" t="inlineStr">
        <is>
          <t>64bde775d8047700018d366f</t>
        </is>
      </c>
      <c r="R2009"/>
      <c r="S2009" t="inlineStr">
        <is>
          <t>中小学教辅/教材</t>
        </is>
      </c>
      <c r="T2009" t="inlineStr">
        <is>
          <t>1.60</t>
        </is>
      </c>
      <c r="U2009" s="3">
        <v>46112.78107638889</v>
      </c>
      <c r="V2009"/>
      <c r="W2009" s="3">
        <v>46094</v>
      </c>
      <c r="X2009" t="inlineStr">
        <is>
          <t>03</t>
        </is>
      </c>
      <c r="Y2009" t="inlineStr">
        <is>
          <t>2026-Q1</t>
        </is>
      </c>
    </row>
    <row r="2010" ht="38.25" customHeight="1">
      <c r="A2010" t="inlineStr">
        <is>
          <t>一本 · 【答题模板】小学语文阅读训练100篇 满分公式视频精讲开学提分</t>
        </is>
      </c>
      <c r="B2010" t="inlineStr">
        <is>
          <t>recvdJN6aiAvmV.jpg</t>
        </is>
      </c>
      <c r="C2010" s="2" t="str">
        <f>=HYPERLINK("https://xhslink.com/m/uRsZIpFAZv", "https://xhslink.com/m/uRsZIpFAZv")</f>
        <v>https://xhslink.com/m/uRsZIpFAZv</v>
      </c>
      <c r="D2010"/>
      <c r="E2010">
        <v>8156</v>
      </c>
      <c r="F2010">
        <v>69.4</v>
      </c>
      <c r="G2010"/>
      <c r="H2010">
        <v>150</v>
      </c>
      <c r="I2010">
        <v>1000</v>
      </c>
      <c r="J2010"/>
      <c r="K2010" t="inlineStr">
        <is>
          <t>小学资料</t>
        </is>
      </c>
      <c r="L2010"/>
      <c r="M2010" t="inlineStr">
        <is>
          <t>一本-高中图书旗舰店</t>
        </is>
      </c>
      <c r="N2010">
        <v>13000</v>
      </c>
      <c r="O2010">
        <v>4.57</v>
      </c>
      <c r="P2010">
        <v>147000</v>
      </c>
      <c r="Q2010" t="inlineStr">
        <is>
          <t>66149db7df3ddc00012d9c42</t>
        </is>
      </c>
      <c r="R2010" t="inlineStr">
        <is>
          <t>🚫重复</t>
        </is>
      </c>
      <c r="S2010" t="inlineStr">
        <is>
          <t>中小学教辅/教材</t>
        </is>
      </c>
      <c r="T2010" t="inlineStr">
        <is>
          <t>0.63</t>
        </is>
      </c>
      <c r="U2010" s="3">
        <v>46112.78107638889</v>
      </c>
      <c r="V2010"/>
      <c r="W2010" s="3">
        <v>46094</v>
      </c>
      <c r="X2010" t="inlineStr">
        <is>
          <t>03</t>
        </is>
      </c>
      <c r="Y2010" t="inlineStr">
        <is>
          <t>2026-Q1</t>
        </is>
      </c>
    </row>
    <row r="2011" ht="38.25" customHeight="1">
      <c r="A2011" t="inlineStr">
        <is>
          <t>DOU DOU SHU WU · 2026新版小豆同学秒记政史地物化生语数英高中答题模板知识点复习</t>
        </is>
      </c>
      <c r="B2011" t="inlineStr">
        <is>
          <t>recvdJN6aiffZe.jpg</t>
        </is>
      </c>
      <c r="C2011" s="2" t="str">
        <f>=HYPERLINK("https://xhslink.com/m/8AvSyJaU4KA", "https://xhslink.com/m/8AvSyJaU4KA")</f>
        <v>https://xhslink.com/m/8AvSyJaU4KA</v>
      </c>
      <c r="D2011"/>
      <c r="E2011">
        <v>6687</v>
      </c>
      <c r="F2011">
        <v>159.8</v>
      </c>
      <c r="G2011"/>
      <c r="H2011">
        <v>750</v>
      </c>
      <c r="I2011">
        <v>1000</v>
      </c>
      <c r="J2011"/>
      <c r="K2011" t="inlineStr">
        <is>
          <t>小学资料</t>
        </is>
      </c>
      <c r="L2011"/>
      <c r="M2011" t="inlineStr">
        <is>
          <t>豆豆书屋图书旗舰店</t>
        </is>
      </c>
      <c r="N2011">
        <v>5819</v>
      </c>
      <c r="O2011">
        <v>4.79</v>
      </c>
      <c r="P2011">
        <v>17000</v>
      </c>
      <c r="Q2011" t="inlineStr">
        <is>
          <t>69211134dbfbf50001e669b4</t>
        </is>
      </c>
      <c r="R2011" t="inlineStr">
        <is>
          <t>🚫重复</t>
        </is>
      </c>
      <c r="S2011" t="inlineStr">
        <is>
          <t>高中/高考资料</t>
        </is>
      </c>
      <c r="T2011" t="inlineStr">
        <is>
          <t>1.15</t>
        </is>
      </c>
      <c r="U2011" s="3">
        <v>46112.78107638889</v>
      </c>
      <c r="V2011"/>
      <c r="W2011" s="3">
        <v>46094</v>
      </c>
      <c r="X2011" t="inlineStr">
        <is>
          <t>03</t>
        </is>
      </c>
      <c r="Y2011" t="inlineStr">
        <is>
          <t>2026-Q1</t>
        </is>
      </c>
    </row>
    <row r="2012" ht="38.25" customHeight="1">
      <c r="A2012" t="inlineStr">
        <is>
          <t>26上中小幼教资笔试题库APP/精讲网课/配套讲义</t>
        </is>
      </c>
      <c r="B2012" t="inlineStr">
        <is>
          <t>recvdJN6ai52NC.jpg</t>
        </is>
      </c>
      <c r="C2012" s="2" t="str">
        <f>=HYPERLINK("https://xhslink.com/m/1V2c9IAOhAr", "https://xhslink.com/m/1V2c9IAOhAr")</f>
        <v>https://xhslink.com/m/1V2c9IAOhAr</v>
      </c>
      <c r="D2012"/>
      <c r="E2012">
        <v>5822</v>
      </c>
      <c r="F2012">
        <v>29.9</v>
      </c>
      <c r="G2012"/>
      <c r="H2012">
        <v>200</v>
      </c>
      <c r="I2012">
        <v>1000</v>
      </c>
      <c r="J2012"/>
      <c r="K2012" t="inlineStr">
        <is>
          <t>小学资料</t>
        </is>
      </c>
      <c r="L2012"/>
      <c r="M2012" t="inlineStr">
        <is>
          <t>新城的日落的店</t>
        </is>
      </c>
      <c r="N2012">
        <v>2183</v>
      </c>
      <c r="O2012">
        <v>4.55</v>
      </c>
      <c r="P2012">
        <v>11000</v>
      </c>
      <c r="Q2012" t="inlineStr">
        <is>
          <t>686b2fca55c6280001650508</t>
        </is>
      </c>
      <c r="R2012" t="inlineStr">
        <is>
          <t>🚫重复</t>
        </is>
      </c>
      <c r="S2012" t="inlineStr">
        <is>
          <t>教资资料</t>
        </is>
      </c>
      <c r="T2012" t="inlineStr">
        <is>
          <t>2.67</t>
        </is>
      </c>
      <c r="U2012" s="3">
        <v>46112.78107638889</v>
      </c>
      <c r="V2012"/>
      <c r="W2012" s="3">
        <v>46094</v>
      </c>
      <c r="X2012" t="inlineStr">
        <is>
          <t>03</t>
        </is>
      </c>
      <c r="Y2012" t="inlineStr">
        <is>
          <t>2026-Q1</t>
        </is>
      </c>
    </row>
    <row r="2013" ht="38.25" customHeight="1">
      <c r="A2013" t="inlineStr">
        <is>
          <t>【大语文汇总】小学生一二三年级必读课外书故事书课内作家张秋生</t>
        </is>
      </c>
      <c r="B2013" t="inlineStr">
        <is>
          <t>recvdJN6aiZI3k.jpg</t>
        </is>
      </c>
      <c r="C2013" s="2" t="str">
        <f>=HYPERLINK("https://xhslink.com/m/3XDdPjTku8V", "https://xhslink.com/m/3XDdPjTku8V")</f>
        <v>https://xhslink.com/m/3XDdPjTku8V</v>
      </c>
      <c r="D2013"/>
      <c r="E2013">
        <v>4000</v>
      </c>
      <c r="F2013">
        <v>34.8</v>
      </c>
      <c r="G2013"/>
      <c r="H2013">
        <v>200</v>
      </c>
      <c r="I2013">
        <v>1000</v>
      </c>
      <c r="J2013"/>
      <c r="K2013" t="inlineStr">
        <is>
          <t>小学资料</t>
        </is>
      </c>
      <c r="L2013"/>
      <c r="M2013" t="inlineStr">
        <is>
          <t>仓颉图书的店</t>
        </is>
      </c>
      <c r="N2013">
        <v>5791</v>
      </c>
      <c r="O2013">
        <v>4.73</v>
      </c>
      <c r="P2013">
        <v>43000</v>
      </c>
      <c r="Q2013" t="inlineStr">
        <is>
          <t>697acf06621e6f0001ba6133</t>
        </is>
      </c>
      <c r="R2013"/>
      <c r="S2013" t="inlineStr">
        <is>
          <t>中小学教辅/教材</t>
        </is>
      </c>
      <c r="T2013" t="inlineStr">
        <is>
          <t>0.69</t>
        </is>
      </c>
      <c r="U2013" s="3">
        <v>46112.78107638889</v>
      </c>
      <c r="V2013"/>
      <c r="W2013" s="3">
        <v>46094</v>
      </c>
      <c r="X2013" t="inlineStr">
        <is>
          <t>03</t>
        </is>
      </c>
      <c r="Y2013" t="inlineStr">
        <is>
          <t>2026-Q1</t>
        </is>
      </c>
    </row>
    <row r="2014" ht="38.25" customHeight="1">
      <c r="A2014" t="inlineStr">
        <is>
          <t>阅读理解3步通关 21天陪跑L1-6</t>
        </is>
      </c>
      <c r="B2014" t="inlineStr">
        <is>
          <t>recvdJN6ai3zjP.jpg</t>
        </is>
      </c>
      <c r="C2014" s="2" t="str">
        <f>=HYPERLINK("https://xhslink.com/m/8kSfknH0uGJ", "https://xhslink.com/m/8kSfknH0uGJ")</f>
        <v>https://xhslink.com/m/8kSfknH0uGJ</v>
      </c>
      <c r="D2014"/>
      <c r="E2014">
        <v>3618</v>
      </c>
      <c r="F2014">
        <v>399</v>
      </c>
      <c r="G2014"/>
      <c r="H2014">
        <v>600</v>
      </c>
      <c r="I2014">
        <v>1000</v>
      </c>
      <c r="J2014"/>
      <c r="K2014" t="inlineStr">
        <is>
          <t>小学资料</t>
        </is>
      </c>
      <c r="L2014" t="inlineStr">
        <is>
          <t>🔥低粉爆款</t>
        </is>
      </c>
      <c r="M2014" t="inlineStr">
        <is>
          <t>花开 时节的店</t>
        </is>
      </c>
      <c r="N2014">
        <v>74</v>
      </c>
      <c r="O2014">
        <v>4.66</v>
      </c>
      <c r="P2014">
        <v>4498</v>
      </c>
      <c r="Q2014" t="inlineStr">
        <is>
          <t>683e8c443aaa1e00018782bf</t>
        </is>
      </c>
      <c r="R2014"/>
      <c r="S2014" t="inlineStr">
        <is>
          <t>无匹配类别</t>
        </is>
      </c>
      <c r="T2014" t="inlineStr">
        <is>
          <t>48.89</t>
        </is>
      </c>
      <c r="U2014" s="3">
        <v>46112.78107638889</v>
      </c>
      <c r="V2014"/>
      <c r="W2014" s="3">
        <v>46094</v>
      </c>
      <c r="X2014" t="inlineStr">
        <is>
          <t>03</t>
        </is>
      </c>
      <c r="Y2014" t="inlineStr">
        <is>
          <t>2026-Q1</t>
        </is>
      </c>
    </row>
    <row r="2015" ht="38.25" customHeight="1">
      <c r="A2015" t="inlineStr">
        <is>
          <t>小学常考二十个阅读理解专题+训练专题（PDF电子资料）</t>
        </is>
      </c>
      <c r="B2015" t="inlineStr">
        <is>
          <t>recvdJN6aiuVTp.jpg</t>
        </is>
      </c>
      <c r="C2015" s="2" t="str">
        <f>=HYPERLINK("https://xhslink.com/m/3iudtAyhZan", "https://xhslink.com/m/3iudtAyhZan")</f>
        <v>https://xhslink.com/m/3iudtAyhZan</v>
      </c>
      <c r="D2015"/>
      <c r="E2015">
        <v>3317</v>
      </c>
      <c r="F2015">
        <v>29.99</v>
      </c>
      <c r="G2015"/>
      <c r="H2015">
        <v>500</v>
      </c>
      <c r="I2015">
        <v>1000</v>
      </c>
      <c r="J2015"/>
      <c r="K2015" t="inlineStr">
        <is>
          <t>小学资料</t>
        </is>
      </c>
      <c r="L2015"/>
      <c r="M2015" t="inlineStr">
        <is>
          <t>鸭妮大过山的店</t>
        </is>
      </c>
      <c r="N2015">
        <v>54000</v>
      </c>
      <c r="O2015">
        <v>4.4</v>
      </c>
      <c r="P2015">
        <v>12000</v>
      </c>
      <c r="Q2015" t="inlineStr">
        <is>
          <t>6880e6fb4f80eb000128217d</t>
        </is>
      </c>
      <c r="R2015" t="inlineStr">
        <is>
          <t>🚫重复</t>
        </is>
      </c>
      <c r="S2015" t="inlineStr">
        <is>
          <t>中小学教辅/教材</t>
        </is>
      </c>
      <c r="T2015" t="inlineStr">
        <is>
          <t>0.06</t>
        </is>
      </c>
      <c r="U2015" s="3">
        <v>46112.78107638889</v>
      </c>
      <c r="V2015"/>
      <c r="W2015" s="3">
        <v>46094</v>
      </c>
      <c r="X2015" t="inlineStr">
        <is>
          <t>03</t>
        </is>
      </c>
      <c r="Y2015" t="inlineStr">
        <is>
          <t>2026-Q1</t>
        </is>
      </c>
    </row>
    <row r="2016" ht="38.25" customHeight="1">
      <c r="A2016" t="inlineStr">
        <is>
          <t>考试宝典 · 挂历印刷品。1—9年级上下册各科期末</t>
        </is>
      </c>
      <c r="B2016" t="inlineStr">
        <is>
          <t>recvdJN6ai40MQ.jpg</t>
        </is>
      </c>
      <c r="C2016" s="2" t="str">
        <f>=HYPERLINK("https://xhslink.com/m/2Cuz97oEQ5l", "https://xhslink.com/m/2Cuz97oEQ5l")</f>
        <v>https://xhslink.com/m/2Cuz97oEQ5l</v>
      </c>
      <c r="D2016"/>
      <c r="E2016">
        <v>2995</v>
      </c>
      <c r="F2016">
        <v>39.9</v>
      </c>
      <c r="G2016"/>
      <c r="H2016">
        <v>550</v>
      </c>
      <c r="I2016">
        <v>1000</v>
      </c>
      <c r="J2016"/>
      <c r="K2016" t="inlineStr">
        <is>
          <t>小学资料</t>
        </is>
      </c>
      <c r="L2016"/>
      <c r="M2016" t="inlineStr">
        <is>
          <t>温州老教师（1到9年级全）的店</t>
        </is>
      </c>
      <c r="N2016">
        <v>11000</v>
      </c>
      <c r="O2016">
        <v>4.33</v>
      </c>
      <c r="P2016">
        <v>15000</v>
      </c>
      <c r="Q2016" t="inlineStr">
        <is>
          <t>66c19f4d32bcc500015005eb</t>
        </is>
      </c>
      <c r="R2016" t="inlineStr">
        <is>
          <t>🚫重复</t>
        </is>
      </c>
      <c r="S2016" t="inlineStr">
        <is>
          <t>中小学教辅/教材</t>
        </is>
      </c>
      <c r="T2016" t="inlineStr">
        <is>
          <t>0.27</t>
        </is>
      </c>
      <c r="U2016" s="3">
        <v>46112.78107638889</v>
      </c>
      <c r="V2016"/>
      <c r="W2016" s="3">
        <v>46094</v>
      </c>
      <c r="X2016" t="inlineStr">
        <is>
          <t>03</t>
        </is>
      </c>
      <c r="Y2016" t="inlineStr">
        <is>
          <t>2026-Q1</t>
        </is>
      </c>
    </row>
    <row r="2017" ht="38.25" customHeight="1">
      <c r="A2017" t="inlineStr">
        <is>
          <t>30天-搞定幼小计算+拼音识字图书-买一号送二号三号</t>
        </is>
      </c>
      <c r="B2017" t="inlineStr">
        <is>
          <t>recvdJN6aitUeB.jpg</t>
        </is>
      </c>
      <c r="C2017" s="2" t="str">
        <f>=HYPERLINK("https://xhslink.com/m/q9Y09girr9", "https://xhslink.com/m/q9Y09girr9")</f>
        <v>https://xhslink.com/m/q9Y09girr9</v>
      </c>
      <c r="D2017"/>
      <c r="E2017">
        <v>3056</v>
      </c>
      <c r="F2017">
        <v>199</v>
      </c>
      <c r="G2017"/>
      <c r="H2017">
        <v>250</v>
      </c>
      <c r="I2017">
        <v>1000</v>
      </c>
      <c r="J2017"/>
      <c r="K2017" t="inlineStr">
        <is>
          <t>小学资料</t>
        </is>
      </c>
      <c r="L2017"/>
      <c r="M2017" t="inlineStr">
        <is>
          <t>希望学素养的店</t>
        </is>
      </c>
      <c r="N2017">
        <v>6257</v>
      </c>
      <c r="O2017">
        <v>4.56</v>
      </c>
      <c r="P2017">
        <v>19000</v>
      </c>
      <c r="Q2017" t="inlineStr">
        <is>
          <t>68202a1b15cfd2000119c553</t>
        </is>
      </c>
      <c r="R2017"/>
      <c r="S2017" t="inlineStr">
        <is>
          <t>中小学教辅/教材</t>
        </is>
      </c>
      <c r="T2017" t="inlineStr">
        <is>
          <t>0.49</t>
        </is>
      </c>
      <c r="U2017" s="3">
        <v>46112.78107638889</v>
      </c>
      <c r="V2017"/>
      <c r="W2017" s="3">
        <v>46094</v>
      </c>
      <c r="X2017" t="inlineStr">
        <is>
          <t>03</t>
        </is>
      </c>
      <c r="Y2017" t="inlineStr">
        <is>
          <t>2026-Q1</t>
        </is>
      </c>
    </row>
    <row r="2018" ht="38.25" customHeight="1">
      <c r="A2018" t="inlineStr">
        <is>
          <t>ssp上海学生英文报2026分类话题训练寒假合刊小学初高中寒假作业</t>
        </is>
      </c>
      <c r="B2018" t="inlineStr">
        <is>
          <t>recvdJN6ain6EW.jpg</t>
        </is>
      </c>
      <c r="C2018" s="2" t="str">
        <f>=HYPERLINK("https://xhslink.com/m/ARao005nxB7", "https://xhslink.com/m/ARao005nxB7")</f>
        <v>https://xhslink.com/m/ARao005nxB7</v>
      </c>
      <c r="D2018"/>
      <c r="E2018">
        <v>2743</v>
      </c>
      <c r="F2018">
        <v>378</v>
      </c>
      <c r="G2018"/>
      <c r="H2018">
        <v>2000</v>
      </c>
      <c r="I2018">
        <v>1000</v>
      </c>
      <c r="J2018"/>
      <c r="K2018" t="inlineStr">
        <is>
          <t>小学资料</t>
        </is>
      </c>
      <c r="L2018"/>
      <c r="M2018" t="inlineStr">
        <is>
          <t>慈怀书店的店</t>
        </is>
      </c>
      <c r="N2018">
        <v>5892</v>
      </c>
      <c r="O2018">
        <v>4.75</v>
      </c>
      <c r="P2018">
        <v>28000</v>
      </c>
      <c r="Q2018" t="inlineStr">
        <is>
          <t>6948f843b1e666000148263c</t>
        </is>
      </c>
      <c r="R2018" t="inlineStr">
        <is>
          <t>🚫重复</t>
        </is>
      </c>
      <c r="S2018" t="inlineStr">
        <is>
          <t>中小学教辅/教材</t>
        </is>
      </c>
      <c r="T2018" t="inlineStr">
        <is>
          <t>0.47</t>
        </is>
      </c>
      <c r="U2018" s="3">
        <v>46112.78107638889</v>
      </c>
      <c r="V2018"/>
      <c r="W2018" s="3">
        <v>46094</v>
      </c>
      <c r="X2018" t="inlineStr">
        <is>
          <t>03</t>
        </is>
      </c>
      <c r="Y2018" t="inlineStr">
        <is>
          <t>2026-Q1</t>
        </is>
      </c>
    </row>
    <row r="2019" ht="38.25" customHeight="1">
      <c r="A2019" t="inlineStr">
        <is>
          <t>944 小学四年级下册语文期末全册重点知识点汇总梳理</t>
        </is>
      </c>
      <c r="B2019" t="inlineStr">
        <is>
          <t>recvdJN6aiQ8Sl.jpg</t>
        </is>
      </c>
      <c r="C2019" s="2" t="str">
        <f>=HYPERLINK("https://xhslink.com/m/6iUwpSuEhJu", "https://xhslink.com/m/6iUwpSuEhJu")</f>
        <v>https://xhslink.com/m/6iUwpSuEhJu</v>
      </c>
      <c r="D2019"/>
      <c r="E2019">
        <v>2439</v>
      </c>
      <c r="F2019">
        <v>28.8</v>
      </c>
      <c r="G2019"/>
      <c r="H2019">
        <v>100</v>
      </c>
      <c r="I2019">
        <v>1000</v>
      </c>
      <c r="J2019"/>
      <c r="K2019" t="inlineStr">
        <is>
          <t>小学资料</t>
        </is>
      </c>
      <c r="L2019"/>
      <c r="M2019" t="inlineStr">
        <is>
          <t>1-6年级班班小课堂的店</t>
        </is>
      </c>
      <c r="N2019">
        <v>7944</v>
      </c>
      <c r="O2019">
        <v>4.5</v>
      </c>
      <c r="P2019">
        <v>18000</v>
      </c>
      <c r="Q2019" t="inlineStr">
        <is>
          <t>6795d23629b9f70001fa6446</t>
        </is>
      </c>
      <c r="R2019"/>
      <c r="S2019" t="inlineStr">
        <is>
          <t>中小学教辅/教材</t>
        </is>
      </c>
      <c r="T2019" t="inlineStr">
        <is>
          <t>0.31</t>
        </is>
      </c>
      <c r="U2019" s="3">
        <v>46112.78107638889</v>
      </c>
      <c r="V2019"/>
      <c r="W2019" s="3">
        <v>46094</v>
      </c>
      <c r="X2019" t="inlineStr">
        <is>
          <t>03</t>
        </is>
      </c>
      <c r="Y2019" t="inlineStr">
        <is>
          <t>2026-Q1</t>
        </is>
      </c>
    </row>
    <row r="2020" ht="38.25" customHeight="1">
      <c r="A2020" t="inlineStr">
        <is>
          <t>2026新版小学语文一二三四五六年级上下册级资料包</t>
        </is>
      </c>
      <c r="B2020" t="inlineStr">
        <is>
          <t>recvdJN6aidWEJ.jpg</t>
        </is>
      </c>
      <c r="C2020" s="2" t="str">
        <f>=HYPERLINK("https://xhslink.com/m/AEF1viHgSl8", "https://xhslink.com/m/AEF1viHgSl8")</f>
        <v>https://xhslink.com/m/AEF1viHgSl8</v>
      </c>
      <c r="D2020"/>
      <c r="E2020">
        <v>2326</v>
      </c>
      <c r="F2020">
        <v>46.6</v>
      </c>
      <c r="G2020"/>
      <c r="H2020">
        <v>700</v>
      </c>
      <c r="I2020">
        <v>1000</v>
      </c>
      <c r="J2020"/>
      <c r="K2020" t="inlineStr">
        <is>
          <t>小学资料</t>
        </is>
      </c>
      <c r="L2020"/>
      <c r="M2020" t="inlineStr">
        <is>
          <t>晓晓老师成长记的店</t>
        </is>
      </c>
      <c r="N2020">
        <v>11000</v>
      </c>
      <c r="O2020">
        <v>4.53</v>
      </c>
      <c r="P2020">
        <v>4344</v>
      </c>
      <c r="Q2020" t="inlineStr">
        <is>
          <t>69061f15becfcc00018a5fc3</t>
        </is>
      </c>
      <c r="R2020" t="inlineStr">
        <is>
          <t>🚫重复</t>
        </is>
      </c>
      <c r="S2020" t="inlineStr">
        <is>
          <t>中小学教辅/教材</t>
        </is>
      </c>
      <c r="T2020" t="inlineStr">
        <is>
          <t>0.21</t>
        </is>
      </c>
      <c r="U2020" s="3">
        <v>46112.78107638889</v>
      </c>
      <c r="V2020"/>
      <c r="W2020" s="3">
        <v>46094</v>
      </c>
      <c r="X2020" t="inlineStr">
        <is>
          <t>03</t>
        </is>
      </c>
      <c r="Y2020" t="inlineStr">
        <is>
          <t>2026-Q1</t>
        </is>
      </c>
    </row>
    <row r="2021" ht="38.25" customHeight="1">
      <c r="A2021" t="inlineStr">
        <is>
          <t>三年级语文笔记三年级数学笔记课堂笔记备课笔记手写笔记总结复</t>
        </is>
      </c>
      <c r="B2021" t="inlineStr">
        <is>
          <t>__upload_recvdJN6ai9ECL.jpg</t>
        </is>
      </c>
      <c r="C2021" s="2" t="str">
        <f>=HYPERLINK("https://xhslink.com/m/5UfertvqXQ4", "https://xhslink.com/m/5UfertvqXQ4")</f>
        <v>https://xhslink.com/m/5UfertvqXQ4</v>
      </c>
      <c r="D2021"/>
      <c r="E2021">
        <v>2246</v>
      </c>
      <c r="F2021">
        <v>75.8</v>
      </c>
      <c r="G2021"/>
      <c r="H2021">
        <v>800</v>
      </c>
      <c r="I2021">
        <v>1000</v>
      </c>
      <c r="J2021">
        <v>100</v>
      </c>
      <c r="K2021" t="inlineStr">
        <is>
          <t>小学资料</t>
        </is>
      </c>
      <c r="L2021"/>
      <c r="M2021" t="inlineStr">
        <is>
          <t>美兰婉本的店</t>
        </is>
      </c>
      <c r="N2021">
        <v>4803</v>
      </c>
      <c r="O2021">
        <v>4.64</v>
      </c>
      <c r="P2021">
        <v>15000</v>
      </c>
      <c r="Q2021" t="inlineStr">
        <is>
          <t>69130a7a1b78790001dfcd8b</t>
        </is>
      </c>
      <c r="R2021"/>
      <c r="S2021" t="inlineStr">
        <is>
          <t>中小学教辅/教材</t>
        </is>
      </c>
      <c r="T2021" t="inlineStr">
        <is>
          <t>0.47</t>
        </is>
      </c>
      <c r="U2021" s="3">
        <v>46112.78107638889</v>
      </c>
      <c r="V2021"/>
      <c r="W2021" s="3">
        <v>46094</v>
      </c>
      <c r="X2021" t="inlineStr">
        <is>
          <t>03</t>
        </is>
      </c>
      <c r="Y2021" t="inlineStr">
        <is>
          <t>2026-Q1</t>
        </is>
      </c>
    </row>
    <row r="2022" ht="38.25" customHeight="1">
      <c r="A2022" t="inlineStr">
        <is>
          <t>2025新人教版小学数学讲义一二三四五六年级上下册练习知识点梳理</t>
        </is>
      </c>
      <c r="B2022" t="inlineStr">
        <is>
          <t>__upload_recvdJN6aiPsOb.jpg</t>
        </is>
      </c>
      <c r="C2022" s="2" t="str">
        <f>=HYPERLINK("https://xhslink.com/m/3QNy7RoeQrE", "https://xhslink.com/m/3QNy7RoeQrE")</f>
        <v>https://xhslink.com/m/3QNy7RoeQrE</v>
      </c>
      <c r="D2022"/>
      <c r="E2022">
        <v>1721</v>
      </c>
      <c r="F2022">
        <v>39.9</v>
      </c>
      <c r="G2022"/>
      <c r="H2022">
        <v>300</v>
      </c>
      <c r="I2022">
        <v>1000</v>
      </c>
      <c r="J2022">
        <v>100</v>
      </c>
      <c r="K2022" t="inlineStr">
        <is>
          <t>小学资料</t>
        </is>
      </c>
      <c r="L2022" t="inlineStr">
        <is>
          <t>🔥低粉爆款</t>
        </is>
      </c>
      <c r="M2022" t="inlineStr">
        <is>
          <t>月月老师资料分享的店</t>
        </is>
      </c>
      <c r="N2022">
        <v>191</v>
      </c>
      <c r="O2022">
        <v>4.08</v>
      </c>
      <c r="P2022">
        <v>2662</v>
      </c>
      <c r="Q2022" t="inlineStr">
        <is>
          <t>6890cb4e0e13d500016e034a</t>
        </is>
      </c>
      <c r="R2022"/>
      <c r="S2022" t="inlineStr">
        <is>
          <t>中小学教辅/教材</t>
        </is>
      </c>
      <c r="T2022" t="inlineStr">
        <is>
          <t>9.01</t>
        </is>
      </c>
      <c r="U2022" s="3">
        <v>46112.78107638889</v>
      </c>
      <c r="V2022"/>
      <c r="W2022" s="3">
        <v>46094</v>
      </c>
      <c r="X2022" t="inlineStr">
        <is>
          <t>03</t>
        </is>
      </c>
      <c r="Y2022" t="inlineStr">
        <is>
          <t>2026-Q1</t>
        </is>
      </c>
    </row>
    <row r="2023" ht="38.25" customHeight="1">
      <c r="A2023" t="inlineStr">
        <is>
          <t>【336】25年三年级数学寒假每日一练（30天附答案）</t>
        </is>
      </c>
      <c r="B2023" t="inlineStr">
        <is>
          <t>__upload_recvdJN6aiUTGO.jpg</t>
        </is>
      </c>
      <c r="C2023" s="2" t="str">
        <f>=HYPERLINK("https://xhslink.com/m/2CQM9MFzbnM", "https://xhslink.com/m/2CQM9MFzbnM")</f>
        <v>https://xhslink.com/m/2CQM9MFzbnM</v>
      </c>
      <c r="D2023"/>
      <c r="E2023">
        <v>1355</v>
      </c>
      <c r="F2023">
        <v>3.6</v>
      </c>
      <c r="G2023"/>
      <c r="H2023">
        <v>100</v>
      </c>
      <c r="I2023">
        <v>1000</v>
      </c>
      <c r="J2023">
        <v>100</v>
      </c>
      <c r="K2023" t="inlineStr">
        <is>
          <t>小学资料</t>
        </is>
      </c>
      <c r="L2023"/>
      <c r="M2023" t="inlineStr">
        <is>
          <t>🍊橙子老师的店</t>
        </is>
      </c>
      <c r="N2023">
        <v>10000</v>
      </c>
      <c r="O2023">
        <v>4.13</v>
      </c>
      <c r="P2023">
        <v>27000</v>
      </c>
      <c r="Q2023" t="inlineStr">
        <is>
          <t>67755609ae8d7c00019a15e5</t>
        </is>
      </c>
      <c r="R2023"/>
      <c r="S2023" t="inlineStr">
        <is>
          <t>中小学教辅/教材</t>
        </is>
      </c>
      <c r="T2023" t="inlineStr">
        <is>
          <t>0.14</t>
        </is>
      </c>
      <c r="U2023" s="3">
        <v>46112.78107638889</v>
      </c>
      <c r="V2023"/>
      <c r="W2023" s="3">
        <v>46094</v>
      </c>
      <c r="X2023" t="inlineStr">
        <is>
          <t>03</t>
        </is>
      </c>
      <c r="Y2023" t="inlineStr">
        <is>
          <t>2026-Q1</t>
        </is>
      </c>
    </row>
    <row r="2024" ht="38.25" customHeight="1">
      <c r="A2024" t="inlineStr">
        <is>
          <t>华罗庚学校数学课本小学初中奥数自学启蒙老教材思维训练教辅书</t>
        </is>
      </c>
      <c r="B2024" t="inlineStr">
        <is>
          <t>__upload_recvdJN6aiTzLm.jpg</t>
        </is>
      </c>
      <c r="C2024" s="2" t="str">
        <f>=HYPERLINK("https://xhslink.com/m/65kXgAictOp", "https://xhslink.com/m/65kXgAictOp")</f>
        <v>https://xhslink.com/m/65kXgAictOp</v>
      </c>
      <c r="D2024"/>
      <c r="E2024">
        <v>1243</v>
      </c>
      <c r="F2024">
        <v>105.88</v>
      </c>
      <c r="G2024"/>
      <c r="H2024">
        <v>350</v>
      </c>
      <c r="I2024">
        <v>1000</v>
      </c>
      <c r="J2024">
        <v>100</v>
      </c>
      <c r="K2024" t="inlineStr">
        <is>
          <t>小学资料</t>
        </is>
      </c>
      <c r="L2024" t="inlineStr">
        <is>
          <t>🔥低粉爆款</t>
        </is>
      </c>
      <c r="M2024" t="inlineStr">
        <is>
          <t>学有所获的店</t>
        </is>
      </c>
      <c r="N2024">
        <v>185</v>
      </c>
      <c r="O2024">
        <v>4.66</v>
      </c>
      <c r="P2024">
        <v>1258</v>
      </c>
      <c r="Q2024" t="inlineStr">
        <is>
          <t>6919587993e3a600012f19e4</t>
        </is>
      </c>
      <c r="R2024" t="inlineStr">
        <is>
          <t>🚫重复</t>
        </is>
      </c>
      <c r="S2024" t="inlineStr">
        <is>
          <t>中小学教辅/教材</t>
        </is>
      </c>
      <c r="T2024" t="inlineStr">
        <is>
          <t>6.72</t>
        </is>
      </c>
      <c r="U2024" s="3">
        <v>46112.78107638889</v>
      </c>
      <c r="V2024"/>
      <c r="W2024" s="3">
        <v>46094</v>
      </c>
      <c r="X2024" t="inlineStr">
        <is>
          <t>03</t>
        </is>
      </c>
      <c r="Y2024" t="inlineStr">
        <is>
          <t>2026-Q1</t>
        </is>
      </c>
    </row>
    <row r="2025" ht="38.25" customHeight="1">
      <c r="A2025" t="inlineStr">
        <is>
          <t>2025秋季新版语文一二三四五六年级上册期末复习资料知识点归纳</t>
        </is>
      </c>
      <c r="B2025" t="inlineStr">
        <is>
          <t>__upload_recvdJN6aiQzve.jpg</t>
        </is>
      </c>
      <c r="C2025" s="2" t="str">
        <f>=HYPERLINK("https://xhslink.com/m/GeFrPhaeY0", "https://xhslink.com/m/GeFrPhaeY0")</f>
        <v>https://xhslink.com/m/GeFrPhaeY0</v>
      </c>
      <c r="D2025"/>
      <c r="E2025">
        <v>1021</v>
      </c>
      <c r="F2025">
        <v>15.9</v>
      </c>
      <c r="G2025"/>
      <c r="H2025">
        <v>300</v>
      </c>
      <c r="I2025">
        <v>1000</v>
      </c>
      <c r="J2025">
        <v>100</v>
      </c>
      <c r="K2025" t="inlineStr">
        <is>
          <t>小学资料</t>
        </is>
      </c>
      <c r="L2025"/>
      <c r="M2025" t="inlineStr">
        <is>
          <t>教案补给站李老师的店</t>
        </is>
      </c>
      <c r="N2025">
        <v>6043</v>
      </c>
      <c r="O2025">
        <v>4.58</v>
      </c>
      <c r="P2025">
        <v>7725</v>
      </c>
      <c r="Q2025" t="inlineStr">
        <is>
          <t>692d0f502aa9d0000120bb0c</t>
        </is>
      </c>
      <c r="R2025" t="inlineStr">
        <is>
          <t>🚫重复</t>
        </is>
      </c>
      <c r="S2025" t="inlineStr">
        <is>
          <t>中小学教辅/教材</t>
        </is>
      </c>
      <c r="T2025" t="inlineStr">
        <is>
          <t>0.17</t>
        </is>
      </c>
      <c r="U2025" s="3">
        <v>46112.78107638889</v>
      </c>
      <c r="V2025"/>
      <c r="W2025" s="3">
        <v>46094</v>
      </c>
      <c r="X2025" t="inlineStr">
        <is>
          <t>03</t>
        </is>
      </c>
      <c r="Y2025" t="inlineStr">
        <is>
          <t>2026-Q1</t>
        </is>
      </c>
    </row>
    <row r="2026" ht="38.25" customHeight="1">
      <c r="A2026" t="inlineStr">
        <is>
          <t>1118 小学一年级下册数学五大常考重点专项练习含答案</t>
        </is>
      </c>
      <c r="B2026" t="inlineStr">
        <is>
          <t>__upload_recvdJN6aiTwtG.jpg</t>
        </is>
      </c>
      <c r="C2026" s="2" t="str">
        <f>=HYPERLINK("https://xhslink.com/m/3BDUtKlPbT4", "https://xhslink.com/m/3BDUtKlPbT4")</f>
        <v>https://xhslink.com/m/3BDUtKlPbT4</v>
      </c>
      <c r="D2026"/>
      <c r="E2026">
        <v>928</v>
      </c>
      <c r="F2026">
        <v>28.8</v>
      </c>
      <c r="G2026"/>
      <c r="H2026">
        <v>100</v>
      </c>
      <c r="I2026"/>
      <c r="J2026">
        <v>100</v>
      </c>
      <c r="K2026" t="inlineStr">
        <is>
          <t>小学资料</t>
        </is>
      </c>
      <c r="L2026"/>
      <c r="M2026" t="inlineStr">
        <is>
          <t>玥玥麻麻学习资料用品的店</t>
        </is>
      </c>
      <c r="N2026">
        <v>2803</v>
      </c>
      <c r="O2026">
        <v>4.56</v>
      </c>
      <c r="P2026">
        <v>5858</v>
      </c>
      <c r="Q2026" t="inlineStr">
        <is>
          <t>67bbd876cb5e420001215308</t>
        </is>
      </c>
      <c r="R2026"/>
      <c r="S2026" t="inlineStr">
        <is>
          <t>中小学教辅/教材</t>
        </is>
      </c>
      <c r="T2026" t="inlineStr">
        <is>
          <t>0.33</t>
        </is>
      </c>
      <c r="U2026" s="3">
        <v>46112.78107638889</v>
      </c>
      <c r="V2026"/>
      <c r="W2026" s="3">
        <v>46094</v>
      </c>
      <c r="X2026" t="inlineStr">
        <is>
          <t>03</t>
        </is>
      </c>
      <c r="Y2026" t="inlineStr">
        <is>
          <t>2026-Q1</t>
        </is>
      </c>
    </row>
    <row r="2027" ht="38.25" customHeight="1">
      <c r="A2027" t="inlineStr">
        <is>
          <t>初中文言文实词虚词速记小册·138个核心实词虚词基础练习</t>
        </is>
      </c>
      <c r="B2027" t="inlineStr">
        <is>
          <t>__upload_recvdJN6aiK22g.jpg</t>
        </is>
      </c>
      <c r="C2027" s="2" t="str">
        <f>=HYPERLINK("https://xhslink.com/m/3RMrvjGg4lF", "https://xhslink.com/m/3RMrvjGg4lF")</f>
        <v>https://xhslink.com/m/3RMrvjGg4lF</v>
      </c>
      <c r="D2027"/>
      <c r="E2027">
        <v>953</v>
      </c>
      <c r="F2027">
        <v>59.9</v>
      </c>
      <c r="G2027"/>
      <c r="H2027">
        <v>150</v>
      </c>
      <c r="I2027"/>
      <c r="J2027">
        <v>100</v>
      </c>
      <c r="K2027" t="inlineStr">
        <is>
          <t>小学资料</t>
        </is>
      </c>
      <c r="L2027"/>
      <c r="M2027" t="inlineStr">
        <is>
          <t>牧羊人甄选教辅的店</t>
        </is>
      </c>
      <c r="N2027">
        <v>329</v>
      </c>
      <c r="O2027">
        <v>4.11</v>
      </c>
      <c r="P2027">
        <v>1023</v>
      </c>
      <c r="Q2027" t="inlineStr">
        <is>
          <t>6969e2231d37860001d25d9a</t>
        </is>
      </c>
      <c r="R2027"/>
      <c r="S2027" t="inlineStr">
        <is>
          <t>中小学教辅/教材</t>
        </is>
      </c>
      <c r="T2027" t="inlineStr">
        <is>
          <t>2.90</t>
        </is>
      </c>
      <c r="U2027" s="3">
        <v>46112.78107638889</v>
      </c>
      <c r="V2027"/>
      <c r="W2027" s="3">
        <v>46094</v>
      </c>
      <c r="X2027" t="inlineStr">
        <is>
          <t>03</t>
        </is>
      </c>
      <c r="Y2027" t="inlineStr">
        <is>
          <t>2026-Q1</t>
        </is>
      </c>
    </row>
    <row r="2028" ht="38.25" customHeight="1">
      <c r="A2028" t="inlineStr">
        <is>
          <t>教师结构化专用资料（三份）【自动发货】</t>
        </is>
      </c>
      <c r="B2028" t="inlineStr">
        <is>
          <t>recvdJN6aiWotr.jpg</t>
        </is>
      </c>
      <c r="C2028" s="2" t="str">
        <f>=HYPERLINK("https://xhslink.com/m/5bPMOwsILUQ", "https://xhslink.com/m/5bPMOwsILUQ")</f>
        <v>https://xhslink.com/m/5bPMOwsILUQ</v>
      </c>
      <c r="D2028"/>
      <c r="E2028">
        <v>10000</v>
      </c>
      <c r="F2028">
        <v>48.9</v>
      </c>
      <c r="G2028"/>
      <c r="H2028">
        <v>200</v>
      </c>
      <c r="I2028"/>
      <c r="J2028"/>
      <c r="K2028" t="inlineStr">
        <is>
          <t>老师资料</t>
        </is>
      </c>
      <c r="L2028"/>
      <c r="M2028" t="inlineStr">
        <is>
          <t>上岸小case啦（资料版）的店</t>
        </is>
      </c>
      <c r="N2028">
        <v>9567</v>
      </c>
      <c r="O2028">
        <v>4.12</v>
      </c>
      <c r="P2028">
        <v>10000</v>
      </c>
      <c r="Q2028" t="inlineStr">
        <is>
          <t>6662cddf646d150001c39478</t>
        </is>
      </c>
      <c r="R2028" t="inlineStr">
        <is>
          <t>🚫重复</t>
        </is>
      </c>
      <c r="S2028" t="inlineStr">
        <is>
          <t>老师资料</t>
        </is>
      </c>
      <c r="T2028" t="inlineStr">
        <is>
          <t>1.05</t>
        </is>
      </c>
      <c r="U2028" s="3">
        <v>46112.78107638889</v>
      </c>
      <c r="V2028"/>
      <c r="W2028" s="3">
        <v>46094</v>
      </c>
      <c r="X2028" t="inlineStr">
        <is>
          <t>03</t>
        </is>
      </c>
      <c r="Y2028" t="inlineStr">
        <is>
          <t>2026-Q1</t>
        </is>
      </c>
    </row>
    <row r="2029" ht="38.25" customHeight="1">
      <c r="A2029" t="inlineStr">
        <is>
          <t>上岸熊 · 高中教资笔试科一科二科三学霸笔记/网课/历年真题(26上新版)</t>
        </is>
      </c>
      <c r="B2029" t="inlineStr">
        <is>
          <t>recvdJN6aismTO.jpg</t>
        </is>
      </c>
      <c r="C2029" s="2" t="str">
        <f>=HYPERLINK("https://xhslink.com/m/3zMvlhQdd4J", "https://xhslink.com/m/3zMvlhQdd4J")</f>
        <v>https://xhslink.com/m/3zMvlhQdd4J</v>
      </c>
      <c r="D2029"/>
      <c r="E2029">
        <v>5391</v>
      </c>
      <c r="F2029">
        <v>49.8</v>
      </c>
      <c r="G2029"/>
      <c r="H2029">
        <v>550</v>
      </c>
      <c r="I2029"/>
      <c r="J2029"/>
      <c r="K2029" t="inlineStr">
        <is>
          <t>老师资料</t>
        </is>
      </c>
      <c r="L2029"/>
      <c r="M2029" t="inlineStr">
        <is>
          <t>子悠学姐（资料版）的店</t>
        </is>
      </c>
      <c r="N2029">
        <v>6246</v>
      </c>
      <c r="O2029">
        <v>4.43</v>
      </c>
      <c r="P2029">
        <v>54000</v>
      </c>
      <c r="Q2029" t="inlineStr">
        <is>
          <t>6969057b5c204c00019075a3</t>
        </is>
      </c>
      <c r="R2029" t="inlineStr">
        <is>
          <t>🚫重复</t>
        </is>
      </c>
      <c r="S2029" t="inlineStr">
        <is>
          <t>教资资料</t>
        </is>
      </c>
      <c r="T2029" t="inlineStr">
        <is>
          <t>0.86</t>
        </is>
      </c>
      <c r="U2029" s="3">
        <v>46112.78107638889</v>
      </c>
      <c r="V2029"/>
      <c r="W2029" s="3">
        <v>46094</v>
      </c>
      <c r="X2029" t="inlineStr">
        <is>
          <t>03</t>
        </is>
      </c>
      <c r="Y2029" t="inlineStr">
        <is>
          <t>2026-Q1</t>
        </is>
      </c>
    </row>
    <row r="2030" ht="38.25" customHeight="1">
      <c r="A2030" t="inlineStr">
        <is>
          <t>【小高老师爱分享】七年级（上）手写笔记.PDF</t>
        </is>
      </c>
      <c r="B2030" t="inlineStr">
        <is>
          <t>recvdJN6aicTjY.jpg</t>
        </is>
      </c>
      <c r="C2030" s="2" t="str">
        <f>=HYPERLINK("https://xhslink.com/m/8cLYRBAtWPK", "https://xhslink.com/m/8cLYRBAtWPK")</f>
        <v>https://xhslink.com/m/8cLYRBAtWPK</v>
      </c>
      <c r="D2030"/>
      <c r="E2030">
        <v>4342</v>
      </c>
      <c r="F2030">
        <v>35</v>
      </c>
      <c r="G2030"/>
      <c r="H2030">
        <v>100</v>
      </c>
      <c r="I2030"/>
      <c r="J2030"/>
      <c r="K2030" t="inlineStr">
        <is>
          <t>老师资料</t>
        </is>
      </c>
      <c r="L2030"/>
      <c r="M2030" t="inlineStr">
        <is>
          <t>小高老师资料分享的店</t>
        </is>
      </c>
      <c r="N2030">
        <v>6816</v>
      </c>
      <c r="O2030">
        <v>4.47</v>
      </c>
      <c r="P2030">
        <v>14000</v>
      </c>
      <c r="Q2030" t="inlineStr">
        <is>
          <t>66aa8f65afd46200018af3ee</t>
        </is>
      </c>
      <c r="R2030"/>
      <c r="S2030" t="inlineStr">
        <is>
          <t>中小学教辅/教材</t>
        </is>
      </c>
      <c r="T2030" t="inlineStr">
        <is>
          <t>0.64</t>
        </is>
      </c>
      <c r="U2030" s="3">
        <v>46112.78107638889</v>
      </c>
      <c r="V2030"/>
      <c r="W2030" s="3">
        <v>46094</v>
      </c>
      <c r="X2030" t="inlineStr">
        <is>
          <t>03</t>
        </is>
      </c>
      <c r="Y2030" t="inlineStr">
        <is>
          <t>2026-Q1</t>
        </is>
      </c>
    </row>
    <row r="2031" ht="38.25" customHeight="1">
      <c r="A2031" t="inlineStr">
        <is>
          <t>2026教师资格证备考刷题题库激活码 官方正版激活码</t>
        </is>
      </c>
      <c r="B2031" t="inlineStr">
        <is>
          <t>recvdJN6ai3Rwn.jpg</t>
        </is>
      </c>
      <c r="C2031" s="2" t="str">
        <f>=HYPERLINK("https://xhslink.com/m/8BNkPiv3VmS", "https://xhslink.com/m/8BNkPiv3VmS")</f>
        <v>https://xhslink.com/m/8BNkPiv3VmS</v>
      </c>
      <c r="D2031"/>
      <c r="E2031">
        <v>3493</v>
      </c>
      <c r="F2031">
        <v>56.9</v>
      </c>
      <c r="G2031"/>
      <c r="H2031">
        <v>100</v>
      </c>
      <c r="I2031">
        <v>1000</v>
      </c>
      <c r="J2031"/>
      <c r="K2031" t="inlineStr">
        <is>
          <t>老师资料</t>
        </is>
      </c>
      <c r="L2031"/>
      <c r="M2031" t="inlineStr">
        <is>
          <t>吃葡萄不吐皮a的店</t>
        </is>
      </c>
      <c r="N2031">
        <v>2162</v>
      </c>
      <c r="O2031">
        <v>4.37</v>
      </c>
      <c r="P2031">
        <v>6950</v>
      </c>
      <c r="Q2031" t="inlineStr">
        <is>
          <t>67b401b0db1dc1000108a922</t>
        </is>
      </c>
      <c r="R2031" t="inlineStr">
        <is>
          <t>🚫重复</t>
        </is>
      </c>
      <c r="S2031" t="inlineStr">
        <is>
          <t>教资资料</t>
        </is>
      </c>
      <c r="T2031" t="inlineStr">
        <is>
          <t>1.62</t>
        </is>
      </c>
      <c r="U2031" s="3">
        <v>46112.78107638889</v>
      </c>
      <c r="V2031"/>
      <c r="W2031" s="3">
        <v>46094</v>
      </c>
      <c r="X2031" t="inlineStr">
        <is>
          <t>03</t>
        </is>
      </c>
      <c r="Y2031" t="inlineStr">
        <is>
          <t>2026-Q1</t>
        </is>
      </c>
    </row>
    <row r="2032" ht="38.25" customHeight="1">
      <c r="A2032" t="inlineStr">
        <is>
          <t>林林老师小学语文笔记本册（合集）</t>
        </is>
      </c>
      <c r="B2032" t="inlineStr">
        <is>
          <t>recvdJN6aiaRa2.jpg</t>
        </is>
      </c>
      <c r="C2032" s="2" t="str">
        <f>=HYPERLINK("https://xhslink.com/m/7UNI9Ua3FiX", "https://xhslink.com/m/7UNI9Ua3FiX")</f>
        <v>https://xhslink.com/m/7UNI9Ua3FiX</v>
      </c>
      <c r="D2032"/>
      <c r="E2032">
        <v>3529</v>
      </c>
      <c r="F2032">
        <v>39.9</v>
      </c>
      <c r="G2032"/>
      <c r="H2032">
        <v>750</v>
      </c>
      <c r="I2032">
        <v>1000</v>
      </c>
      <c r="J2032"/>
      <c r="K2032" t="inlineStr">
        <is>
          <t>老师资料</t>
        </is>
      </c>
      <c r="L2032"/>
      <c r="M2032" t="inlineStr">
        <is>
          <t>林林老师的店</t>
        </is>
      </c>
      <c r="N2032">
        <v>183000</v>
      </c>
      <c r="O2032">
        <v>4.84</v>
      </c>
      <c r="P2032">
        <v>50000</v>
      </c>
      <c r="Q2032" t="inlineStr">
        <is>
          <t>6948a72b6a3f3f000130115b</t>
        </is>
      </c>
      <c r="R2032" t="inlineStr">
        <is>
          <t>🚫重复</t>
        </is>
      </c>
      <c r="S2032" t="inlineStr">
        <is>
          <t>中小学教辅/教材</t>
        </is>
      </c>
      <c r="T2032" t="inlineStr">
        <is>
          <t>0.02</t>
        </is>
      </c>
      <c r="U2032" s="3">
        <v>46112.78107638889</v>
      </c>
      <c r="V2032"/>
      <c r="W2032" s="3">
        <v>46094</v>
      </c>
      <c r="X2032" t="inlineStr">
        <is>
          <t>03</t>
        </is>
      </c>
      <c r="Y2032" t="inlineStr">
        <is>
          <t>2026-Q1</t>
        </is>
      </c>
    </row>
    <row r="2033" ht="38.25" customHeight="1">
      <c r="A2033" t="inlineStr">
        <is>
          <t>上岸熊·26上教资笔试中学科三重点笔记/精讲课</t>
        </is>
      </c>
      <c r="B2033" t="inlineStr">
        <is>
          <t>recvdJN6aiMJzu.jpg</t>
        </is>
      </c>
      <c r="C2033" s="2" t="str">
        <f>=HYPERLINK("https://xhslink.com/m/55WWbMYHIdv", "https://xhslink.com/m/55WWbMYHIdv")</f>
        <v>https://xhslink.com/m/55WWbMYHIdv</v>
      </c>
      <c r="D2033"/>
      <c r="E2033">
        <v>2700</v>
      </c>
      <c r="F2033">
        <v>59.9</v>
      </c>
      <c r="G2033"/>
      <c r="H2033">
        <v>600</v>
      </c>
      <c r="I2033">
        <v>1000</v>
      </c>
      <c r="J2033"/>
      <c r="K2033" t="inlineStr">
        <is>
          <t>老师资料</t>
        </is>
      </c>
      <c r="L2033"/>
      <c r="M2033" t="inlineStr">
        <is>
          <t>珞珞Y资料库的店</t>
        </is>
      </c>
      <c r="N2033">
        <v>6458</v>
      </c>
      <c r="O2033">
        <v>4.69</v>
      </c>
      <c r="P2033">
        <v>18000</v>
      </c>
      <c r="Q2033" t="inlineStr">
        <is>
          <t>681ad64a0e004a00010767be</t>
        </is>
      </c>
      <c r="R2033" t="inlineStr">
        <is>
          <t>🚫重复</t>
        </is>
      </c>
      <c r="S2033" t="inlineStr">
        <is>
          <t>教资资料</t>
        </is>
      </c>
      <c r="T2033" t="inlineStr">
        <is>
          <t>0.42</t>
        </is>
      </c>
      <c r="U2033" s="3">
        <v>46112.78107638889</v>
      </c>
      <c r="V2033"/>
      <c r="W2033" s="3">
        <v>46094</v>
      </c>
      <c r="X2033" t="inlineStr">
        <is>
          <t>03</t>
        </is>
      </c>
      <c r="Y2033" t="inlineStr">
        <is>
          <t>2026-Q1</t>
        </is>
      </c>
    </row>
    <row r="2034" ht="38.25" customHeight="1">
      <c r="A2034" t="inlineStr">
        <is>
          <t>新人教版初中七八九年级各科知识点早背晚默小纸条电子版资料</t>
        </is>
      </c>
      <c r="B2034" t="inlineStr">
        <is>
          <t>recvdJN6aiWJXW.jpg</t>
        </is>
      </c>
      <c r="C2034" s="2" t="str">
        <f>=HYPERLINK("https://xhslink.com/m/1RjzFaWiovU", "https://xhslink.com/m/1RjzFaWiovU")</f>
        <v>https://xhslink.com/m/1RjzFaWiovU</v>
      </c>
      <c r="D2034"/>
      <c r="E2034">
        <v>1509</v>
      </c>
      <c r="F2034">
        <v>39.99</v>
      </c>
      <c r="G2034"/>
      <c r="H2034">
        <v>550</v>
      </c>
      <c r="I2034">
        <v>1000</v>
      </c>
      <c r="J2034"/>
      <c r="K2034" t="inlineStr">
        <is>
          <t>老师资料</t>
        </is>
      </c>
      <c r="L2034"/>
      <c r="M2034" t="inlineStr">
        <is>
          <t>朝阳老师优质资料的店</t>
        </is>
      </c>
      <c r="N2034">
        <v>734</v>
      </c>
      <c r="O2034">
        <v>4.48</v>
      </c>
      <c r="P2034">
        <v>2874</v>
      </c>
      <c r="Q2034" t="inlineStr">
        <is>
          <t>68fc3d88c074c5000129d326</t>
        </is>
      </c>
      <c r="R2034" t="inlineStr">
        <is>
          <t>🚫重复</t>
        </is>
      </c>
      <c r="S2034" t="inlineStr">
        <is>
          <t>中小学教辅/教材</t>
        </is>
      </c>
      <c r="T2034" t="inlineStr">
        <is>
          <t>2.06</t>
        </is>
      </c>
      <c r="U2034" s="3">
        <v>46112.78107638889</v>
      </c>
      <c r="V2034"/>
      <c r="W2034" s="3">
        <v>46094</v>
      </c>
      <c r="X2034" t="inlineStr">
        <is>
          <t>03</t>
        </is>
      </c>
      <c r="Y2034" t="inlineStr">
        <is>
          <t>2026-Q1</t>
        </is>
      </c>
    </row>
    <row r="2035" ht="38.25" customHeight="1">
      <c r="A2035" t="inlineStr">
        <is>
          <t>26上中小幼教资笔试/题库APP/刷题软件/精讲网课</t>
        </is>
      </c>
      <c r="B2035" t="inlineStr">
        <is>
          <t>recvdJN6aiaNgn.jpg</t>
        </is>
      </c>
      <c r="C2035" s="2" t="str">
        <f>=HYPERLINK("https://xhslink.com/m/6X1t1MPORYM", "https://xhslink.com/m/6X1t1MPORYM")</f>
        <v>https://xhslink.com/m/6X1t1MPORYM</v>
      </c>
      <c r="D2035"/>
      <c r="E2035">
        <v>1096</v>
      </c>
      <c r="F2035">
        <v>46.9</v>
      </c>
      <c r="G2035"/>
      <c r="H2035">
        <v>200</v>
      </c>
      <c r="I2035">
        <v>1000</v>
      </c>
      <c r="J2035"/>
      <c r="K2035" t="inlineStr">
        <is>
          <t>老师资料</t>
        </is>
      </c>
      <c r="L2035"/>
      <c r="M2035" t="inlineStr">
        <is>
          <t>遥远的牧场的店</t>
        </is>
      </c>
      <c r="N2035">
        <v>643</v>
      </c>
      <c r="O2035">
        <v>4.59</v>
      </c>
      <c r="P2035">
        <v>2807</v>
      </c>
      <c r="Q2035" t="inlineStr">
        <is>
          <t>686b2be54d489500011fc39d</t>
        </is>
      </c>
      <c r="R2035"/>
      <c r="S2035" t="inlineStr">
        <is>
          <t>教资资料</t>
        </is>
      </c>
      <c r="T2035" t="inlineStr">
        <is>
          <t>1.70</t>
        </is>
      </c>
      <c r="U2035" s="3">
        <v>46112.78107638889</v>
      </c>
      <c r="V2035"/>
      <c r="W2035" s="3">
        <v>46094</v>
      </c>
      <c r="X2035" t="inlineStr">
        <is>
          <t>03</t>
        </is>
      </c>
      <c r="Y2035" t="inlineStr">
        <is>
          <t>2026-Q1</t>
        </is>
      </c>
    </row>
    <row r="2036" ht="38.25" customHeight="1">
      <c r="A2036" t="inlineStr">
        <is>
          <t>初中学霸杨老师《几何模型通关手册视频课》精讲视频+督学营</t>
        </is>
      </c>
      <c r="B2036" t="inlineStr">
        <is>
          <t>recvdJN6aildpX.jpg</t>
        </is>
      </c>
      <c r="C2036" s="2" t="str">
        <f>=HYPERLINK("https://xhslink.com/m/6KKIvmQ0P7N", "https://xhslink.com/m/6KKIvmQ0P7N")</f>
        <v>https://xhslink.com/m/6KKIvmQ0P7N</v>
      </c>
      <c r="D2036"/>
      <c r="E2036">
        <v>915</v>
      </c>
      <c r="F2036">
        <v>139</v>
      </c>
      <c r="G2036"/>
      <c r="H2036">
        <v>100</v>
      </c>
      <c r="I2036"/>
      <c r="J2036"/>
      <c r="K2036" t="inlineStr">
        <is>
          <t>老师资料</t>
        </is>
      </c>
      <c r="L2036"/>
      <c r="M2036" t="inlineStr">
        <is>
          <t>初中数学杨老师的店</t>
        </is>
      </c>
      <c r="N2036">
        <v>7500</v>
      </c>
      <c r="O2036">
        <v>4.41</v>
      </c>
      <c r="P2036">
        <v>2233</v>
      </c>
      <c r="Q2036" t="inlineStr">
        <is>
          <t>67511a2e317fb100014393a3</t>
        </is>
      </c>
      <c r="R2036" t="inlineStr">
        <is>
          <t>🚫重复</t>
        </is>
      </c>
      <c r="S2036" t="inlineStr">
        <is>
          <t>中小学教辅/教材</t>
        </is>
      </c>
      <c r="T2036" t="inlineStr">
        <is>
          <t>0.12</t>
        </is>
      </c>
      <c r="U2036" s="3">
        <v>46112.78107638889</v>
      </c>
      <c r="V2036"/>
      <c r="W2036" s="3">
        <v>46094</v>
      </c>
      <c r="X2036" t="inlineStr">
        <is>
          <t>03</t>
        </is>
      </c>
      <c r="Y2036" t="inlineStr">
        <is>
          <t>2026-Q1</t>
        </is>
      </c>
    </row>
    <row r="2037" ht="38.25" customHeight="1">
      <c r="A2037" t="inlineStr">
        <is>
          <t>26南京教师编sw公共资料包及模拟卷</t>
        </is>
      </c>
      <c r="B2037" t="inlineStr">
        <is>
          <t>recvdJN6ainnb7.jpg</t>
        </is>
      </c>
      <c r="C2037" s="2" t="str">
        <f>=HYPERLINK("https://xhslink.com/m/6fXkhIn1DYr", "https://xhslink.com/m/6fXkhIn1DYr")</f>
        <v>https://xhslink.com/m/6fXkhIn1DYr</v>
      </c>
      <c r="D2037"/>
      <c r="E2037">
        <v>644</v>
      </c>
      <c r="F2037">
        <v>29.9</v>
      </c>
      <c r="G2037"/>
      <c r="H2037">
        <v>550</v>
      </c>
      <c r="I2037"/>
      <c r="J2037"/>
      <c r="K2037" t="inlineStr">
        <is>
          <t>老师资料</t>
        </is>
      </c>
      <c r="L2037"/>
      <c r="M2037" t="inlineStr">
        <is>
          <t>七七老师爱学习的店</t>
        </is>
      </c>
      <c r="N2037">
        <v>2043</v>
      </c>
      <c r="O2037">
        <v>4.59</v>
      </c>
      <c r="P2037">
        <v>10000</v>
      </c>
      <c r="Q2037" t="inlineStr">
        <is>
          <t>695873cba351230001041494</t>
        </is>
      </c>
      <c r="R2037"/>
      <c r="S2037" t="inlineStr">
        <is>
          <t>教资资料</t>
        </is>
      </c>
      <c r="T2037" t="inlineStr">
        <is>
          <t>0.32</t>
        </is>
      </c>
      <c r="U2037" s="3">
        <v>46112.78107638889</v>
      </c>
      <c r="V2037"/>
      <c r="W2037" s="3">
        <v>46094</v>
      </c>
      <c r="X2037" t="inlineStr">
        <is>
          <t>03</t>
        </is>
      </c>
      <c r="Y2037" t="inlineStr">
        <is>
          <t>2026-Q1</t>
        </is>
      </c>
    </row>
    <row r="2038" ht="38.25" customHeight="1">
      <c r="A2038" t="inlineStr">
        <is>
          <t>【凌风老师】26上语文科目三通关班（初高中通用）</t>
        </is>
      </c>
      <c r="B2038" t="inlineStr">
        <is>
          <t>recvdJN6aiLB4F.jpg</t>
        </is>
      </c>
      <c r="C2038" s="2" t="str">
        <f>=HYPERLINK("https://xhslink.com/m/6BPdl13bcI", "https://xhslink.com/m/6BPdl13bcI")</f>
        <v>https://xhslink.com/m/6BPdl13bcI</v>
      </c>
      <c r="D2038"/>
      <c r="E2038">
        <v>635</v>
      </c>
      <c r="F2038">
        <v>129</v>
      </c>
      <c r="G2038"/>
      <c r="H2038">
        <v>200</v>
      </c>
      <c r="I2038"/>
      <c r="J2038"/>
      <c r="K2038" t="inlineStr">
        <is>
          <t>老师资料</t>
        </is>
      </c>
      <c r="L2038"/>
      <c r="M2038" t="inlineStr">
        <is>
          <t>一阵凌风的店</t>
        </is>
      </c>
      <c r="N2038">
        <v>15000</v>
      </c>
      <c r="O2038">
        <v>4.51</v>
      </c>
      <c r="P2038">
        <v>908</v>
      </c>
      <c r="Q2038" t="inlineStr">
        <is>
          <t>6867f4df15811b0001f2b047</t>
        </is>
      </c>
      <c r="R2038"/>
      <c r="S2038" t="inlineStr">
        <is>
          <t>教资资料</t>
        </is>
      </c>
      <c r="T2038" t="inlineStr">
        <is>
          <t>0.04</t>
        </is>
      </c>
      <c r="U2038" s="3">
        <v>46112.78107638889</v>
      </c>
      <c r="V2038"/>
      <c r="W2038" s="3">
        <v>46094</v>
      </c>
      <c r="X2038" t="inlineStr">
        <is>
          <t>03</t>
        </is>
      </c>
      <c r="Y2038" t="inlineStr">
        <is>
          <t>2026-Q1</t>
        </is>
      </c>
    </row>
    <row r="2039" ht="38.25" customHeight="1">
      <c r="A2039" t="inlineStr">
        <is>
          <t>一本 · 【预备3-6年级下册】紧扣26新教材寒假28天预习规划赠视频讲解</t>
        </is>
      </c>
      <c r="B2039" t="inlineStr">
        <is>
          <t>recvdJN6aikP21.jpg</t>
        </is>
      </c>
      <c r="C2039" s="2" t="str">
        <f>=HYPERLINK("https://xhslink.com/m/97JnpiRySoO", "https://xhslink.com/m/97JnpiRySoO")</f>
        <v>https://xhslink.com/m/97JnpiRySoO</v>
      </c>
      <c r="D2039"/>
      <c r="E2039">
        <v>22000</v>
      </c>
      <c r="F2039">
        <v>69.3</v>
      </c>
      <c r="G2039"/>
      <c r="H2039">
        <v>2500</v>
      </c>
      <c r="I2039">
        <v>1000</v>
      </c>
      <c r="J2039"/>
      <c r="K2039" t="inlineStr">
        <is>
          <t>老师资料</t>
        </is>
      </c>
      <c r="L2039"/>
      <c r="M2039" t="inlineStr">
        <is>
          <t>一本-高中图书旗舰店</t>
        </is>
      </c>
      <c r="N2039">
        <v>13000</v>
      </c>
      <c r="O2039">
        <v>4.57</v>
      </c>
      <c r="P2039">
        <v>147000</v>
      </c>
      <c r="Q2039" t="inlineStr">
        <is>
          <t>684110ccdb57370001b760be</t>
        </is>
      </c>
      <c r="R2039" t="inlineStr">
        <is>
          <t>🚫重复</t>
        </is>
      </c>
      <c r="S2039" t="inlineStr">
        <is>
          <t>中小学教辅/教材</t>
        </is>
      </c>
      <c r="T2039" t="inlineStr">
        <is>
          <t>1.69</t>
        </is>
      </c>
      <c r="U2039" s="3">
        <v>46112.78107638889</v>
      </c>
      <c r="V2039"/>
      <c r="W2039" s="3">
        <v>46094</v>
      </c>
      <c r="X2039" t="inlineStr">
        <is>
          <t>03</t>
        </is>
      </c>
      <c r="Y2039" t="inlineStr">
        <is>
          <t>2026-Q1</t>
        </is>
      </c>
    </row>
    <row r="2040" ht="38.25" customHeight="1">
      <c r="A2040" t="inlineStr">
        <is>
          <t>新课标版初一七年级各科知识点早背晚默小纸条电子版资料</t>
        </is>
      </c>
      <c r="B2040" t="inlineStr">
        <is>
          <t>recvdJN6aiSuEQ.jpg</t>
        </is>
      </c>
      <c r="C2040" s="2" t="str">
        <f>=HYPERLINK("https://xhslink.com/m/6TvVdcXc3OK", "https://xhslink.com/m/6TvVdcXc3OK")</f>
        <v>https://xhslink.com/m/6TvVdcXc3OK</v>
      </c>
      <c r="D2040"/>
      <c r="E2040">
        <v>6879</v>
      </c>
      <c r="F2040">
        <v>59.9</v>
      </c>
      <c r="G2040"/>
      <c r="H2040">
        <v>850</v>
      </c>
      <c r="I2040">
        <v>1000</v>
      </c>
      <c r="J2040"/>
      <c r="K2040" t="inlineStr">
        <is>
          <t>老师资料</t>
        </is>
      </c>
      <c r="L2040"/>
      <c r="M2040" t="inlineStr">
        <is>
          <t>崔老师的资料库的店</t>
        </is>
      </c>
      <c r="N2040">
        <v>2760</v>
      </c>
      <c r="O2040">
        <v>4.57</v>
      </c>
      <c r="P2040">
        <v>7863</v>
      </c>
      <c r="Q2040" t="inlineStr">
        <is>
          <t>683e01be317c900001b5b7c0</t>
        </is>
      </c>
      <c r="R2040" t="inlineStr">
        <is>
          <t>🚫重复</t>
        </is>
      </c>
      <c r="S2040" t="inlineStr">
        <is>
          <t>中小学教辅/教材</t>
        </is>
      </c>
      <c r="T2040" t="inlineStr">
        <is>
          <t>2.49</t>
        </is>
      </c>
      <c r="U2040" s="3">
        <v>46112.78107638889</v>
      </c>
      <c r="V2040"/>
      <c r="W2040" s="3">
        <v>46094</v>
      </c>
      <c r="X2040" t="inlineStr">
        <is>
          <t>03</t>
        </is>
      </c>
      <c r="Y2040" t="inlineStr">
        <is>
          <t>2026-Q1</t>
        </is>
      </c>
    </row>
    <row r="2041" ht="38.25" customHeight="1">
      <c r="A2041" t="inlineStr">
        <is>
          <t>2026初一初二初三精品资源包教材改版最新版本永久免费更新</t>
        </is>
      </c>
      <c r="B2041" t="inlineStr">
        <is>
          <t>recvdJN6aiLfoh.jpg</t>
        </is>
      </c>
      <c r="C2041" s="2" t="str">
        <f>=HYPERLINK("https://xhslink.com/m/4cIuM7ZwLHI", "https://xhslink.com/m/4cIuM7ZwLHI")</f>
        <v>https://xhslink.com/m/4cIuM7ZwLHI</v>
      </c>
      <c r="D2041"/>
      <c r="E2041">
        <v>5965</v>
      </c>
      <c r="F2041">
        <v>38.8</v>
      </c>
      <c r="G2041"/>
      <c r="H2041">
        <v>300</v>
      </c>
      <c r="I2041">
        <v>1000</v>
      </c>
      <c r="J2041"/>
      <c r="K2041" t="inlineStr">
        <is>
          <t>老师资料</t>
        </is>
      </c>
      <c r="L2041"/>
      <c r="M2041" t="inlineStr">
        <is>
          <t>李老师的店</t>
        </is>
      </c>
      <c r="N2041">
        <v>2716</v>
      </c>
      <c r="O2041">
        <v>4.14</v>
      </c>
      <c r="P2041">
        <v>9433</v>
      </c>
      <c r="Q2041" t="inlineStr">
        <is>
          <t>679de22229b9f70001061e9a</t>
        </is>
      </c>
      <c r="R2041" t="inlineStr">
        <is>
          <t>🚫重复</t>
        </is>
      </c>
      <c r="S2041" t="inlineStr">
        <is>
          <t>中小学教辅/教材</t>
        </is>
      </c>
      <c r="T2041" t="inlineStr">
        <is>
          <t>2.20</t>
        </is>
      </c>
      <c r="U2041" s="3">
        <v>46112.78107638889</v>
      </c>
      <c r="V2041"/>
      <c r="W2041" s="3">
        <v>46094</v>
      </c>
      <c r="X2041" t="inlineStr">
        <is>
          <t>03</t>
        </is>
      </c>
      <c r="Y2041" t="inlineStr">
        <is>
          <t>2026-Q1</t>
        </is>
      </c>
    </row>
    <row r="2042" ht="38.25" customHeight="1">
      <c r="A2042" t="inlineStr">
        <is>
          <t>【新教材】初中各科学习笔记(电子版）知识点复习-自动发货</t>
        </is>
      </c>
      <c r="B2042" t="inlineStr">
        <is>
          <t>recvdJN6aitSfC.jpg</t>
        </is>
      </c>
      <c r="C2042" s="2" t="str">
        <f>=HYPERLINK("https://xhslink.com/m/3eLXCkoESKK", "https://xhslink.com/m/3eLXCkoESKK")</f>
        <v>https://xhslink.com/m/3eLXCkoESKK</v>
      </c>
      <c r="D2042"/>
      <c r="E2042">
        <v>4875</v>
      </c>
      <c r="F2042">
        <v>199</v>
      </c>
      <c r="G2042"/>
      <c r="H2042">
        <v>150</v>
      </c>
      <c r="I2042">
        <v>1000</v>
      </c>
      <c r="J2042"/>
      <c r="K2042" t="inlineStr">
        <is>
          <t>老师资料</t>
        </is>
      </c>
      <c r="L2042"/>
      <c r="M2042" t="inlineStr">
        <is>
          <t>三水爱学习的店</t>
        </is>
      </c>
      <c r="N2042">
        <v>11000</v>
      </c>
      <c r="O2042">
        <v>4.38</v>
      </c>
      <c r="P2042">
        <v>24000</v>
      </c>
      <c r="Q2042" t="inlineStr">
        <is>
          <t>67064520cf4b6d000108b8ab</t>
        </is>
      </c>
      <c r="R2042" t="inlineStr">
        <is>
          <t>🚫重复</t>
        </is>
      </c>
      <c r="S2042" t="inlineStr">
        <is>
          <t>中小学教辅/教材</t>
        </is>
      </c>
      <c r="T2042" t="inlineStr">
        <is>
          <t>0.44</t>
        </is>
      </c>
      <c r="U2042" s="3">
        <v>46112.78107638889</v>
      </c>
      <c r="V2042"/>
      <c r="W2042" s="3">
        <v>46094</v>
      </c>
      <c r="X2042" t="inlineStr">
        <is>
          <t>03</t>
        </is>
      </c>
      <c r="Y2042" t="inlineStr">
        <is>
          <t>2026-Q1</t>
        </is>
      </c>
    </row>
    <row r="2043" ht="38.25" customHeight="1">
      <c r="A2043" t="inlineStr">
        <is>
          <t>全知识-文史天梯学测</t>
        </is>
      </c>
      <c r="B2043" t="inlineStr">
        <is>
          <t>recvdJN6aiYPpm.jpg</t>
        </is>
      </c>
      <c r="C2043" s="2" t="str">
        <f>=HYPERLINK("https://xhslink.com/m/5DvI2H7W0OB", "https://xhslink.com/m/5DvI2H7W0OB")</f>
        <v>https://xhslink.com/m/5DvI2H7W0OB</v>
      </c>
      <c r="D2043"/>
      <c r="E2043">
        <v>4565</v>
      </c>
      <c r="F2043">
        <v>11390</v>
      </c>
      <c r="G2043"/>
      <c r="H2043">
        <v>150</v>
      </c>
      <c r="I2043">
        <v>1000</v>
      </c>
      <c r="J2043"/>
      <c r="K2043" t="inlineStr">
        <is>
          <t>老师资料</t>
        </is>
      </c>
      <c r="L2043"/>
      <c r="M2043" t="inlineStr">
        <is>
          <t>全知识文史天梯的店</t>
        </is>
      </c>
      <c r="N2043">
        <v>9009</v>
      </c>
      <c r="O2043">
        <v>4.59</v>
      </c>
      <c r="P2043">
        <v>9685</v>
      </c>
      <c r="Q2043" t="inlineStr">
        <is>
          <t>662240da42a7760001c87841</t>
        </is>
      </c>
      <c r="R2043"/>
      <c r="S2043" t="inlineStr">
        <is>
          <t>无匹配类别</t>
        </is>
      </c>
      <c r="T2043" t="inlineStr">
        <is>
          <t>0.51</t>
        </is>
      </c>
      <c r="U2043" s="3">
        <v>46112.78107638889</v>
      </c>
      <c r="V2043"/>
      <c r="W2043" s="3">
        <v>46094</v>
      </c>
      <c r="X2043" t="inlineStr">
        <is>
          <t>03</t>
        </is>
      </c>
      <c r="Y2043" t="inlineStr">
        <is>
          <t>2026-Q1</t>
        </is>
      </c>
    </row>
    <row r="2044" ht="38.25" customHeight="1">
      <c r="A2044" t="inlineStr">
        <is>
          <t>2026北师大版小学数学一二三四五六年级上下册教案课件ppt试题</t>
        </is>
      </c>
      <c r="B2044" t="inlineStr">
        <is>
          <t>recvdJNeuQE471.jpg</t>
        </is>
      </c>
      <c r="C2044" s="2" t="str">
        <f>=HYPERLINK("https://xhslink.com/m/A5mCqTcphV7", "https://xhslink.com/m/A5mCqTcphV7")</f>
        <v>https://xhslink.com/m/A5mCqTcphV7</v>
      </c>
      <c r="D2044"/>
      <c r="E2044">
        <v>4269</v>
      </c>
      <c r="F2044">
        <v>53.8</v>
      </c>
      <c r="G2044"/>
      <c r="H2044">
        <v>250</v>
      </c>
      <c r="I2044">
        <v>1000</v>
      </c>
      <c r="J2044"/>
      <c r="K2044" t="inlineStr">
        <is>
          <t>老师资料</t>
        </is>
      </c>
      <c r="L2044"/>
      <c r="M2044" t="inlineStr">
        <is>
          <t>肖老师的店</t>
        </is>
      </c>
      <c r="N2044">
        <v>12000</v>
      </c>
      <c r="O2044">
        <v>4.61</v>
      </c>
      <c r="P2044">
        <v>68000</v>
      </c>
      <c r="Q2044" t="inlineStr">
        <is>
          <t>674d81e8747310000167549a</t>
        </is>
      </c>
      <c r="R2044" t="inlineStr">
        <is>
          <t>🚫重复</t>
        </is>
      </c>
      <c r="S2044" t="inlineStr">
        <is>
          <t>中小学教辅/教材</t>
        </is>
      </c>
      <c r="T2044" t="inlineStr">
        <is>
          <t>0.36</t>
        </is>
      </c>
      <c r="U2044" s="3">
        <v>46112.78107638889</v>
      </c>
      <c r="V2044"/>
      <c r="W2044" s="3">
        <v>46094</v>
      </c>
      <c r="X2044" t="inlineStr">
        <is>
          <t>03</t>
        </is>
      </c>
      <c r="Y2044" t="inlineStr">
        <is>
          <t>2026-Q1</t>
        </is>
      </c>
    </row>
    <row r="2045" ht="38.25" customHeight="1">
      <c r="A2045" t="inlineStr">
        <is>
          <t>一本 · 【预备1-6年级下册】紧扣26教材寒假28天预习规划赠视频讲解</t>
        </is>
      </c>
      <c r="B2045" t="inlineStr">
        <is>
          <t>recvdJNf43dBUd.jpg</t>
        </is>
      </c>
      <c r="C2045" s="2" t="str">
        <f>=HYPERLINK("https://xhslink.com/m/6lOGvRNAyJv", "https://xhslink.com/m/6lOGvRNAyJv")</f>
        <v>https://xhslink.com/m/6lOGvRNAyJv</v>
      </c>
      <c r="D2045"/>
      <c r="E2045">
        <v>3520</v>
      </c>
      <c r="F2045">
        <v>69.3</v>
      </c>
      <c r="G2045"/>
      <c r="H2045">
        <v>500</v>
      </c>
      <c r="I2045">
        <v>1000</v>
      </c>
      <c r="J2045"/>
      <c r="K2045" t="inlineStr">
        <is>
          <t>老师资料</t>
        </is>
      </c>
      <c r="L2045"/>
      <c r="M2045" t="inlineStr">
        <is>
          <t>一本-高中图书旗舰店</t>
        </is>
      </c>
      <c r="N2045">
        <v>13000</v>
      </c>
      <c r="O2045">
        <v>4.57</v>
      </c>
      <c r="P2045">
        <v>147000</v>
      </c>
      <c r="Q2045" t="inlineStr">
        <is>
          <t>695f130bbb020d00011bb233</t>
        </is>
      </c>
      <c r="R2045" t="inlineStr">
        <is>
          <t>🚫重复</t>
        </is>
      </c>
      <c r="S2045" t="inlineStr">
        <is>
          <t>中小学教辅/教材</t>
        </is>
      </c>
      <c r="T2045" t="inlineStr">
        <is>
          <t>0.27</t>
        </is>
      </c>
      <c r="U2045" s="3">
        <v>46112.78107638889</v>
      </c>
      <c r="V2045"/>
      <c r="W2045" s="3">
        <v>46094</v>
      </c>
      <c r="X2045" t="inlineStr">
        <is>
          <t>03</t>
        </is>
      </c>
      <c r="Y2045" t="inlineStr">
        <is>
          <t>2026-Q1</t>
        </is>
      </c>
    </row>
    <row r="2046" ht="38.25" customHeight="1">
      <c r="A2046" t="inlineStr">
        <is>
          <t>2025年初三中考总复习语文数学英语一轮二轮专题专项训练电子版</t>
        </is>
      </c>
      <c r="B2046" t="inlineStr">
        <is>
          <t>recvdJNf43vLSt.jpg</t>
        </is>
      </c>
      <c r="C2046" s="2" t="str">
        <f>=HYPERLINK("https://xhslink.com/m/25gzWniT18l", "https://xhslink.com/m/25gzWniT18l")</f>
        <v>https://xhslink.com/m/25gzWniT18l</v>
      </c>
      <c r="D2046"/>
      <c r="E2046">
        <v>3340</v>
      </c>
      <c r="F2046">
        <v>40.9</v>
      </c>
      <c r="G2046"/>
      <c r="H2046">
        <v>150</v>
      </c>
      <c r="I2046">
        <v>1000</v>
      </c>
      <c r="J2046"/>
      <c r="K2046" t="inlineStr">
        <is>
          <t>老师资料</t>
        </is>
      </c>
      <c r="L2046"/>
      <c r="M2046" t="inlineStr">
        <is>
          <t>赵老师的资料库的店</t>
        </is>
      </c>
      <c r="N2046">
        <v>15000</v>
      </c>
      <c r="O2046">
        <v>4.39</v>
      </c>
      <c r="P2046">
        <v>51000</v>
      </c>
      <c r="Q2046" t="inlineStr">
        <is>
          <t>677a10e8568edd0001ca0d36</t>
        </is>
      </c>
      <c r="R2046" t="inlineStr">
        <is>
          <t>🚫重复</t>
        </is>
      </c>
      <c r="S2046" t="inlineStr">
        <is>
          <t>中小学教辅/教材</t>
        </is>
      </c>
      <c r="T2046" t="inlineStr">
        <is>
          <t>0.22</t>
        </is>
      </c>
      <c r="U2046" s="3">
        <v>46112.78107638889</v>
      </c>
      <c r="V2046"/>
      <c r="W2046" s="3">
        <v>46094</v>
      </c>
      <c r="X2046" t="inlineStr">
        <is>
          <t>03</t>
        </is>
      </c>
      <c r="Y2046" t="inlineStr">
        <is>
          <t>2026-Q1</t>
        </is>
      </c>
    </row>
    <row r="2047" ht="38.25" customHeight="1">
      <c r="A2047" t="inlineStr">
        <is>
          <t>一本 · 【预备初一下册】26寒假预习语数英小四门免费音视频CZ</t>
        </is>
      </c>
      <c r="B2047" t="inlineStr">
        <is>
          <t>recvdJNf43PGbL.jpg</t>
        </is>
      </c>
      <c r="C2047" s="2" t="str">
        <f>=HYPERLINK("https://xhslink.com/m/3YCjXk6YLwy", "https://xhslink.com/m/3YCjXk6YLwy")</f>
        <v>https://xhslink.com/m/3YCjXk6YLwy</v>
      </c>
      <c r="D2047"/>
      <c r="E2047">
        <v>3345</v>
      </c>
      <c r="F2047">
        <v>119.4</v>
      </c>
      <c r="G2047"/>
      <c r="H2047">
        <v>1500</v>
      </c>
      <c r="I2047">
        <v>1000</v>
      </c>
      <c r="J2047"/>
      <c r="K2047" t="inlineStr">
        <is>
          <t>老师资料</t>
        </is>
      </c>
      <c r="L2047"/>
      <c r="M2047" t="inlineStr">
        <is>
          <t>一本旗舰店</t>
        </is>
      </c>
      <c r="N2047">
        <v>70000</v>
      </c>
      <c r="O2047">
        <v>4.53</v>
      </c>
      <c r="P2047">
        <v>247000</v>
      </c>
      <c r="Q2047" t="inlineStr">
        <is>
          <t>6937eb3c6bc9860001c246fd</t>
        </is>
      </c>
      <c r="R2047" t="inlineStr">
        <is>
          <t>🚫重复</t>
        </is>
      </c>
      <c r="S2047" t="inlineStr">
        <is>
          <t>中小学教辅/教材</t>
        </is>
      </c>
      <c r="T2047" t="inlineStr">
        <is>
          <t>0.05</t>
        </is>
      </c>
      <c r="U2047" s="3">
        <v>46112.78107638889</v>
      </c>
      <c r="V2047"/>
      <c r="W2047" s="3">
        <v>46094</v>
      </c>
      <c r="X2047" t="inlineStr">
        <is>
          <t>03</t>
        </is>
      </c>
      <c r="Y2047" t="inlineStr">
        <is>
          <t>2026-Q1</t>
        </is>
      </c>
    </row>
    <row r="2048" ht="38.25" customHeight="1">
      <c r="A2048" t="inlineStr">
        <is>
          <t>同款纸质版1-144课（300页）</t>
        </is>
      </c>
      <c r="B2048" t="inlineStr">
        <is>
          <t>recvdJNf43A4y8.jpg</t>
        </is>
      </c>
      <c r="C2048" s="2" t="str">
        <f>=HYPERLINK("https://xhslink.com/m/3j4bSM1tUR6", "https://xhslink.com/m/3j4bSM1tUR6")</f>
        <v>https://xhslink.com/m/3j4bSM1tUR6</v>
      </c>
      <c r="D2048"/>
      <c r="E2048">
        <v>2617</v>
      </c>
      <c r="F2048">
        <v>99</v>
      </c>
      <c r="G2048"/>
      <c r="H2048">
        <v>300</v>
      </c>
      <c r="I2048">
        <v>1000</v>
      </c>
      <c r="J2048"/>
      <c r="K2048" t="inlineStr">
        <is>
          <t>老师资料</t>
        </is>
      </c>
      <c r="L2048"/>
      <c r="M2048" t="inlineStr">
        <is>
          <t>Mssun的店</t>
        </is>
      </c>
      <c r="N2048">
        <v>2000</v>
      </c>
      <c r="O2048">
        <v>4.68</v>
      </c>
      <c r="P2048">
        <v>3151</v>
      </c>
      <c r="Q2048" t="inlineStr">
        <is>
          <t>697593041cd3a60001213faf</t>
        </is>
      </c>
      <c r="R2048"/>
      <c r="S2048" t="inlineStr">
        <is>
          <t>老师资料</t>
        </is>
      </c>
      <c r="T2048" t="inlineStr">
        <is>
          <t>1.31</t>
        </is>
      </c>
      <c r="U2048" s="3">
        <v>46112.78107638889</v>
      </c>
      <c r="V2048"/>
      <c r="W2048" s="3">
        <v>46094</v>
      </c>
      <c r="X2048" t="inlineStr">
        <is>
          <t>03</t>
        </is>
      </c>
      <c r="Y2048" t="inlineStr">
        <is>
          <t>2026-Q1</t>
        </is>
      </c>
    </row>
    <row r="2049" ht="38.25" customHeight="1">
      <c r="A2049" t="inlineStr">
        <is>
          <t>高三语文一轮复习【文言文】系统复习</t>
        </is>
      </c>
      <c r="B2049" t="inlineStr">
        <is>
          <t>recvdJNf436Jt5.jpg</t>
        </is>
      </c>
      <c r="C2049" s="2" t="str">
        <f>=HYPERLINK("https://xhslink.com/m/6JCmB3MYa6T", "https://xhslink.com/m/6JCmB3MYa6T")</f>
        <v>https://xhslink.com/m/6JCmB3MYa6T</v>
      </c>
      <c r="D2049"/>
      <c r="E2049">
        <v>2505</v>
      </c>
      <c r="F2049">
        <v>60</v>
      </c>
      <c r="G2049"/>
      <c r="H2049">
        <v>100</v>
      </c>
      <c r="I2049">
        <v>1000</v>
      </c>
      <c r="J2049"/>
      <c r="K2049" t="inlineStr">
        <is>
          <t>老师资料</t>
        </is>
      </c>
      <c r="L2049"/>
      <c r="M2049" t="inlineStr">
        <is>
          <t>上上签高中语文的店</t>
        </is>
      </c>
      <c r="N2049">
        <v>21000</v>
      </c>
      <c r="O2049">
        <v>4.57</v>
      </c>
      <c r="P2049">
        <v>32000</v>
      </c>
      <c r="Q2049" t="inlineStr">
        <is>
          <t>665e5e3c35bf780001fe90f4</t>
        </is>
      </c>
      <c r="R2049" t="inlineStr">
        <is>
          <t>🚫重复</t>
        </is>
      </c>
      <c r="S2049" t="inlineStr">
        <is>
          <t>高中/高考资料</t>
        </is>
      </c>
      <c r="T2049" t="inlineStr">
        <is>
          <t>0.12</t>
        </is>
      </c>
      <c r="U2049" s="3">
        <v>46112.78107638889</v>
      </c>
      <c r="V2049"/>
      <c r="W2049" s="3">
        <v>46094</v>
      </c>
      <c r="X2049" t="inlineStr">
        <is>
          <t>03</t>
        </is>
      </c>
      <c r="Y2049" t="inlineStr">
        <is>
          <t>2026-Q1</t>
        </is>
      </c>
    </row>
    <row r="2050" ht="38.25" customHeight="1">
      <c r="A2050" t="inlineStr">
        <is>
          <t>初中数学初一初二初三七八九年级精品培优讲义辅导培训教材电子版</t>
        </is>
      </c>
      <c r="B2050" t="inlineStr">
        <is>
          <t>recvdJNf43hMhK.jpg</t>
        </is>
      </c>
      <c r="C2050" s="2" t="str">
        <f>=HYPERLINK("https://xhslink.com/m/3bNjYTw7MGD", "https://xhslink.com/m/3bNjYTw7MGD")</f>
        <v>https://xhslink.com/m/3bNjYTw7MGD</v>
      </c>
      <c r="D2050"/>
      <c r="E2050">
        <v>2175</v>
      </c>
      <c r="F2050">
        <v>190</v>
      </c>
      <c r="G2050"/>
      <c r="H2050">
        <v>250</v>
      </c>
      <c r="I2050">
        <v>1000</v>
      </c>
      <c r="J2050"/>
      <c r="K2050" t="inlineStr">
        <is>
          <t>老师资料</t>
        </is>
      </c>
      <c r="L2050"/>
      <c r="M2050" t="inlineStr">
        <is>
          <t>数理化的店</t>
        </is>
      </c>
      <c r="N2050">
        <v>5237</v>
      </c>
      <c r="O2050">
        <v>4.52</v>
      </c>
      <c r="P2050">
        <v>12000</v>
      </c>
      <c r="Q2050" t="inlineStr">
        <is>
          <t>685e46067ec78a0001b0246e</t>
        </is>
      </c>
      <c r="R2050" t="inlineStr">
        <is>
          <t>🚫重复</t>
        </is>
      </c>
      <c r="S2050" t="inlineStr">
        <is>
          <t>中小学教辅/教材</t>
        </is>
      </c>
      <c r="T2050" t="inlineStr">
        <is>
          <t>0.42</t>
        </is>
      </c>
      <c r="U2050" s="3">
        <v>46112.78107638889</v>
      </c>
      <c r="V2050"/>
      <c r="W2050" s="3">
        <v>46094</v>
      </c>
      <c r="X2050" t="inlineStr">
        <is>
          <t>03</t>
        </is>
      </c>
      <c r="Y2050" t="inlineStr">
        <is>
          <t>2026-Q1</t>
        </is>
      </c>
    </row>
    <row r="2051" ht="38.25" customHeight="1">
      <c r="A2051" t="inlineStr">
        <is>
          <t>青山老师一对一社保规划咨询（下单备注11位联系号码）</t>
        </is>
      </c>
      <c r="B2051" t="inlineStr">
        <is>
          <t>recvdJNf43jt2e.jpg</t>
        </is>
      </c>
      <c r="C2051" s="2" t="str">
        <f>=HYPERLINK("https://xhslink.com/m/9rkB4wojNAP", "https://xhslink.com/m/9rkB4wojNAP")</f>
        <v>https://xhslink.com/m/9rkB4wojNAP</v>
      </c>
      <c r="D2051"/>
      <c r="E2051">
        <v>2039</v>
      </c>
      <c r="F2051">
        <v>99</v>
      </c>
      <c r="G2051"/>
      <c r="H2051">
        <v>550</v>
      </c>
      <c r="I2051">
        <v>1000</v>
      </c>
      <c r="J2051"/>
      <c r="K2051" t="inlineStr">
        <is>
          <t>老师资料</t>
        </is>
      </c>
      <c r="L2051" t="inlineStr">
        <is>
          <t>🔥低粉爆款</t>
        </is>
      </c>
      <c r="M2051" t="inlineStr">
        <is>
          <t>养老服务咨询的店</t>
        </is>
      </c>
      <c r="N2051">
        <v>300</v>
      </c>
      <c r="O2051">
        <v>4.26</v>
      </c>
      <c r="P2051">
        <v>8646</v>
      </c>
      <c r="Q2051" t="inlineStr">
        <is>
          <t>69439f491f22d200017a4618</t>
        </is>
      </c>
      <c r="R2051"/>
      <c r="S2051" t="inlineStr">
        <is>
          <t>咨询服务</t>
        </is>
      </c>
      <c r="T2051" t="inlineStr">
        <is>
          <t>6.80</t>
        </is>
      </c>
      <c r="U2051" s="3">
        <v>46112.78107638889</v>
      </c>
      <c r="V2051"/>
      <c r="W2051" s="3">
        <v>46094</v>
      </c>
      <c r="X2051" t="inlineStr">
        <is>
          <t>03</t>
        </is>
      </c>
      <c r="Y2051" t="inlineStr">
        <is>
          <t>2026-Q1</t>
        </is>
      </c>
    </row>
    <row r="2052" ht="38.25" customHeight="1">
      <c r="A2052" t="inlineStr">
        <is>
          <t>[1号]鲤鱼老师金字塔同款英语全能8合1精品视频课</t>
        </is>
      </c>
      <c r="B2052" t="inlineStr">
        <is>
          <t>recvdJNf43MuAX.jpg</t>
        </is>
      </c>
      <c r="C2052" s="2" t="str">
        <f>=HYPERLINK("https://xhslink.com/m/2Cy4y3Ks2eX", "https://xhslink.com/m/2Cy4y3Ks2eX")</f>
        <v>https://xhslink.com/m/2Cy4y3Ks2eX</v>
      </c>
      <c r="D2052"/>
      <c r="E2052">
        <v>2017</v>
      </c>
      <c r="F2052">
        <v>399</v>
      </c>
      <c r="G2052"/>
      <c r="H2052">
        <v>100</v>
      </c>
      <c r="I2052">
        <v>1000</v>
      </c>
      <c r="J2052"/>
      <c r="K2052" t="inlineStr">
        <is>
          <t>老师资料</t>
        </is>
      </c>
      <c r="L2052"/>
      <c r="M2052" t="inlineStr">
        <is>
          <t>鲸鱼鲤鱼英语教育的店</t>
        </is>
      </c>
      <c r="N2052">
        <v>11000</v>
      </c>
      <c r="O2052">
        <v>4.42</v>
      </c>
      <c r="P2052">
        <v>4384</v>
      </c>
      <c r="Q2052" t="inlineStr">
        <is>
          <t>65e933e2b83ef100011b0f30</t>
        </is>
      </c>
      <c r="R2052"/>
      <c r="S2052" t="inlineStr">
        <is>
          <t>英语资料</t>
        </is>
      </c>
      <c r="T2052" t="inlineStr">
        <is>
          <t>0.18</t>
        </is>
      </c>
      <c r="U2052" s="3">
        <v>46112.78107638889</v>
      </c>
      <c r="V2052"/>
      <c r="W2052" s="3">
        <v>46094</v>
      </c>
      <c r="X2052" t="inlineStr">
        <is>
          <t>03</t>
        </is>
      </c>
      <c r="Y2052" t="inlineStr">
        <is>
          <t>2026-Q1</t>
        </is>
      </c>
    </row>
    <row r="2053" ht="38.25" customHeight="1">
      <c r="A2053" t="inlineStr">
        <is>
          <t>其他 · 小升初语文复习资料（课件+教案，部分有配套练习）</t>
        </is>
      </c>
      <c r="B2053" t="inlineStr">
        <is>
          <t>recvdJNf436O0p.jpg</t>
        </is>
      </c>
      <c r="C2053" s="2" t="str">
        <f>=HYPERLINK("https://xhslink.com/m/8qcYcwG7zZN", "https://xhslink.com/m/8qcYcwG7zZN")</f>
        <v>https://xhslink.com/m/8qcYcwG7zZN</v>
      </c>
      <c r="D2053"/>
      <c r="E2053">
        <v>1775</v>
      </c>
      <c r="F2053">
        <v>39.9</v>
      </c>
      <c r="G2053"/>
      <c r="H2053">
        <v>200</v>
      </c>
      <c r="I2053">
        <v>1000</v>
      </c>
      <c r="J2053"/>
      <c r="K2053" t="inlineStr">
        <is>
          <t>老师资料</t>
        </is>
      </c>
      <c r="L2053"/>
      <c r="M2053" t="inlineStr">
        <is>
          <t>灵儿老师的资料库的店</t>
        </is>
      </c>
      <c r="N2053">
        <v>1690</v>
      </c>
      <c r="O2053">
        <v>4.5</v>
      </c>
      <c r="P2053">
        <v>6313</v>
      </c>
      <c r="Q2053" t="inlineStr">
        <is>
          <t>683f937f05b700001598bd2c</t>
        </is>
      </c>
      <c r="R2053" t="inlineStr">
        <is>
          <t>🚫重复</t>
        </is>
      </c>
      <c r="S2053" t="inlineStr">
        <is>
          <t>中小学教辅/教材</t>
        </is>
      </c>
      <c r="T2053" t="inlineStr">
        <is>
          <t>1.05</t>
        </is>
      </c>
      <c r="U2053" s="3">
        <v>46112.78107638889</v>
      </c>
      <c r="V2053"/>
      <c r="W2053" s="3">
        <v>46094</v>
      </c>
      <c r="X2053" t="inlineStr">
        <is>
          <t>03</t>
        </is>
      </c>
      <c r="Y2053" t="inlineStr">
        <is>
          <t>2026-Q1</t>
        </is>
      </c>
    </row>
    <row r="2054" ht="38.25" customHeight="1">
      <c r="A2054" t="inlineStr">
        <is>
          <t>结构化面试综合分析素材/热点话题/全家桶电子版PDF</t>
        </is>
      </c>
      <c r="B2054" t="inlineStr">
        <is>
          <t>recvdJNf43JvnM.jpg</t>
        </is>
      </c>
      <c r="C2054" s="2" t="str">
        <f>=HYPERLINK("https://xhslink.com/m/3sanfVPMK6s", "https://xhslink.com/m/3sanfVPMK6s")</f>
        <v>https://xhslink.com/m/3sanfVPMK6s</v>
      </c>
      <c r="D2054"/>
      <c r="E2054">
        <v>1710</v>
      </c>
      <c r="F2054">
        <v>39.9</v>
      </c>
      <c r="G2054"/>
      <c r="H2054">
        <v>250</v>
      </c>
      <c r="I2054">
        <v>1000</v>
      </c>
      <c r="J2054"/>
      <c r="K2054" t="inlineStr">
        <is>
          <t>老师资料</t>
        </is>
      </c>
      <c r="L2054"/>
      <c r="M2054" t="inlineStr">
        <is>
          <t>公考蔡文姬的店</t>
        </is>
      </c>
      <c r="N2054">
        <v>15000</v>
      </c>
      <c r="O2054">
        <v>4.43</v>
      </c>
      <c r="P2054">
        <v>47000</v>
      </c>
      <c r="Q2054" t="inlineStr">
        <is>
          <t>6932f7a57ca5630001de313d</t>
        </is>
      </c>
      <c r="R2054" t="inlineStr">
        <is>
          <t>🚫重复</t>
        </is>
      </c>
      <c r="S2054" t="inlineStr">
        <is>
          <t>求职面试/职场</t>
        </is>
      </c>
      <c r="T2054" t="inlineStr">
        <is>
          <t>0.11</t>
        </is>
      </c>
      <c r="U2054" s="3">
        <v>46112.78107638889</v>
      </c>
      <c r="V2054"/>
      <c r="W2054" s="3">
        <v>46094</v>
      </c>
      <c r="X2054" t="inlineStr">
        <is>
          <t>03</t>
        </is>
      </c>
      <c r="Y2054" t="inlineStr">
        <is>
          <t>2026-Q1</t>
        </is>
      </c>
    </row>
    <row r="2055" ht="38.25" customHeight="1">
      <c r="A2055" t="inlineStr">
        <is>
          <t>2025秋季新人教版初中789年级各科早背晚默小纸条【电子版文档】</t>
        </is>
      </c>
      <c r="B2055" t="inlineStr">
        <is>
          <t>recvdJNf43y9oX.jpg</t>
        </is>
      </c>
      <c r="C2055" s="2" t="str">
        <f>=HYPERLINK("https://xhslink.com/m/8S9kDlm7PGM", "https://xhslink.com/m/8S9kDlm7PGM")</f>
        <v>https://xhslink.com/m/8S9kDlm7PGM</v>
      </c>
      <c r="D2055"/>
      <c r="E2055">
        <v>1280</v>
      </c>
      <c r="F2055">
        <v>59.8</v>
      </c>
      <c r="G2055"/>
      <c r="H2055">
        <v>100</v>
      </c>
      <c r="I2055">
        <v>1000</v>
      </c>
      <c r="J2055"/>
      <c r="K2055" t="inlineStr">
        <is>
          <t>老师资料</t>
        </is>
      </c>
      <c r="L2055"/>
      <c r="M2055" t="inlineStr">
        <is>
          <t>赵老师的资料库的店</t>
        </is>
      </c>
      <c r="N2055">
        <v>15000</v>
      </c>
      <c r="O2055">
        <v>4.39</v>
      </c>
      <c r="P2055">
        <v>51000</v>
      </c>
      <c r="Q2055" t="inlineStr">
        <is>
          <t>68bd7437fed54900018476e8</t>
        </is>
      </c>
      <c r="R2055" t="inlineStr">
        <is>
          <t>🚫重复</t>
        </is>
      </c>
      <c r="S2055" t="inlineStr">
        <is>
          <t>中小学教辅/教材</t>
        </is>
      </c>
      <c r="T2055" t="inlineStr">
        <is>
          <t>0.09</t>
        </is>
      </c>
      <c r="U2055" s="3">
        <v>46112.78107638889</v>
      </c>
      <c r="V2055"/>
      <c r="W2055" s="3">
        <v>46094</v>
      </c>
      <c r="X2055" t="inlineStr">
        <is>
          <t>03</t>
        </is>
      </c>
      <c r="Y2055" t="inlineStr">
        <is>
          <t>2026-Q1</t>
        </is>
      </c>
    </row>
    <row r="2056" ht="38.25" customHeight="1">
      <c r="A2056" t="inlineStr">
        <is>
          <t>笔记同款26教招母题清单</t>
        </is>
      </c>
      <c r="B2056" t="inlineStr">
        <is>
          <t>recvdJNf43IcYk.jpg</t>
        </is>
      </c>
      <c r="C2056" s="2" t="str">
        <f>=HYPERLINK("https://xhslink.com/m/AmvzrApGA3t", "https://xhslink.com/m/AmvzrApGA3t")</f>
        <v>https://xhslink.com/m/AmvzrApGA3t</v>
      </c>
      <c r="D2056"/>
      <c r="E2056">
        <v>1229</v>
      </c>
      <c r="F2056">
        <v>79.9</v>
      </c>
      <c r="G2056"/>
      <c r="H2056">
        <v>250</v>
      </c>
      <c r="I2056">
        <v>1000</v>
      </c>
      <c r="J2056"/>
      <c r="K2056" t="inlineStr">
        <is>
          <t>老师资料</t>
        </is>
      </c>
      <c r="L2056"/>
      <c r="M2056" t="inlineStr">
        <is>
          <t>花卷想发光的店</t>
        </is>
      </c>
      <c r="N2056">
        <v>811</v>
      </c>
      <c r="O2056">
        <v>4.25</v>
      </c>
      <c r="P2056">
        <v>2887</v>
      </c>
      <c r="Q2056" t="inlineStr">
        <is>
          <t>68416306d0af0a0001809f12</t>
        </is>
      </c>
      <c r="R2056"/>
      <c r="S2056" t="inlineStr">
        <is>
          <t>无匹配类别</t>
        </is>
      </c>
      <c r="T2056" t="inlineStr">
        <is>
          <t>1.52</t>
        </is>
      </c>
      <c r="U2056" s="3">
        <v>46112.78107638889</v>
      </c>
      <c r="V2056"/>
      <c r="W2056" s="3">
        <v>46094</v>
      </c>
      <c r="X2056" t="inlineStr">
        <is>
          <t>03</t>
        </is>
      </c>
      <c r="Y2056" t="inlineStr">
        <is>
          <t>2026-Q1</t>
        </is>
      </c>
    </row>
    <row r="2057" ht="38.25" customHeight="1">
      <c r="A2057" t="inlineStr">
        <is>
          <t>其他 · 2025中学精品资源包教材改版最新版本永久免费更新 ·各个版本都有</t>
        </is>
      </c>
      <c r="B2057" t="inlineStr">
        <is>
          <t>recvdJNf432iRh.jpg</t>
        </is>
      </c>
      <c r="C2057" s="2" t="str">
        <f>=HYPERLINK("https://xhslink.com/m/8D1kZ8LH20g", "https://xhslink.com/m/8D1kZ8LH20g")</f>
        <v>https://xhslink.com/m/8D1kZ8LH20g</v>
      </c>
      <c r="D2057"/>
      <c r="E2057">
        <v>1181</v>
      </c>
      <c r="F2057">
        <v>39.8</v>
      </c>
      <c r="G2057"/>
      <c r="H2057">
        <v>100</v>
      </c>
      <c r="I2057">
        <v>1000</v>
      </c>
      <c r="J2057"/>
      <c r="K2057" t="inlineStr">
        <is>
          <t>老师资料</t>
        </is>
      </c>
      <c r="L2057"/>
      <c r="M2057" t="inlineStr">
        <is>
          <t>爱分享的小淼老师的店</t>
        </is>
      </c>
      <c r="N2057">
        <v>417</v>
      </c>
      <c r="O2057">
        <v>4.07</v>
      </c>
      <c r="P2057">
        <v>1243</v>
      </c>
      <c r="Q2057" t="inlineStr">
        <is>
          <t>6937bff315fdcf00019b57c7</t>
        </is>
      </c>
      <c r="R2057"/>
      <c r="S2057" t="inlineStr">
        <is>
          <t>中小学教辅/教材</t>
        </is>
      </c>
      <c r="T2057" t="inlineStr">
        <is>
          <t>2.83</t>
        </is>
      </c>
      <c r="U2057" s="3">
        <v>46112.78107638889</v>
      </c>
      <c r="V2057"/>
      <c r="W2057" s="3">
        <v>46094</v>
      </c>
      <c r="X2057" t="inlineStr">
        <is>
          <t>03</t>
        </is>
      </c>
      <c r="Y2057" t="inlineStr">
        <is>
          <t>2026-Q1</t>
        </is>
      </c>
    </row>
    <row r="2058" ht="38.25" customHeight="1">
      <c r="A2058" t="inlineStr">
        <is>
          <t>26春季新版人教版1-6年级数学上下册教案|word|可编辑</t>
        </is>
      </c>
      <c r="B2058" t="inlineStr">
        <is>
          <t>recvdJNf439Cik.jpg</t>
        </is>
      </c>
      <c r="C2058" s="2" t="str">
        <f>=HYPERLINK("https://xhslink.com/m/4TC7Wx5AlwU", "https://xhslink.com/m/4TC7Wx5AlwU")</f>
        <v>https://xhslink.com/m/4TC7Wx5AlwU</v>
      </c>
      <c r="D2058"/>
      <c r="E2058">
        <v>1123</v>
      </c>
      <c r="F2058">
        <v>69.9</v>
      </c>
      <c r="G2058"/>
      <c r="H2058">
        <v>150</v>
      </c>
      <c r="I2058">
        <v>1000</v>
      </c>
      <c r="J2058"/>
      <c r="K2058" t="inlineStr">
        <is>
          <t>老师资料</t>
        </is>
      </c>
      <c r="L2058"/>
      <c r="M2058" t="inlineStr">
        <is>
          <t>宝藏教师周茉的店</t>
        </is>
      </c>
      <c r="N2058">
        <v>1843</v>
      </c>
      <c r="O2058">
        <v>4.17</v>
      </c>
      <c r="P2058">
        <v>5473</v>
      </c>
      <c r="Q2058" t="inlineStr">
        <is>
          <t>688a33d286c0df00010ee720</t>
        </is>
      </c>
      <c r="R2058" t="inlineStr">
        <is>
          <t>🚫重复</t>
        </is>
      </c>
      <c r="S2058" t="inlineStr">
        <is>
          <t>中小学教辅/教材</t>
        </is>
      </c>
      <c r="T2058" t="inlineStr">
        <is>
          <t>0.61</t>
        </is>
      </c>
      <c r="U2058" s="3">
        <v>46112.78107638889</v>
      </c>
      <c r="V2058"/>
      <c r="W2058" s="3">
        <v>46094</v>
      </c>
      <c r="X2058" t="inlineStr">
        <is>
          <t>03</t>
        </is>
      </c>
      <c r="Y2058" t="inlineStr">
        <is>
          <t>2026-Q1</t>
        </is>
      </c>
    </row>
    <row r="2059" ht="38.25" customHeight="1">
      <c r="A2059" t="inlineStr">
        <is>
          <t>高中数学高一高二必修选修全部题型大归纳提分必备</t>
        </is>
      </c>
      <c r="B2059" t="inlineStr">
        <is>
          <t>recvdJNf43hivE.jpg</t>
        </is>
      </c>
      <c r="C2059" s="2" t="str">
        <f>=HYPERLINK("https://xhslink.com/m/2u0zqvdMoVV", "https://xhslink.com/m/2u0zqvdMoVV")</f>
        <v>https://xhslink.com/m/2u0zqvdMoVV</v>
      </c>
      <c r="D2059"/>
      <c r="E2059">
        <v>969</v>
      </c>
      <c r="F2059">
        <v>188</v>
      </c>
      <c r="G2059"/>
      <c r="H2059">
        <v>100</v>
      </c>
      <c r="I2059"/>
      <c r="J2059"/>
      <c r="K2059" t="inlineStr">
        <is>
          <t>老师资料</t>
        </is>
      </c>
      <c r="L2059"/>
      <c r="M2059" t="inlineStr">
        <is>
          <t>teacher李讲高中的店</t>
        </is>
      </c>
      <c r="N2059">
        <v>24000</v>
      </c>
      <c r="O2059">
        <v>4.48</v>
      </c>
      <c r="P2059">
        <v>4236</v>
      </c>
      <c r="Q2059" t="inlineStr">
        <is>
          <t>690438f9473090000156eb8d</t>
        </is>
      </c>
      <c r="R2059" t="inlineStr">
        <is>
          <t>🚫重复</t>
        </is>
      </c>
      <c r="S2059" t="inlineStr">
        <is>
          <t>高中/高考资料</t>
        </is>
      </c>
      <c r="T2059" t="inlineStr">
        <is>
          <t>0.04</t>
        </is>
      </c>
      <c r="U2059" s="3">
        <v>46112.78107638889</v>
      </c>
      <c r="V2059"/>
      <c r="W2059" s="3">
        <v>46094</v>
      </c>
      <c r="X2059" t="inlineStr">
        <is>
          <t>03</t>
        </is>
      </c>
      <c r="Y2059" t="inlineStr">
        <is>
          <t>2026-Q1</t>
        </is>
      </c>
    </row>
    <row r="2060" ht="38.25" customHeight="1">
      <c r="A2060" t="inlineStr">
        <is>
          <t>高中语文高分必备议论文序列化写作训练含模板和详情解析专项练习</t>
        </is>
      </c>
      <c r="B2060" t="inlineStr">
        <is>
          <t>recvdJNf43DZ37.jpg</t>
        </is>
      </c>
      <c r="C2060" s="2" t="str">
        <f>=HYPERLINK("https://xhslink.com/m/5wt3EC4nSOc", "https://xhslink.com/m/5wt3EC4nSOc")</f>
        <v>https://xhslink.com/m/5wt3EC4nSOc</v>
      </c>
      <c r="D2060"/>
      <c r="E2060">
        <v>975</v>
      </c>
      <c r="F2060">
        <v>269</v>
      </c>
      <c r="G2060"/>
      <c r="H2060">
        <v>200</v>
      </c>
      <c r="I2060"/>
      <c r="J2060"/>
      <c r="K2060" t="inlineStr">
        <is>
          <t>老师资料</t>
        </is>
      </c>
      <c r="L2060"/>
      <c r="M2060" t="inlineStr">
        <is>
          <t>大斌老师的店</t>
        </is>
      </c>
      <c r="N2060">
        <v>1102</v>
      </c>
      <c r="O2060">
        <v>4.5</v>
      </c>
      <c r="P2060">
        <v>3145</v>
      </c>
      <c r="Q2060" t="inlineStr">
        <is>
          <t>69795eada5576f0001c3fb3f</t>
        </is>
      </c>
      <c r="R2060" t="inlineStr">
        <is>
          <t>🚫重复</t>
        </is>
      </c>
      <c r="S2060" t="inlineStr">
        <is>
          <t>高中/高考资料</t>
        </is>
      </c>
      <c r="T2060" t="inlineStr">
        <is>
          <t>0.88</t>
        </is>
      </c>
      <c r="U2060" s="3">
        <v>46112.78107638889</v>
      </c>
      <c r="V2060"/>
      <c r="W2060" s="3">
        <v>46094</v>
      </c>
      <c r="X2060" t="inlineStr">
        <is>
          <t>03</t>
        </is>
      </c>
      <c r="Y2060" t="inlineStr">
        <is>
          <t>2026-Q1</t>
        </is>
      </c>
    </row>
    <row r="2061" ht="38.25" customHeight="1">
      <c r="A2061" t="inlineStr">
        <is>
          <t>2025小学数学寒假同步讲义知识点拨</t>
        </is>
      </c>
      <c r="B2061" t="inlineStr">
        <is>
          <t>recvdJNf43zJFs.jpg</t>
        </is>
      </c>
      <c r="C2061" s="2" t="str">
        <f>=HYPERLINK("https://xhslink.com/m/3BM8V7How9i", "https://xhslink.com/m/3BM8V7How9i")</f>
        <v>https://xhslink.com/m/3BM8V7How9i</v>
      </c>
      <c r="D2061"/>
      <c r="E2061">
        <v>827</v>
      </c>
      <c r="F2061">
        <v>70.8</v>
      </c>
      <c r="G2061"/>
      <c r="H2061">
        <v>600</v>
      </c>
      <c r="I2061"/>
      <c r="J2061"/>
      <c r="K2061" t="inlineStr">
        <is>
          <t>老师资料</t>
        </is>
      </c>
      <c r="L2061"/>
      <c r="M2061" t="inlineStr">
        <is>
          <t>叶老师 教辅资料的店</t>
        </is>
      </c>
      <c r="N2061">
        <v>288</v>
      </c>
      <c r="O2061">
        <v>4.52</v>
      </c>
      <c r="P2061">
        <v>3110</v>
      </c>
      <c r="Q2061" t="inlineStr">
        <is>
          <t>6951c74196a9fa0001a941b1</t>
        </is>
      </c>
      <c r="R2061"/>
      <c r="S2061" t="inlineStr">
        <is>
          <t>中小学教辅/教材</t>
        </is>
      </c>
      <c r="T2061" t="inlineStr">
        <is>
          <t>2.87</t>
        </is>
      </c>
      <c r="U2061" s="3">
        <v>46112.78107638889</v>
      </c>
      <c r="V2061"/>
      <c r="W2061" s="3">
        <v>46094</v>
      </c>
      <c r="X2061" t="inlineStr">
        <is>
          <t>03</t>
        </is>
      </c>
      <c r="Y2061" t="inlineStr">
        <is>
          <t>2026-Q1</t>
        </is>
      </c>
    </row>
    <row r="2062" ht="38.25" customHeight="1">
      <c r="A2062" t="inlineStr">
        <is>
          <t>初中物理网课B站于总CEO八九年级视频课课件习题讲义完结版全集</t>
        </is>
      </c>
      <c r="B2062" t="inlineStr">
        <is>
          <t>recvdJNf43fqFk.jpg</t>
        </is>
      </c>
      <c r="C2062" s="2" t="str">
        <f>=HYPERLINK("https://xhslink.com/m/12Uzm5jsRA1", "https://xhslink.com/m/12Uzm5jsRA1")</f>
        <v>https://xhslink.com/m/12Uzm5jsRA1</v>
      </c>
      <c r="D2062"/>
      <c r="E2062">
        <v>777</v>
      </c>
      <c r="F2062">
        <v>38.8</v>
      </c>
      <c r="G2062"/>
      <c r="H2062">
        <v>250</v>
      </c>
      <c r="I2062"/>
      <c r="J2062"/>
      <c r="K2062" t="inlineStr">
        <is>
          <t>老师资料</t>
        </is>
      </c>
      <c r="L2062"/>
      <c r="M2062" t="inlineStr">
        <is>
          <t>零点的店</t>
        </is>
      </c>
      <c r="N2062">
        <v>331</v>
      </c>
      <c r="O2062">
        <v>4.21</v>
      </c>
      <c r="P2062">
        <v>1329</v>
      </c>
      <c r="Q2062" t="inlineStr">
        <is>
          <t>68a31951a1d30c000107f21c</t>
        </is>
      </c>
      <c r="R2062" t="inlineStr">
        <is>
          <t>🚫重复</t>
        </is>
      </c>
      <c r="S2062" t="inlineStr">
        <is>
          <t>中小学教辅/教材</t>
        </is>
      </c>
      <c r="T2062" t="inlineStr">
        <is>
          <t>2.35</t>
        </is>
      </c>
      <c r="U2062" s="3">
        <v>46112.78107638889</v>
      </c>
      <c r="V2062"/>
      <c r="W2062" s="3">
        <v>46094</v>
      </c>
      <c r="X2062" t="inlineStr">
        <is>
          <t>03</t>
        </is>
      </c>
      <c r="Y2062" t="inlineStr">
        <is>
          <t>2026-Q1</t>
        </is>
      </c>
    </row>
    <row r="2063" ht="38.25" customHeight="1">
      <c r="A2063" t="inlineStr">
        <is>
          <t>教招刷题学习码母题清单小程序教招电子版背诵24小时可退</t>
        </is>
      </c>
      <c r="B2063" t="inlineStr">
        <is>
          <t>recvdJNf434tCe.jpg</t>
        </is>
      </c>
      <c r="C2063" s="2" t="str">
        <f>=HYPERLINK("https://xhslink.com/m/6NCc5W0XQTQ", "https://xhslink.com/m/6NCc5W0XQTQ")</f>
        <v>https://xhslink.com/m/6NCc5W0XQTQ</v>
      </c>
      <c r="D2063"/>
      <c r="E2063">
        <v>727</v>
      </c>
      <c r="F2063">
        <v>79.9</v>
      </c>
      <c r="G2063"/>
      <c r="H2063">
        <v>150</v>
      </c>
      <c r="I2063"/>
      <c r="J2063"/>
      <c r="K2063" t="inlineStr">
        <is>
          <t>老师资料</t>
        </is>
      </c>
      <c r="L2063"/>
      <c r="M2063" t="inlineStr">
        <is>
          <t>小鱼儿教招的店</t>
        </is>
      </c>
      <c r="N2063">
        <v>1122</v>
      </c>
      <c r="O2063">
        <v>4.19</v>
      </c>
      <c r="P2063">
        <v>8624</v>
      </c>
      <c r="Q2063" t="inlineStr">
        <is>
          <t>68bea3368f53130001be6654</t>
        </is>
      </c>
      <c r="R2063"/>
      <c r="S2063" t="inlineStr">
        <is>
          <t>无匹配类别</t>
        </is>
      </c>
      <c r="T2063" t="inlineStr">
        <is>
          <t>0.65</t>
        </is>
      </c>
      <c r="U2063" s="3">
        <v>46112.78107638889</v>
      </c>
      <c r="V2063"/>
      <c r="W2063" s="3">
        <v>46094</v>
      </c>
      <c r="X2063" t="inlineStr">
        <is>
          <t>03</t>
        </is>
      </c>
      <c r="Y2063" t="inlineStr">
        <is>
          <t>2026-Q1</t>
        </is>
      </c>
    </row>
    <row r="2064" ht="38.25" customHeight="1">
      <c r="A2064" t="inlineStr">
        <is>
          <t>2025秋新版初中道法七八九年级上册思维导图早背晚默知识点</t>
        </is>
      </c>
      <c r="B2064" t="inlineStr">
        <is>
          <t>recvdJNf43Dh9A.jpg</t>
        </is>
      </c>
      <c r="C2064" s="2" t="str">
        <f>=HYPERLINK("https://xhslink.com/m/2dygzwTZEYq", "https://xhslink.com/m/2dygzwTZEYq")</f>
        <v>https://xhslink.com/m/2dygzwTZEYq</v>
      </c>
      <c r="D2064"/>
      <c r="E2064">
        <v>711</v>
      </c>
      <c r="F2064">
        <v>168</v>
      </c>
      <c r="G2064"/>
      <c r="H2064">
        <v>150</v>
      </c>
      <c r="I2064"/>
      <c r="J2064"/>
      <c r="K2064" t="inlineStr">
        <is>
          <t>老师资料</t>
        </is>
      </c>
      <c r="L2064"/>
      <c r="M2064" t="inlineStr">
        <is>
          <t>大硕老师资料铺的店</t>
        </is>
      </c>
      <c r="N2064">
        <v>262</v>
      </c>
      <c r="O2064">
        <v>4.42</v>
      </c>
      <c r="P2064">
        <v>2775</v>
      </c>
      <c r="Q2064" t="inlineStr">
        <is>
          <t>693139dcaa620700016a98ff</t>
        </is>
      </c>
      <c r="R2064"/>
      <c r="S2064" t="inlineStr">
        <is>
          <t>中小学教辅/教材</t>
        </is>
      </c>
      <c r="T2064" t="inlineStr">
        <is>
          <t>2.71</t>
        </is>
      </c>
      <c r="U2064" s="3">
        <v>46112.78107638889</v>
      </c>
      <c r="V2064"/>
      <c r="W2064" s="3">
        <v>46094</v>
      </c>
      <c r="X2064" t="inlineStr">
        <is>
          <t>03</t>
        </is>
      </c>
      <c r="Y2064" t="inlineStr">
        <is>
          <t>2026-Q1</t>
        </is>
      </c>
    </row>
    <row r="2065" ht="38.25" customHeight="1">
      <c r="A2065" t="inlineStr">
        <is>
          <t>初中课内文言文知识梳理</t>
        </is>
      </c>
      <c r="B2065" t="inlineStr">
        <is>
          <t>recvdJNf43zHvq.jpg</t>
        </is>
      </c>
      <c r="C2065" s="2" t="str">
        <f>=HYPERLINK("https://xhslink.com/m/6goeE20vOgE", "https://xhslink.com/m/6goeE20vOgE")</f>
        <v>https://xhslink.com/m/6goeE20vOgE</v>
      </c>
      <c r="D2065"/>
      <c r="E2065">
        <v>667</v>
      </c>
      <c r="F2065">
        <v>29.9</v>
      </c>
      <c r="G2065"/>
      <c r="H2065">
        <v>100</v>
      </c>
      <c r="I2065"/>
      <c r="J2065"/>
      <c r="K2065" t="inlineStr">
        <is>
          <t>老师资料</t>
        </is>
      </c>
      <c r="L2065"/>
      <c r="M2065" t="inlineStr">
        <is>
          <t>一二老师的店</t>
        </is>
      </c>
      <c r="N2065">
        <v>5723</v>
      </c>
      <c r="O2065">
        <v>4.57</v>
      </c>
      <c r="P2065">
        <v>16000</v>
      </c>
      <c r="Q2065" t="inlineStr">
        <is>
          <t>67b1c8c529b9f70001cf266b</t>
        </is>
      </c>
      <c r="R2065" t="inlineStr">
        <is>
          <t>🚫重复</t>
        </is>
      </c>
      <c r="S2065" t="inlineStr">
        <is>
          <t>中小学教辅/教材</t>
        </is>
      </c>
      <c r="T2065" t="inlineStr">
        <is>
          <t>0.12</t>
        </is>
      </c>
      <c r="U2065" s="3">
        <v>46112.78107638889</v>
      </c>
      <c r="V2065"/>
      <c r="W2065" s="3">
        <v>46094</v>
      </c>
      <c r="X2065" t="inlineStr">
        <is>
          <t>03</t>
        </is>
      </c>
      <c r="Y2065" t="inlineStr">
        <is>
          <t>2026-Q1</t>
        </is>
      </c>
    </row>
    <row r="2066" ht="38.25" customHeight="1">
      <c r="A2066" t="inlineStr">
        <is>
          <t>【2026新高考】精华一轮+二轮复习资料专项练习九科知识点</t>
        </is>
      </c>
      <c r="B2066" t="inlineStr">
        <is>
          <t>recvdJNf438Ens.jpg</t>
        </is>
      </c>
      <c r="C2066" s="2" t="str">
        <f>=HYPERLINK("https://xhslink.com/m/AgTudfN0RWt", "https://xhslink.com/m/AgTudfN0RWt")</f>
        <v>https://xhslink.com/m/AgTudfN0RWt</v>
      </c>
      <c r="D2066"/>
      <c r="E2066">
        <v>596</v>
      </c>
      <c r="F2066">
        <v>26.9</v>
      </c>
      <c r="G2066"/>
      <c r="H2066">
        <v>250</v>
      </c>
      <c r="I2066"/>
      <c r="J2066"/>
      <c r="K2066" t="inlineStr">
        <is>
          <t>老师资料</t>
        </is>
      </c>
      <c r="L2066"/>
      <c r="M2066" t="inlineStr">
        <is>
          <t>清华齐老师（宝藏资料）的店</t>
        </is>
      </c>
      <c r="N2066">
        <v>1698</v>
      </c>
      <c r="O2066">
        <v>4.55</v>
      </c>
      <c r="P2066">
        <v>15000</v>
      </c>
      <c r="Q2066" t="inlineStr">
        <is>
          <t>680adf9991d86000019c82cd</t>
        </is>
      </c>
      <c r="R2066" t="inlineStr">
        <is>
          <t>🚫重复</t>
        </is>
      </c>
      <c r="S2066" t="inlineStr">
        <is>
          <t>高中/高考资料</t>
        </is>
      </c>
      <c r="T2066" t="inlineStr">
        <is>
          <t>0.35</t>
        </is>
      </c>
      <c r="U2066" s="3">
        <v>46112.78107638889</v>
      </c>
      <c r="V2066"/>
      <c r="W2066" s="3">
        <v>46094</v>
      </c>
      <c r="X2066" t="inlineStr">
        <is>
          <t>03</t>
        </is>
      </c>
      <c r="Y2066" t="inlineStr">
        <is>
          <t>2026-Q1</t>
        </is>
      </c>
    </row>
    <row r="2067" ht="38.25" customHeight="1">
      <c r="A2067" t="inlineStr">
        <is>
          <t>小时光·亲子深度沟通卡牌+送亲子沟通音频课</t>
        </is>
      </c>
      <c r="B2067" t="inlineStr">
        <is>
          <t>recvdJNf43Tejg.jpg</t>
        </is>
      </c>
      <c r="C2067" s="2" t="str">
        <f>=HYPERLINK("https://xhslink.com/m/2AE9ndzPMts", "https://xhslink.com/m/2AE9ndzPMts")</f>
        <v>https://xhslink.com/m/2AE9ndzPMts</v>
      </c>
      <c r="D2067"/>
      <c r="E2067">
        <v>84000</v>
      </c>
      <c r="F2067">
        <v>378</v>
      </c>
      <c r="G2067"/>
      <c r="H2067">
        <v>150</v>
      </c>
      <c r="I2067">
        <v>1000</v>
      </c>
      <c r="J2067"/>
      <c r="K2067" t="inlineStr">
        <is>
          <t>老师资料</t>
        </is>
      </c>
      <c r="L2067"/>
      <c r="M2067" t="inlineStr">
        <is>
          <t>小学者的店</t>
        </is>
      </c>
      <c r="N2067">
        <v>84000</v>
      </c>
      <c r="O2067">
        <v>4.75</v>
      </c>
      <c r="P2067">
        <v>180000</v>
      </c>
      <c r="Q2067" t="inlineStr">
        <is>
          <t>68a41c632a871c0001d34772</t>
        </is>
      </c>
      <c r="R2067" t="inlineStr">
        <is>
          <t>🚫重复</t>
        </is>
      </c>
      <c r="S2067" t="inlineStr">
        <is>
          <t>无匹配类别</t>
        </is>
      </c>
      <c r="T2067" t="inlineStr">
        <is>
          <t>1.00</t>
        </is>
      </c>
      <c r="U2067" s="3">
        <v>46112.78107638889</v>
      </c>
      <c r="V2067"/>
      <c r="W2067" s="3">
        <v>46094</v>
      </c>
      <c r="X2067" t="inlineStr">
        <is>
          <t>03</t>
        </is>
      </c>
      <c r="Y2067" t="inlineStr">
        <is>
          <t>2026-Q1</t>
        </is>
      </c>
    </row>
    <row r="2068" ht="38.25" customHeight="1">
      <c r="A2068" t="inlineStr">
        <is>
          <t>【拿谱就弹】第一册｜35首初学者钢琴谱｜五线谱+简谱+重难点笔记</t>
        </is>
      </c>
      <c r="B2068" t="inlineStr">
        <is>
          <t>recvdJNf43HcBA.jpg</t>
        </is>
      </c>
      <c r="C2068" s="2" t="str">
        <f>=HYPERLINK("https://xhslink.com/m/8y48qUJqSh3", "https://xhslink.com/m/8y48qUJqSh3")</f>
        <v>https://xhslink.com/m/8y48qUJqSh3</v>
      </c>
      <c r="D2068"/>
      <c r="E2068">
        <v>39000</v>
      </c>
      <c r="F2068">
        <v>89</v>
      </c>
      <c r="G2068"/>
      <c r="H2068">
        <v>700</v>
      </c>
      <c r="I2068">
        <v>1000</v>
      </c>
      <c r="J2068"/>
      <c r="K2068" t="inlineStr">
        <is>
          <t>老师资料</t>
        </is>
      </c>
      <c r="L2068"/>
      <c r="M2068" t="inlineStr">
        <is>
          <t>思思老师爱音乐的店</t>
        </is>
      </c>
      <c r="N2068">
        <v>107000</v>
      </c>
      <c r="O2068">
        <v>4.52</v>
      </c>
      <c r="P2068">
        <v>51000</v>
      </c>
      <c r="Q2068" t="inlineStr">
        <is>
          <t>670e997800f8a6000120cfbc</t>
        </is>
      </c>
      <c r="R2068"/>
      <c r="S2068" t="inlineStr">
        <is>
          <t>老师资料</t>
        </is>
      </c>
      <c r="T2068" t="inlineStr">
        <is>
          <t>0.36</t>
        </is>
      </c>
      <c r="U2068" s="3">
        <v>46112.78107638889</v>
      </c>
      <c r="V2068"/>
      <c r="W2068" s="3">
        <v>46094</v>
      </c>
      <c r="X2068" t="inlineStr">
        <is>
          <t>03</t>
        </is>
      </c>
      <c r="Y2068" t="inlineStr">
        <is>
          <t>2026-Q1</t>
        </is>
      </c>
    </row>
    <row r="2069" ht="38.25" customHeight="1">
      <c r="A2069" t="inlineStr">
        <is>
          <t>自研英语学习网站｜主题词汇表、AI背词助手</t>
        </is>
      </c>
      <c r="B2069" t="inlineStr">
        <is>
          <t>recvdJNf43475c.jpg</t>
        </is>
      </c>
      <c r="C2069" s="2" t="str">
        <f>=HYPERLINK("https://xhslink.com/m/5Oua9G9WoMF", "https://xhslink.com/m/5Oua9G9WoMF")</f>
        <v>https://xhslink.com/m/5Oua9G9WoMF</v>
      </c>
      <c r="D2069"/>
      <c r="E2069">
        <v>15000</v>
      </c>
      <c r="F2069">
        <v>48.8</v>
      </c>
      <c r="G2069"/>
      <c r="H2069">
        <v>100</v>
      </c>
      <c r="I2069">
        <v>1000</v>
      </c>
      <c r="J2069"/>
      <c r="K2069" t="inlineStr">
        <is>
          <t>老师资料</t>
        </is>
      </c>
      <c r="L2069" t="inlineStr">
        <is>
          <t>🔥低粉爆款</t>
        </is>
      </c>
      <c r="M2069" t="inlineStr">
        <is>
          <t>小曼学英语的店</t>
        </is>
      </c>
      <c r="N2069">
        <v>2380</v>
      </c>
      <c r="O2069">
        <v>4.23</v>
      </c>
      <c r="P2069">
        <v>15000</v>
      </c>
      <c r="Q2069" t="inlineStr">
        <is>
          <t>682699da92843c00018aa258</t>
        </is>
      </c>
      <c r="R2069"/>
      <c r="S2069" t="inlineStr">
        <is>
          <t>英语资料</t>
        </is>
      </c>
      <c r="T2069" t="inlineStr">
        <is>
          <t>6.30</t>
        </is>
      </c>
      <c r="U2069" s="3">
        <v>46112.78107638889</v>
      </c>
      <c r="V2069"/>
      <c r="W2069" s="3">
        <v>46094</v>
      </c>
      <c r="X2069" t="inlineStr">
        <is>
          <t>03</t>
        </is>
      </c>
      <c r="Y2069" t="inlineStr">
        <is>
          <t>2026-Q1</t>
        </is>
      </c>
    </row>
    <row r="2070" ht="38.25" customHeight="1">
      <c r="A2070" t="inlineStr">
        <is>
          <t>【中小学必备】2026新款世界&amp;中国3D立体凹凸地图</t>
        </is>
      </c>
      <c r="B2070" t="inlineStr">
        <is>
          <t>recvdJNf43DDl0.jpg</t>
        </is>
      </c>
      <c r="C2070" s="2" t="str">
        <f>=HYPERLINK("https://xhslink.com/m/7RfqGJAoygb", "https://xhslink.com/m/7RfqGJAoygb")</f>
        <v>https://xhslink.com/m/7RfqGJAoygb</v>
      </c>
      <c r="D2070"/>
      <c r="E2070">
        <v>16000</v>
      </c>
      <c r="F2070">
        <v>229</v>
      </c>
      <c r="G2070"/>
      <c r="H2070">
        <v>300</v>
      </c>
      <c r="I2070">
        <v>1000</v>
      </c>
      <c r="J2070"/>
      <c r="K2070" t="inlineStr">
        <is>
          <t>老师资料</t>
        </is>
      </c>
      <c r="L2070"/>
      <c r="M2070" t="inlineStr">
        <is>
          <t>深柳学堂的店</t>
        </is>
      </c>
      <c r="N2070">
        <v>8859</v>
      </c>
      <c r="O2070">
        <v>4.49</v>
      </c>
      <c r="P2070">
        <v>21000</v>
      </c>
      <c r="Q2070" t="inlineStr">
        <is>
          <t>65976884a9949900018a5d04</t>
        </is>
      </c>
      <c r="R2070" t="inlineStr">
        <is>
          <t>🚫重复</t>
        </is>
      </c>
      <c r="S2070" t="inlineStr">
        <is>
          <t>中小学教辅/教材</t>
        </is>
      </c>
      <c r="T2070" t="inlineStr">
        <is>
          <t>1.81</t>
        </is>
      </c>
      <c r="U2070" s="3">
        <v>46112.78107638889</v>
      </c>
      <c r="V2070"/>
      <c r="W2070" s="3">
        <v>46094</v>
      </c>
      <c r="X2070" t="inlineStr">
        <is>
          <t>03</t>
        </is>
      </c>
      <c r="Y2070" t="inlineStr">
        <is>
          <t>2026-Q1</t>
        </is>
      </c>
    </row>
    <row r="2071" ht="38.25" customHeight="1">
      <c r="A2071" t="inlineStr">
        <is>
          <t>2026社区工作者招聘考试题库软件笔记资料社区知识行测公基专业</t>
        </is>
      </c>
      <c r="B2071" t="inlineStr">
        <is>
          <t>recvdJNf43pMyH.jpg</t>
        </is>
      </c>
      <c r="C2071" s="2" t="str">
        <f>=HYPERLINK("https://xhslink.com/m/31lHqrvczXX", "https://xhslink.com/m/31lHqrvczXX")</f>
        <v>https://xhslink.com/m/31lHqrvczXX</v>
      </c>
      <c r="D2071"/>
      <c r="E2071">
        <v>13000</v>
      </c>
      <c r="F2071">
        <v>32.88</v>
      </c>
      <c r="G2071"/>
      <c r="H2071">
        <v>150</v>
      </c>
      <c r="I2071">
        <v>1000</v>
      </c>
      <c r="J2071"/>
      <c r="K2071" t="inlineStr">
        <is>
          <t>老师资料</t>
        </is>
      </c>
      <c r="L2071"/>
      <c r="M2071" t="inlineStr">
        <is>
          <t>乐X峰题库I星途的店</t>
        </is>
      </c>
      <c r="N2071">
        <v>12000</v>
      </c>
      <c r="O2071">
        <v>4.53</v>
      </c>
      <c r="P2071">
        <v>80000</v>
      </c>
      <c r="Q2071" t="inlineStr">
        <is>
          <t>689d97f74dbac20001aab802</t>
        </is>
      </c>
      <c r="R2071" t="inlineStr">
        <is>
          <t>🚫重复</t>
        </is>
      </c>
      <c r="S2071" t="inlineStr">
        <is>
          <t>无匹配类别</t>
        </is>
      </c>
      <c r="T2071" t="inlineStr">
        <is>
          <t>1.08</t>
        </is>
      </c>
      <c r="U2071" s="3">
        <v>46112.78107638889</v>
      </c>
      <c r="V2071"/>
      <c r="W2071" s="3">
        <v>46094</v>
      </c>
      <c r="X2071" t="inlineStr">
        <is>
          <t>03</t>
        </is>
      </c>
      <c r="Y2071" t="inlineStr">
        <is>
          <t>2026-Q1</t>
        </is>
      </c>
    </row>
    <row r="2072" ht="38.25" customHeight="1">
      <c r="A2072" t="inlineStr">
        <is>
          <t>悦刊 · 21世纪学生英语报25-26年小学版初一初二初三高一高二高三报纸</t>
        </is>
      </c>
      <c r="B2072" t="inlineStr">
        <is>
          <t>recvdJNf43DKjY.jpg</t>
        </is>
      </c>
      <c r="C2072" s="2" t="str">
        <f>=HYPERLINK("https://xhslink.com/m/2gvqC1Cuaov", "https://xhslink.com/m/2gvqC1Cuaov")</f>
        <v>https://xhslink.com/m/2gvqC1Cuaov</v>
      </c>
      <c r="D2072"/>
      <c r="E2072">
        <v>12000</v>
      </c>
      <c r="F2072">
        <v>69</v>
      </c>
      <c r="G2072"/>
      <c r="H2072">
        <v>250</v>
      </c>
      <c r="I2072">
        <v>1000</v>
      </c>
      <c r="J2072"/>
      <c r="K2072" t="inlineStr">
        <is>
          <t>老师资料</t>
        </is>
      </c>
      <c r="L2072"/>
      <c r="M2072" t="inlineStr">
        <is>
          <t>悦刊旗舰店</t>
        </is>
      </c>
      <c r="N2072">
        <v>83000</v>
      </c>
      <c r="O2072">
        <v>4.73</v>
      </c>
      <c r="P2072">
        <v>187000</v>
      </c>
      <c r="Q2072" t="inlineStr">
        <is>
          <t>6982a229ab9b880001602eab</t>
        </is>
      </c>
      <c r="R2072" t="inlineStr">
        <is>
          <t>🚫重复</t>
        </is>
      </c>
      <c r="S2072" t="inlineStr">
        <is>
          <t>中小学教辅/教材</t>
        </is>
      </c>
      <c r="T2072" t="inlineStr">
        <is>
          <t>0.14</t>
        </is>
      </c>
      <c r="U2072" s="3">
        <v>46112.78107638889</v>
      </c>
      <c r="V2072"/>
      <c r="W2072" s="3">
        <v>46094</v>
      </c>
      <c r="X2072" t="inlineStr">
        <is>
          <t>03</t>
        </is>
      </c>
      <c r="Y2072" t="inlineStr">
        <is>
          <t>2026-Q1</t>
        </is>
      </c>
    </row>
    <row r="2073" ht="38.25" customHeight="1">
      <c r="A2073" t="inlineStr">
        <is>
          <t>精准vi题库 实时真是模拟 商学院offer面试 高级模考</t>
        </is>
      </c>
      <c r="B2073" t="inlineStr">
        <is>
          <t>recvdJNf43Tqlm.jpg</t>
        </is>
      </c>
      <c r="C2073" s="2" t="str">
        <f>=HYPERLINK("https://xhslink.com/m/5mnETRnmTCP", "https://xhslink.com/m/5mnETRnmTCP")</f>
        <v>https://xhslink.com/m/5mnETRnmTCP</v>
      </c>
      <c r="D2073"/>
      <c r="E2073">
        <v>9530</v>
      </c>
      <c r="F2073">
        <v>100</v>
      </c>
      <c r="G2073"/>
      <c r="H2073">
        <v>250</v>
      </c>
      <c r="I2073">
        <v>1000</v>
      </c>
      <c r="J2073"/>
      <c r="K2073" t="inlineStr">
        <is>
          <t>老师资料</t>
        </is>
      </c>
      <c r="L2073"/>
      <c r="M2073" t="inlineStr">
        <is>
          <t>HiOffer的店</t>
        </is>
      </c>
      <c r="N2073">
        <v>27000</v>
      </c>
      <c r="O2073">
        <v>4.5</v>
      </c>
      <c r="P2073">
        <v>11000</v>
      </c>
      <c r="Q2073" t="inlineStr">
        <is>
          <t>6747d60752f26600016bac8c</t>
        </is>
      </c>
      <c r="R2073"/>
      <c r="S2073" t="inlineStr">
        <is>
          <t>求职面试/职场</t>
        </is>
      </c>
      <c r="T2073" t="inlineStr">
        <is>
          <t>0.35</t>
        </is>
      </c>
      <c r="U2073" s="3">
        <v>46112.78107638889</v>
      </c>
      <c r="V2073"/>
      <c r="W2073" s="3">
        <v>46094</v>
      </c>
      <c r="X2073" t="inlineStr">
        <is>
          <t>03</t>
        </is>
      </c>
      <c r="Y2073" t="inlineStr">
        <is>
          <t>2026-Q1</t>
        </is>
      </c>
    </row>
    <row r="2074" ht="38.25" customHeight="1">
      <c r="A2074" t="inlineStr">
        <is>
          <t>高中作文议论文  纸质版笔记本</t>
        </is>
      </c>
      <c r="B2074" t="inlineStr">
        <is>
          <t>recvdJNf43R6va.jpg</t>
        </is>
      </c>
      <c r="C2074" s="2" t="str">
        <f>=HYPERLINK("https://xhslink.com/m/3MbbCx43PT9", "https://xhslink.com/m/3MbbCx43PT9")</f>
        <v>https://xhslink.com/m/3MbbCx43PT9</v>
      </c>
      <c r="D2074"/>
      <c r="E2074">
        <v>4187</v>
      </c>
      <c r="F2074">
        <v>129</v>
      </c>
      <c r="G2074"/>
      <c r="H2074">
        <v>150</v>
      </c>
      <c r="I2074"/>
      <c r="J2074"/>
      <c r="K2074" t="inlineStr">
        <is>
          <t>老师资料</t>
        </is>
      </c>
      <c r="L2074"/>
      <c r="M2074" t="inlineStr">
        <is>
          <t>上上签高中语文的店</t>
        </is>
      </c>
      <c r="N2074">
        <v>21000</v>
      </c>
      <c r="O2074">
        <v>4.57</v>
      </c>
      <c r="P2074">
        <v>32000</v>
      </c>
      <c r="Q2074" t="inlineStr">
        <is>
          <t>67f0a2b2e8f2430001ed0d6e</t>
        </is>
      </c>
      <c r="R2074" t="inlineStr">
        <is>
          <t>🚫重复</t>
        </is>
      </c>
      <c r="S2074" t="inlineStr">
        <is>
          <t>高中/高考资料</t>
        </is>
      </c>
      <c r="T2074" t="inlineStr">
        <is>
          <t>0.20</t>
        </is>
      </c>
      <c r="U2074" s="3">
        <v>46112.78107638889</v>
      </c>
      <c r="V2074"/>
      <c r="W2074" s="3">
        <v>46094</v>
      </c>
      <c r="X2074" t="inlineStr">
        <is>
          <t>03</t>
        </is>
      </c>
      <c r="Y2074" t="inlineStr">
        <is>
          <t>2026-Q1</t>
        </is>
      </c>
    </row>
    <row r="2075" ht="38.25" customHeight="1">
      <c r="A2075" t="inlineStr">
        <is>
          <t>考试宝典 · 挂历印刷品。1—9年级上下册各科期末</t>
        </is>
      </c>
      <c r="B2075" t="inlineStr">
        <is>
          <t>recvdJNf43X87e.jpg</t>
        </is>
      </c>
      <c r="C2075" s="2" t="str">
        <f>=HYPERLINK("https://xhslink.com/m/7utNJHH5tqO", "https://xhslink.com/m/7utNJHH5tqO")</f>
        <v>https://xhslink.com/m/7utNJHH5tqO</v>
      </c>
      <c r="D2075"/>
      <c r="E2075">
        <v>2998</v>
      </c>
      <c r="F2075">
        <v>89.9</v>
      </c>
      <c r="G2075"/>
      <c r="H2075">
        <v>550</v>
      </c>
      <c r="I2075"/>
      <c r="J2075"/>
      <c r="K2075" t="inlineStr">
        <is>
          <t>老师资料</t>
        </is>
      </c>
      <c r="L2075"/>
      <c r="M2075" t="inlineStr">
        <is>
          <t>温州老教师（1到9年级全）的店</t>
        </is>
      </c>
      <c r="N2075">
        <v>11000</v>
      </c>
      <c r="O2075">
        <v>4.33</v>
      </c>
      <c r="P2075">
        <v>15000</v>
      </c>
      <c r="Q2075" t="inlineStr">
        <is>
          <t>687df3ec417c3f0001d26050</t>
        </is>
      </c>
      <c r="R2075" t="inlineStr">
        <is>
          <t>🚫重复</t>
        </is>
      </c>
      <c r="S2075" t="inlineStr">
        <is>
          <t>中小学教辅/教材</t>
        </is>
      </c>
      <c r="T2075" t="inlineStr">
        <is>
          <t>0.27</t>
        </is>
      </c>
      <c r="U2075" s="3">
        <v>46112.78107638889</v>
      </c>
      <c r="V2075"/>
      <c r="W2075" s="3">
        <v>46094</v>
      </c>
      <c r="X2075" t="inlineStr">
        <is>
          <t>03</t>
        </is>
      </c>
      <c r="Y2075" t="inlineStr">
        <is>
          <t>2026-Q1</t>
        </is>
      </c>
    </row>
    <row r="2076" ht="38.25" customHeight="1">
      <c r="A2076" t="inlineStr">
        <is>
          <t>母语思维 180天英语训练营 口语听力语法综合突破</t>
        </is>
      </c>
      <c r="B2076" t="inlineStr">
        <is>
          <t>recvdJNf430ujJ.jpg</t>
        </is>
      </c>
      <c r="C2076" s="2" t="str">
        <f>=HYPERLINK("https://xhslink.com/m/3qPPuUbwpq0", "https://xhslink.com/m/3qPPuUbwpq0")</f>
        <v>https://xhslink.com/m/3qPPuUbwpq0</v>
      </c>
      <c r="D2076"/>
      <c r="E2076">
        <v>3004</v>
      </c>
      <c r="F2076">
        <v>6780</v>
      </c>
      <c r="G2076"/>
      <c r="H2076">
        <v>150</v>
      </c>
      <c r="I2076"/>
      <c r="J2076"/>
      <c r="K2076" t="inlineStr">
        <is>
          <t>老师资料</t>
        </is>
      </c>
      <c r="L2076"/>
      <c r="M2076" t="inlineStr">
        <is>
          <t>糖说英语的店</t>
        </is>
      </c>
      <c r="N2076">
        <v>281000</v>
      </c>
      <c r="O2076">
        <v>4.55</v>
      </c>
      <c r="P2076">
        <v>3205</v>
      </c>
      <c r="Q2076" t="inlineStr">
        <is>
          <t>65f65eef9adbd500014abbf9</t>
        </is>
      </c>
      <c r="R2076"/>
      <c r="S2076" t="inlineStr">
        <is>
          <t>英语资料</t>
        </is>
      </c>
      <c r="T2076" t="inlineStr">
        <is>
          <t>0.01</t>
        </is>
      </c>
      <c r="U2076" s="3">
        <v>46112.78107638889</v>
      </c>
      <c r="V2076"/>
      <c r="W2076" s="3">
        <v>46094</v>
      </c>
      <c r="X2076" t="inlineStr">
        <is>
          <t>03</t>
        </is>
      </c>
      <c r="Y2076" t="inlineStr">
        <is>
          <t>2026-Q1</t>
        </is>
      </c>
    </row>
    <row r="2077" ht="38.25" customHeight="1">
      <c r="A2077" t="inlineStr">
        <is>
          <t>2026新版小学语文一二三四五六年级上下册级资料包</t>
        </is>
      </c>
      <c r="B2077" t="inlineStr">
        <is>
          <t>recvdJNf43TSCH.jpg</t>
        </is>
      </c>
      <c r="C2077" s="2" t="str">
        <f>=HYPERLINK("https://xhslink.com/m/1kHjN57VH8X", "https://xhslink.com/m/1kHjN57VH8X")</f>
        <v>https://xhslink.com/m/1kHjN57VH8X</v>
      </c>
      <c r="D2077"/>
      <c r="E2077">
        <v>2326</v>
      </c>
      <c r="F2077">
        <v>88.6</v>
      </c>
      <c r="G2077"/>
      <c r="H2077">
        <v>600</v>
      </c>
      <c r="I2077">
        <v>1000</v>
      </c>
      <c r="J2077"/>
      <c r="K2077" t="inlineStr">
        <is>
          <t>老师资料</t>
        </is>
      </c>
      <c r="L2077"/>
      <c r="M2077" t="inlineStr">
        <is>
          <t>晓晓老师成长记的店</t>
        </is>
      </c>
      <c r="N2077">
        <v>11000</v>
      </c>
      <c r="O2077">
        <v>4.53</v>
      </c>
      <c r="P2077">
        <v>4344</v>
      </c>
      <c r="Q2077" t="inlineStr">
        <is>
          <t>69061f15becfcc00018a5fd8</t>
        </is>
      </c>
      <c r="R2077" t="inlineStr">
        <is>
          <t>🚫重复</t>
        </is>
      </c>
      <c r="S2077" t="inlineStr">
        <is>
          <t>中小学教辅/教材</t>
        </is>
      </c>
      <c r="T2077" t="inlineStr">
        <is>
          <t>0.21</t>
        </is>
      </c>
      <c r="U2077" s="3">
        <v>46112.78107638889</v>
      </c>
      <c r="V2077"/>
      <c r="W2077" s="3">
        <v>46094</v>
      </c>
      <c r="X2077" t="inlineStr">
        <is>
          <t>03</t>
        </is>
      </c>
      <c r="Y2077" t="inlineStr">
        <is>
          <t>2026-Q1</t>
        </is>
      </c>
    </row>
    <row r="2078" ht="38.25" customHeight="1">
      <c r="A2078" t="inlineStr">
        <is>
          <t>文创创业5天实战训练营！每日点评作业</t>
        </is>
      </c>
      <c r="B2078" t="inlineStr">
        <is>
          <t>recvdJNf43GlZP.jpg</t>
        </is>
      </c>
      <c r="C2078" s="2" t="str">
        <f>=HYPERLINK("https://xhslink.com/m/6xjxJepRBdt", "https://xhslink.com/m/6xjxJepRBdt")</f>
        <v>https://xhslink.com/m/6xjxJepRBdt</v>
      </c>
      <c r="D2078"/>
      <c r="E2078">
        <v>2086</v>
      </c>
      <c r="F2078">
        <v>399</v>
      </c>
      <c r="G2078"/>
      <c r="H2078">
        <v>100</v>
      </c>
      <c r="I2078">
        <v>1000</v>
      </c>
      <c r="J2078"/>
      <c r="K2078" t="inlineStr">
        <is>
          <t>老师资料</t>
        </is>
      </c>
      <c r="L2078"/>
      <c r="M2078" t="inlineStr">
        <is>
          <t>财源滚滚金小龙的店</t>
        </is>
      </c>
      <c r="N2078">
        <v>16000</v>
      </c>
      <c r="O2078">
        <v>4.03</v>
      </c>
      <c r="P2078">
        <v>3593</v>
      </c>
      <c r="Q2078" t="inlineStr">
        <is>
          <t>68273c5b82d86e00016b243f</t>
        </is>
      </c>
      <c r="R2078"/>
      <c r="S2078" t="inlineStr">
        <is>
          <t>运营资料</t>
        </is>
      </c>
      <c r="T2078" t="inlineStr">
        <is>
          <t>0.13</t>
        </is>
      </c>
      <c r="U2078" s="3">
        <v>46112.78107638889</v>
      </c>
      <c r="V2078"/>
      <c r="W2078" s="3">
        <v>46094</v>
      </c>
      <c r="X2078" t="inlineStr">
        <is>
          <t>03</t>
        </is>
      </c>
      <c r="Y2078" t="inlineStr">
        <is>
          <t>2026-Q1</t>
        </is>
      </c>
    </row>
    <row r="2079" ht="38.25" customHeight="1">
      <c r="A2079" t="inlineStr">
        <is>
          <t>黄翔：脑科学博士激活学习力-线上训练营A</t>
        </is>
      </c>
      <c r="B2079" t="inlineStr">
        <is>
          <t>recvdJNf43yvTv.jpg</t>
        </is>
      </c>
      <c r="C2079" s="2" t="str">
        <f>=HYPERLINK("https://xhslink.com/m/ZCAURyAyFf", "https://xhslink.com/m/ZCAURyAyFf")</f>
        <v>https://xhslink.com/m/ZCAURyAyFf</v>
      </c>
      <c r="D2079"/>
      <c r="E2079">
        <v>1803</v>
      </c>
      <c r="F2079">
        <v>299</v>
      </c>
      <c r="G2079"/>
      <c r="H2079">
        <v>200</v>
      </c>
      <c r="I2079">
        <v>1000</v>
      </c>
      <c r="J2079"/>
      <c r="K2079" t="inlineStr">
        <is>
          <t>老师资料</t>
        </is>
      </c>
      <c r="L2079" t="inlineStr">
        <is>
          <t>🔥低粉爆款</t>
        </is>
      </c>
      <c r="M2079" t="inlineStr">
        <is>
          <t>北清引领文化教育的店</t>
        </is>
      </c>
      <c r="N2079">
        <v>99</v>
      </c>
      <c r="O2079">
        <v>4.21</v>
      </c>
      <c r="P2079">
        <v>1853</v>
      </c>
      <c r="Q2079" t="inlineStr">
        <is>
          <t>672c855247f3d000012000bd</t>
        </is>
      </c>
      <c r="R2079"/>
      <c r="S2079" t="inlineStr">
        <is>
          <t>生活成长</t>
        </is>
      </c>
      <c r="T2079" t="inlineStr">
        <is>
          <t>18.21</t>
        </is>
      </c>
      <c r="U2079" s="3">
        <v>46112.78107638889</v>
      </c>
      <c r="V2079"/>
      <c r="W2079" s="3">
        <v>46094</v>
      </c>
      <c r="X2079" t="inlineStr">
        <is>
          <t>03</t>
        </is>
      </c>
      <c r="Y2079" t="inlineStr">
        <is>
          <t>2026-Q1</t>
        </is>
      </c>
    </row>
    <row r="2080" ht="38.25" customHeight="1">
      <c r="A2080" t="inlineStr">
        <is>
          <t>环境专业26届春招岗位表（25-26届）</t>
        </is>
      </c>
      <c r="B2080" t="inlineStr">
        <is>
          <t>recvdJNf43RtUN.jpg</t>
        </is>
      </c>
      <c r="C2080" s="2" t="str">
        <f>=HYPERLINK("https://xhslink.com/m/2UmjMkc0YFP", "https://xhslink.com/m/2UmjMkc0YFP")</f>
        <v>https://xhslink.com/m/2UmjMkc0YFP</v>
      </c>
      <c r="D2080"/>
      <c r="E2080">
        <v>1790</v>
      </c>
      <c r="F2080">
        <v>59.9</v>
      </c>
      <c r="G2080"/>
      <c r="H2080">
        <v>100</v>
      </c>
      <c r="I2080">
        <v>1000</v>
      </c>
      <c r="J2080"/>
      <c r="K2080" t="inlineStr">
        <is>
          <t>老师资料</t>
        </is>
      </c>
      <c r="L2080"/>
      <c r="M2080" t="inlineStr">
        <is>
          <t>环境就业推荐官的店</t>
        </is>
      </c>
      <c r="N2080">
        <v>19000</v>
      </c>
      <c r="O2080">
        <v>3.99</v>
      </c>
      <c r="P2080">
        <v>4259</v>
      </c>
      <c r="Q2080" t="inlineStr">
        <is>
          <t>687cb896a7c1e30001b00cd9</t>
        </is>
      </c>
      <c r="R2080" t="inlineStr">
        <is>
          <t>🚫重复</t>
        </is>
      </c>
      <c r="S2080" t="inlineStr">
        <is>
          <t>求职面试/职场</t>
        </is>
      </c>
      <c r="T2080" t="inlineStr">
        <is>
          <t>0.09</t>
        </is>
      </c>
      <c r="U2080" s="3">
        <v>46112.78107638889</v>
      </c>
      <c r="V2080"/>
      <c r="W2080" s="3">
        <v>46094</v>
      </c>
      <c r="X2080" t="inlineStr">
        <is>
          <t>03</t>
        </is>
      </c>
      <c r="Y2080" t="inlineStr">
        <is>
          <t>2026-Q1</t>
        </is>
      </c>
    </row>
    <row r="2081" ht="38.25" customHeight="1">
      <c r="A2081" t="inlineStr">
        <is>
          <t>腿腿羽毛球系统课</t>
        </is>
      </c>
      <c r="B2081" t="inlineStr">
        <is>
          <t>recvdJNf4308ld.jpg</t>
        </is>
      </c>
      <c r="C2081" s="2" t="str">
        <f>=HYPERLINK("https://xhslink.com/m/6GtaBnOB5hT", "https://xhslink.com/m/6GtaBnOB5hT")</f>
        <v>https://xhslink.com/m/6GtaBnOB5hT</v>
      </c>
      <c r="D2081"/>
      <c r="E2081">
        <v>1724</v>
      </c>
      <c r="F2081">
        <v>699</v>
      </c>
      <c r="G2081"/>
      <c r="H2081">
        <v>100</v>
      </c>
      <c r="I2081">
        <v>1000</v>
      </c>
      <c r="J2081"/>
      <c r="K2081" t="inlineStr">
        <is>
          <t>老师资料</t>
        </is>
      </c>
      <c r="L2081" t="inlineStr">
        <is>
          <t>🔥低粉爆款</t>
        </is>
      </c>
      <c r="M2081" t="inlineStr">
        <is>
          <t>飒飒玛俪的店</t>
        </is>
      </c>
      <c r="N2081">
        <v>49</v>
      </c>
      <c r="O2081">
        <v>4.53</v>
      </c>
      <c r="P2081">
        <v>1842</v>
      </c>
      <c r="Q2081" t="inlineStr">
        <is>
          <t>686de4a40bb408000159ec89</t>
        </is>
      </c>
      <c r="R2081"/>
      <c r="S2081" t="inlineStr">
        <is>
          <t>生活成长</t>
        </is>
      </c>
      <c r="T2081" t="inlineStr">
        <is>
          <t>35.18</t>
        </is>
      </c>
      <c r="U2081" s="3">
        <v>46112.78107638889</v>
      </c>
      <c r="V2081"/>
      <c r="W2081" s="3">
        <v>46094</v>
      </c>
      <c r="X2081" t="inlineStr">
        <is>
          <t>03</t>
        </is>
      </c>
      <c r="Y2081" t="inlineStr">
        <is>
          <t>2026-Q1</t>
        </is>
      </c>
    </row>
    <row r="2082" ht="38.25" customHeight="1">
      <c r="A2082" t="inlineStr">
        <is>
          <t>初中单元期中期末月考检测卷初一初二初三人教版电子版</t>
        </is>
      </c>
      <c r="B2082" t="inlineStr">
        <is>
          <t>recvdJNf43c7RU.jpg</t>
        </is>
      </c>
      <c r="C2082" s="2" t="str">
        <f>=HYPERLINK("https://xhslink.com/m/1vHGggHGZBh", "https://xhslink.com/m/1vHGggHGZBh")</f>
        <v>https://xhslink.com/m/1vHGggHGZBh</v>
      </c>
      <c r="D2082"/>
      <c r="E2082">
        <v>7055</v>
      </c>
      <c r="F2082">
        <v>29.8</v>
      </c>
      <c r="G2082"/>
      <c r="H2082">
        <v>200</v>
      </c>
      <c r="I2082">
        <v>1000</v>
      </c>
      <c r="J2082"/>
      <c r="K2082" t="inlineStr">
        <is>
          <t>初中数学资料</t>
        </is>
      </c>
      <c r="L2082"/>
      <c r="M2082" t="inlineStr">
        <is>
          <t>中考提分宝库的店</t>
        </is>
      </c>
      <c r="N2082">
        <v>22000</v>
      </c>
      <c r="O2082">
        <v>4.3</v>
      </c>
      <c r="P2082">
        <v>78000</v>
      </c>
      <c r="Q2082" t="inlineStr">
        <is>
          <t>67167588edb7ca00012ca574</t>
        </is>
      </c>
      <c r="R2082" t="inlineStr">
        <is>
          <t>🚫重复</t>
        </is>
      </c>
      <c r="S2082" t="inlineStr">
        <is>
          <t>中小学教辅/教材</t>
        </is>
      </c>
      <c r="T2082" t="inlineStr">
        <is>
          <t>0.32</t>
        </is>
      </c>
      <c r="U2082" s="3">
        <v>46112.78107638889</v>
      </c>
      <c r="V2082"/>
      <c r="W2082" s="3">
        <v>46094</v>
      </c>
      <c r="X2082" t="inlineStr">
        <is>
          <t>03</t>
        </is>
      </c>
      <c r="Y2082" t="inlineStr">
        <is>
          <t>2026-Q1</t>
        </is>
      </c>
    </row>
    <row r="2083" ht="38.25" customHeight="1">
      <c r="A2083" t="inlineStr">
        <is>
          <t>经纶学霸 · 2026春季2025秋季 初中5星学霸 视频书 七八九年级上下册版本任选</t>
        </is>
      </c>
      <c r="B2083" t="inlineStr">
        <is>
          <t>recvdJNf43WhW5.jpg</t>
        </is>
      </c>
      <c r="C2083" s="2" t="str">
        <f>=HYPERLINK("https://xhslink.com/m/9RxvIOdyaXR", "https://xhslink.com/m/9RxvIOdyaXR")</f>
        <v>https://xhslink.com/m/9RxvIOdyaXR</v>
      </c>
      <c r="D2083"/>
      <c r="E2083">
        <v>5099</v>
      </c>
      <c r="F2083">
        <v>39.8</v>
      </c>
      <c r="G2083">
        <v>37.8</v>
      </c>
      <c r="H2083">
        <v>450</v>
      </c>
      <c r="I2083">
        <v>1000</v>
      </c>
      <c r="J2083"/>
      <c r="K2083" t="inlineStr">
        <is>
          <t>初中数学资料</t>
        </is>
      </c>
      <c r="L2083"/>
      <c r="M2083" t="inlineStr">
        <is>
          <t>经纶学霸图书旗舰店</t>
        </is>
      </c>
      <c r="N2083">
        <v>13000</v>
      </c>
      <c r="O2083">
        <v>4.82</v>
      </c>
      <c r="P2083">
        <v>56000</v>
      </c>
      <c r="Q2083" t="inlineStr">
        <is>
          <t>67281c891819350001073c92</t>
        </is>
      </c>
      <c r="R2083"/>
      <c r="S2083" t="inlineStr">
        <is>
          <t>中小学教辅/教材</t>
        </is>
      </c>
      <c r="T2083" t="inlineStr">
        <is>
          <t>0.39</t>
        </is>
      </c>
      <c r="U2083" s="3">
        <v>46112.78107638889</v>
      </c>
      <c r="V2083"/>
      <c r="W2083" s="3">
        <v>46094</v>
      </c>
      <c r="X2083" t="inlineStr">
        <is>
          <t>03</t>
        </is>
      </c>
      <c r="Y2083" t="inlineStr">
        <is>
          <t>2026-Q1</t>
        </is>
      </c>
    </row>
    <row r="2084" ht="38.25" customHeight="1">
      <c r="A2084" t="inlineStr">
        <is>
          <t>上岸熊 · 科目三26上教资重点笔记学科知识与能力全科语数外音体美物化生</t>
        </is>
      </c>
      <c r="B2084" t="inlineStr">
        <is>
          <t>recvdJNf43GkA3.jpg</t>
        </is>
      </c>
      <c r="C2084" s="2" t="str">
        <f>=HYPERLINK("https://xhslink.com/m/2cfbsDgnNzY", "https://xhslink.com/m/2cfbsDgnNzY")</f>
        <v>https://xhslink.com/m/2cfbsDgnNzY</v>
      </c>
      <c r="D2084"/>
      <c r="E2084">
        <v>5088</v>
      </c>
      <c r="F2084">
        <v>67.9</v>
      </c>
      <c r="G2084">
        <v>59.9</v>
      </c>
      <c r="H2084">
        <v>500</v>
      </c>
      <c r="I2084">
        <v>1000</v>
      </c>
      <c r="J2084"/>
      <c r="K2084" t="inlineStr">
        <is>
          <t>初中数学资料</t>
        </is>
      </c>
      <c r="L2084"/>
      <c r="M2084" t="inlineStr">
        <is>
          <t>上岸熊旗舰店</t>
        </is>
      </c>
      <c r="N2084">
        <v>9717</v>
      </c>
      <c r="O2084">
        <v>4.58</v>
      </c>
      <c r="P2084">
        <v>46000</v>
      </c>
      <c r="Q2084" t="inlineStr">
        <is>
          <t>63bbb46d5d66260001aadf64</t>
        </is>
      </c>
      <c r="R2084" t="inlineStr">
        <is>
          <t>🚫重复</t>
        </is>
      </c>
      <c r="S2084" t="inlineStr">
        <is>
          <t>教资资料</t>
        </is>
      </c>
      <c r="T2084" t="inlineStr">
        <is>
          <t>0.52</t>
        </is>
      </c>
      <c r="U2084" s="3">
        <v>46112.78107638889</v>
      </c>
      <c r="V2084"/>
      <c r="W2084" s="3">
        <v>46094</v>
      </c>
      <c r="X2084" t="inlineStr">
        <is>
          <t>03</t>
        </is>
      </c>
      <c r="Y2084" t="inlineStr">
        <is>
          <t>2026-Q1</t>
        </is>
      </c>
    </row>
    <row r="2085" ht="38.25" customHeight="1">
      <c r="A2085" t="inlineStr">
        <is>
          <t>初中语文数学英语生物化史地道法知识点【电子版】</t>
        </is>
      </c>
      <c r="B2085" t="inlineStr">
        <is>
          <t>recvdJNf43pu1b.jpg</t>
        </is>
      </c>
      <c r="C2085" s="2" t="str">
        <f>=HYPERLINK("https://xhslink.com/m/2KEugAR6gSv", "https://xhslink.com/m/2KEugAR6gSv")</f>
        <v>https://xhslink.com/m/2KEugAR6gSv</v>
      </c>
      <c r="D2085"/>
      <c r="E2085">
        <v>4967</v>
      </c>
      <c r="F2085">
        <v>59.8</v>
      </c>
      <c r="G2085"/>
      <c r="H2085">
        <v>600</v>
      </c>
      <c r="I2085">
        <v>1000</v>
      </c>
      <c r="J2085"/>
      <c r="K2085" t="inlineStr">
        <is>
          <t>初中数学资料</t>
        </is>
      </c>
      <c r="L2085" t="inlineStr">
        <is>
          <t>🔥低粉爆款</t>
        </is>
      </c>
      <c r="M2085" t="inlineStr">
        <is>
          <t>周老师的资料库的店</t>
        </is>
      </c>
      <c r="N2085">
        <v>1584</v>
      </c>
      <c r="O2085">
        <v>4.59</v>
      </c>
      <c r="P2085">
        <v>12000</v>
      </c>
      <c r="Q2085" t="inlineStr">
        <is>
          <t>6821b8672f87160015e79efd</t>
        </is>
      </c>
      <c r="R2085" t="inlineStr">
        <is>
          <t>🚫重复</t>
        </is>
      </c>
      <c r="S2085" t="inlineStr">
        <is>
          <t>中小学教辅/教材</t>
        </is>
      </c>
      <c r="T2085" t="inlineStr">
        <is>
          <t>3.14</t>
        </is>
      </c>
      <c r="U2085" s="3">
        <v>46112.78107638889</v>
      </c>
      <c r="V2085"/>
      <c r="W2085" s="3">
        <v>46094</v>
      </c>
      <c r="X2085" t="inlineStr">
        <is>
          <t>03</t>
        </is>
      </c>
      <c r="Y2085" t="inlineStr">
        <is>
          <t>2026-Q1</t>
        </is>
      </c>
    </row>
    <row r="2086" ht="38.25" customHeight="1">
      <c r="A2086" t="inlineStr">
        <is>
          <t>2025新版初中数学教辅资料【完整版】</t>
        </is>
      </c>
      <c r="B2086" t="inlineStr">
        <is>
          <t>recvdJNf43Iei7.jpg</t>
        </is>
      </c>
      <c r="C2086" s="2" t="str">
        <f>=HYPERLINK("https://xhslink.com/m/75i6W4bVQqE", "https://xhslink.com/m/75i6W4bVQqE")</f>
        <v>https://xhslink.com/m/75i6W4bVQqE</v>
      </c>
      <c r="D2086"/>
      <c r="E2086">
        <v>4599</v>
      </c>
      <c r="F2086">
        <v>19.6</v>
      </c>
      <c r="G2086">
        <v>16.6</v>
      </c>
      <c r="H2086">
        <v>500</v>
      </c>
      <c r="I2086">
        <v>1000</v>
      </c>
      <c r="J2086"/>
      <c r="K2086" t="inlineStr">
        <is>
          <t>初中数学资料</t>
        </is>
      </c>
      <c r="L2086"/>
      <c r="M2086" t="inlineStr">
        <is>
          <t>拔尖资料社的店</t>
        </is>
      </c>
      <c r="N2086">
        <v>17000</v>
      </c>
      <c r="O2086">
        <v>4.14</v>
      </c>
      <c r="P2086">
        <v>15000</v>
      </c>
      <c r="Q2086" t="inlineStr">
        <is>
          <t>67bfc10849f1f100017a3b5a</t>
        </is>
      </c>
      <c r="R2086"/>
      <c r="S2086" t="inlineStr">
        <is>
          <t>中小学教辅/教材</t>
        </is>
      </c>
      <c r="T2086" t="inlineStr">
        <is>
          <t>0.27</t>
        </is>
      </c>
      <c r="U2086" s="3">
        <v>46112.78107638889</v>
      </c>
      <c r="V2086"/>
      <c r="W2086" s="3">
        <v>46094</v>
      </c>
      <c r="X2086" t="inlineStr">
        <is>
          <t>03</t>
        </is>
      </c>
      <c r="Y2086" t="inlineStr">
        <is>
          <t>2026-Q1</t>
        </is>
      </c>
    </row>
    <row r="2087" ht="38.25" customHeight="1">
      <c r="A2087" t="inlineStr">
        <is>
          <t>2026新版—浙教版初中数学新版超全精讲</t>
        </is>
      </c>
      <c r="B2087" t="inlineStr">
        <is>
          <t>recvdJNf43EMsP.jpg</t>
        </is>
      </c>
      <c r="C2087" s="2" t="str">
        <f>=HYPERLINK("https://xhslink.com/m/5gbeW3rV3S9", "https://xhslink.com/m/5gbeW3rV3S9")</f>
        <v>https://xhslink.com/m/5gbeW3rV3S9</v>
      </c>
      <c r="D2087"/>
      <c r="E2087">
        <v>3763</v>
      </c>
      <c r="F2087">
        <v>200</v>
      </c>
      <c r="G2087">
        <v>199</v>
      </c>
      <c r="H2087">
        <v>100</v>
      </c>
      <c r="I2087">
        <v>1000</v>
      </c>
      <c r="J2087"/>
      <c r="K2087" t="inlineStr">
        <is>
          <t>初中数学资料</t>
        </is>
      </c>
      <c r="L2087"/>
      <c r="M2087" t="inlineStr">
        <is>
          <t>浙教版新版教材超全精讲(小朱数学咨询)的店</t>
        </is>
      </c>
      <c r="N2087">
        <v>49000</v>
      </c>
      <c r="O2087">
        <v>4.37</v>
      </c>
      <c r="P2087">
        <v>4136</v>
      </c>
      <c r="Q2087" t="inlineStr">
        <is>
          <t>67b62be56e00ce00019d8afc</t>
        </is>
      </c>
      <c r="R2087"/>
      <c r="S2087" t="inlineStr">
        <is>
          <t>中小学教辅/教材</t>
        </is>
      </c>
      <c r="T2087" t="inlineStr">
        <is>
          <t>0.08</t>
        </is>
      </c>
      <c r="U2087" s="3">
        <v>46112.78107638889</v>
      </c>
      <c r="V2087"/>
      <c r="W2087" s="3">
        <v>46094</v>
      </c>
      <c r="X2087" t="inlineStr">
        <is>
          <t>03</t>
        </is>
      </c>
      <c r="Y2087" t="inlineStr">
        <is>
          <t>2026-Q1</t>
        </is>
      </c>
    </row>
    <row r="2088" ht="38.25" customHeight="1">
      <c r="A2088" t="inlineStr">
        <is>
          <t>2026春季人教版初中数学七八九年级上下册课件教案新课标核心素养</t>
        </is>
      </c>
      <c r="B2088" t="inlineStr">
        <is>
          <t>recvdJNf43XNZU.jpg</t>
        </is>
      </c>
      <c r="C2088" s="2" t="str">
        <f>=HYPERLINK("https://xhslink.com/m/6qnbezEHCkl", "https://xhslink.com/m/6qnbezEHCkl")</f>
        <v>https://xhslink.com/m/6qnbezEHCkl</v>
      </c>
      <c r="D2088"/>
      <c r="E2088">
        <v>2708</v>
      </c>
      <c r="F2088">
        <v>25</v>
      </c>
      <c r="G2088"/>
      <c r="H2088">
        <v>150</v>
      </c>
      <c r="I2088">
        <v>1000</v>
      </c>
      <c r="J2088"/>
      <c r="K2088" t="inlineStr">
        <is>
          <t>初中数学资料</t>
        </is>
      </c>
      <c r="L2088"/>
      <c r="M2088" t="inlineStr">
        <is>
          <t>小小智慧的店</t>
        </is>
      </c>
      <c r="N2088">
        <v>8323</v>
      </c>
      <c r="O2088">
        <v>4.57</v>
      </c>
      <c r="P2088">
        <v>50000</v>
      </c>
      <c r="Q2088" t="inlineStr">
        <is>
          <t>675915f46e529e0001fe8fb8</t>
        </is>
      </c>
      <c r="R2088" t="inlineStr">
        <is>
          <t>🚫重复</t>
        </is>
      </c>
      <c r="S2088" t="inlineStr">
        <is>
          <t>中小学教辅/教材</t>
        </is>
      </c>
      <c r="T2088" t="inlineStr">
        <is>
          <t>0.33</t>
        </is>
      </c>
      <c r="U2088" s="3">
        <v>46112.78107638889</v>
      </c>
      <c r="V2088"/>
      <c r="W2088" s="3">
        <v>46094</v>
      </c>
      <c r="X2088" t="inlineStr">
        <is>
          <t>03</t>
        </is>
      </c>
      <c r="Y2088" t="inlineStr">
        <is>
          <t>2026-Q1</t>
        </is>
      </c>
    </row>
    <row r="2089" ht="38.25" customHeight="1">
      <c r="A2089" t="inlineStr">
        <is>
          <t>【2026春】人教版初中数学同步讲义练习七八九年级上下册电子版</t>
        </is>
      </c>
      <c r="B2089" t="inlineStr">
        <is>
          <t>recvdJNf43PGWz.jpg</t>
        </is>
      </c>
      <c r="C2089" s="2" t="str">
        <f>=HYPERLINK("https://xhslink.com/m/7QDhTooZGT1", "https://xhslink.com/m/7QDhTooZGT1")</f>
        <v>https://xhslink.com/m/7QDhTooZGT1</v>
      </c>
      <c r="D2089"/>
      <c r="E2089">
        <v>2321</v>
      </c>
      <c r="F2089">
        <v>5.9</v>
      </c>
      <c r="G2089"/>
      <c r="H2089">
        <v>100</v>
      </c>
      <c r="I2089">
        <v>1000</v>
      </c>
      <c r="J2089"/>
      <c r="K2089" t="inlineStr">
        <is>
          <t>初中数学资料</t>
        </is>
      </c>
      <c r="L2089"/>
      <c r="M2089" t="inlineStr">
        <is>
          <t>赵老师学习资料坊的店</t>
        </is>
      </c>
      <c r="N2089">
        <v>1373</v>
      </c>
      <c r="O2089">
        <v>4.57</v>
      </c>
      <c r="P2089">
        <v>11000</v>
      </c>
      <c r="Q2089" t="inlineStr">
        <is>
          <t>688c1b8599631f0001c1457c</t>
        </is>
      </c>
      <c r="R2089" t="inlineStr">
        <is>
          <t>🚫重复</t>
        </is>
      </c>
      <c r="S2089" t="inlineStr">
        <is>
          <t>中小学教辅/教材</t>
        </is>
      </c>
      <c r="T2089" t="inlineStr">
        <is>
          <t>1.69</t>
        </is>
      </c>
      <c r="U2089" s="3">
        <v>46112.78107638889</v>
      </c>
      <c r="V2089"/>
      <c r="W2089" s="3">
        <v>46094</v>
      </c>
      <c r="X2089" t="inlineStr">
        <is>
          <t>03</t>
        </is>
      </c>
      <c r="Y2089" t="inlineStr">
        <is>
          <t>2026-Q1</t>
        </is>
      </c>
    </row>
    <row r="2090" ht="38.25" customHeight="1">
      <c r="A2090" t="inlineStr">
        <is>
          <t>中考二次函数20大专题-电子版</t>
        </is>
      </c>
      <c r="B2090" t="inlineStr">
        <is>
          <t>recvdJNf435HPD.jpg</t>
        </is>
      </c>
      <c r="C2090" s="2" t="str">
        <f>=HYPERLINK("https://xhslink.com/m/AjgaVJfb1M4", "https://xhslink.com/m/AjgaVJfb1M4")</f>
        <v>https://xhslink.com/m/AjgaVJfb1M4</v>
      </c>
      <c r="D2090"/>
      <c r="E2090">
        <v>947</v>
      </c>
      <c r="F2090">
        <v>29.9</v>
      </c>
      <c r="G2090"/>
      <c r="H2090">
        <v>100</v>
      </c>
      <c r="I2090"/>
      <c r="J2090"/>
      <c r="K2090" t="inlineStr">
        <is>
          <t>初中数学资料</t>
        </is>
      </c>
      <c r="L2090"/>
      <c r="M2090" t="inlineStr">
        <is>
          <t>程老师的数学园地的店</t>
        </is>
      </c>
      <c r="N2090">
        <v>13000</v>
      </c>
      <c r="O2090">
        <v>4.59</v>
      </c>
      <c r="P2090">
        <v>9564</v>
      </c>
      <c r="Q2090" t="inlineStr">
        <is>
          <t>67bedea4f2389c0001b19e60</t>
        </is>
      </c>
      <c r="R2090" t="inlineStr">
        <is>
          <t>🚫重复</t>
        </is>
      </c>
      <c r="S2090" t="inlineStr">
        <is>
          <t>中小学教辅/教材</t>
        </is>
      </c>
      <c r="T2090" t="inlineStr">
        <is>
          <t>0.07</t>
        </is>
      </c>
      <c r="U2090" s="3">
        <v>46112.78107638889</v>
      </c>
      <c r="V2090"/>
      <c r="W2090" s="3">
        <v>46094</v>
      </c>
      <c r="X2090" t="inlineStr">
        <is>
          <t>03</t>
        </is>
      </c>
      <c r="Y2090" t="inlineStr">
        <is>
          <t>2026-Q1</t>
        </is>
      </c>
    </row>
    <row r="2091" ht="38.25" customHeight="1">
      <c r="A2091" t="inlineStr">
        <is>
          <t>人教版初中数学课件PPT 七八九年级数学课件</t>
        </is>
      </c>
      <c r="B2091" t="inlineStr">
        <is>
          <t>recvdJNf434Vc8.jpg</t>
        </is>
      </c>
      <c r="C2091" s="2" t="str">
        <f>=HYPERLINK("https://xhslink.com/m/2SESatuWCHi", "https://xhslink.com/m/2SESatuWCHi")</f>
        <v>https://xhslink.com/m/2SESatuWCHi</v>
      </c>
      <c r="D2091"/>
      <c r="E2091">
        <v>956</v>
      </c>
      <c r="F2091">
        <v>39.8</v>
      </c>
      <c r="G2091"/>
      <c r="H2091">
        <v>100</v>
      </c>
      <c r="I2091"/>
      <c r="J2091"/>
      <c r="K2091" t="inlineStr">
        <is>
          <t>初中数学资料</t>
        </is>
      </c>
      <c r="L2091"/>
      <c r="M2091" t="inlineStr">
        <is>
          <t>冬的数叶的店</t>
        </is>
      </c>
      <c r="N2091">
        <v>5202</v>
      </c>
      <c r="O2091">
        <v>4.43</v>
      </c>
      <c r="P2091">
        <v>13000</v>
      </c>
      <c r="Q2091" t="inlineStr">
        <is>
          <t>691abc9034256f0001a1207d</t>
        </is>
      </c>
      <c r="R2091" t="inlineStr">
        <is>
          <t>🚫重复</t>
        </is>
      </c>
      <c r="S2091" t="inlineStr">
        <is>
          <t>中小学教辅/教材</t>
        </is>
      </c>
      <c r="T2091" t="inlineStr">
        <is>
          <t>0.18</t>
        </is>
      </c>
      <c r="U2091" s="3">
        <v>46112.78107638889</v>
      </c>
      <c r="V2091"/>
      <c r="W2091" s="3">
        <v>46094</v>
      </c>
      <c r="X2091" t="inlineStr">
        <is>
          <t>03</t>
        </is>
      </c>
      <c r="Y2091" t="inlineStr">
        <is>
          <t>2026-Q1</t>
        </is>
      </c>
    </row>
    <row r="2092" ht="38.25" customHeight="1">
      <c r="A2092" t="inlineStr">
        <is>
          <t>初中数学电子课本PDF各个版本（最新版）</t>
        </is>
      </c>
      <c r="B2092" t="inlineStr">
        <is>
          <t>recvdJNf43k9jC.jpg</t>
        </is>
      </c>
      <c r="C2092" s="2" t="str">
        <f>=HYPERLINK("https://xhslink.com/m/AoResm42Xbq", "https://xhslink.com/m/AoResm42Xbq")</f>
        <v>https://xhslink.com/m/AoResm42Xbq</v>
      </c>
      <c r="D2092"/>
      <c r="E2092">
        <v>835</v>
      </c>
      <c r="F2092">
        <v>1.9</v>
      </c>
      <c r="G2092"/>
      <c r="H2092">
        <v>200</v>
      </c>
      <c r="I2092"/>
      <c r="J2092"/>
      <c r="K2092" t="inlineStr">
        <is>
          <t>初中数学资料</t>
        </is>
      </c>
      <c r="L2092"/>
      <c r="M2092" t="inlineStr">
        <is>
          <t>乐昂语文的店</t>
        </is>
      </c>
      <c r="N2092">
        <v>3651</v>
      </c>
      <c r="O2092">
        <v>4.45</v>
      </c>
      <c r="P2092">
        <v>3815</v>
      </c>
      <c r="Q2092" t="inlineStr">
        <is>
          <t>687d16f279bc470001094c61</t>
        </is>
      </c>
      <c r="R2092"/>
      <c r="S2092" t="inlineStr">
        <is>
          <t>中小学教辅/教材</t>
        </is>
      </c>
      <c r="T2092" t="inlineStr">
        <is>
          <t>0.23</t>
        </is>
      </c>
      <c r="U2092" s="3">
        <v>46112.78107638889</v>
      </c>
      <c r="V2092"/>
      <c r="W2092" s="3">
        <v>46094</v>
      </c>
      <c r="X2092" t="inlineStr">
        <is>
          <t>03</t>
        </is>
      </c>
      <c r="Y2092" t="inlineStr">
        <is>
          <t>2026-Q1</t>
        </is>
      </c>
    </row>
    <row r="2093" ht="38.25" customHeight="1">
      <c r="A2093" t="inlineStr">
        <is>
          <t>天星教育 · 2026春初中教材帮七八九年级下册教材同步讲解赠课本答案</t>
        </is>
      </c>
      <c r="B2093" t="inlineStr">
        <is>
          <t>recvdJNf43ZLuc.jpg</t>
        </is>
      </c>
      <c r="C2093" s="2" t="str">
        <f>=HYPERLINK("https://xhslink.com/m/SWaMyAuY7x", "https://xhslink.com/m/SWaMyAuY7x")</f>
        <v>https://xhslink.com/m/SWaMyAuY7x</v>
      </c>
      <c r="D2093"/>
      <c r="E2093">
        <v>739</v>
      </c>
      <c r="F2093">
        <v>39.8</v>
      </c>
      <c r="G2093"/>
      <c r="H2093">
        <v>100</v>
      </c>
      <c r="I2093"/>
      <c r="J2093"/>
      <c r="K2093" t="inlineStr">
        <is>
          <t>初中数学资料</t>
        </is>
      </c>
      <c r="L2093"/>
      <c r="M2093" t="inlineStr">
        <is>
          <t>天星教育旗舰店</t>
        </is>
      </c>
      <c r="N2093">
        <v>229000</v>
      </c>
      <c r="O2093">
        <v>4.8</v>
      </c>
      <c r="P2093">
        <v>143000</v>
      </c>
      <c r="Q2093" t="inlineStr">
        <is>
          <t>68f731d5c4f89100019f1a08</t>
        </is>
      </c>
      <c r="R2093" t="inlineStr">
        <is>
          <t>🚫重复</t>
        </is>
      </c>
      <c r="S2093" t="inlineStr">
        <is>
          <t>中小学教辅/教材</t>
        </is>
      </c>
      <c r="T2093" t="inlineStr">
        <is>
          <t>0.00</t>
        </is>
      </c>
      <c r="U2093" s="3">
        <v>46112.78107638889</v>
      </c>
      <c r="V2093"/>
      <c r="W2093" s="3">
        <v>46094</v>
      </c>
      <c r="X2093" t="inlineStr">
        <is>
          <t>03</t>
        </is>
      </c>
      <c r="Y2093" t="inlineStr">
        <is>
          <t>2026-Q1</t>
        </is>
      </c>
    </row>
    <row r="2094" ht="38.25" customHeight="1">
      <c r="A2094" t="inlineStr">
        <is>
          <t>2026初中数理化公式法二级结论秒解七八九年级上下册高频考法解析</t>
        </is>
      </c>
      <c r="B2094" t="inlineStr">
        <is>
          <t>recvdJNf43jfp9.jpg</t>
        </is>
      </c>
      <c r="C2094" s="2" t="str">
        <f>=HYPERLINK("https://xhslink.com/m/3ZhPChrE5vN", "https://xhslink.com/m/3ZhPChrE5vN")</f>
        <v>https://xhslink.com/m/3ZhPChrE5vN</v>
      </c>
      <c r="D2094"/>
      <c r="E2094">
        <v>596</v>
      </c>
      <c r="F2094">
        <v>102.9</v>
      </c>
      <c r="G2094"/>
      <c r="H2094">
        <v>150</v>
      </c>
      <c r="I2094"/>
      <c r="J2094"/>
      <c r="K2094" t="inlineStr">
        <is>
          <t>初中数学资料</t>
        </is>
      </c>
      <c r="L2094"/>
      <c r="M2094" t="inlineStr">
        <is>
          <t>厚积薄发书屋的店</t>
        </is>
      </c>
      <c r="N2094">
        <v>297</v>
      </c>
      <c r="O2094">
        <v>4.27</v>
      </c>
      <c r="P2094">
        <v>2512</v>
      </c>
      <c r="Q2094" t="inlineStr">
        <is>
          <t>691c11fd6e4b71000137eaaf</t>
        </is>
      </c>
      <c r="R2094" t="inlineStr">
        <is>
          <t>🚫重复</t>
        </is>
      </c>
      <c r="S2094" t="inlineStr">
        <is>
          <t>中小学教辅/教材</t>
        </is>
      </c>
      <c r="T2094" t="inlineStr">
        <is>
          <t>2.01</t>
        </is>
      </c>
      <c r="U2094" s="3">
        <v>46112.78107638889</v>
      </c>
      <c r="V2094"/>
      <c r="W2094" s="3">
        <v>46094</v>
      </c>
      <c r="X2094" t="inlineStr">
        <is>
          <t>03</t>
        </is>
      </c>
      <c r="Y2094" t="inlineStr">
        <is>
          <t>2026-Q1</t>
        </is>
      </c>
    </row>
    <row r="2095" ht="38.25" customHeight="1">
      <c r="A2095" t="inlineStr">
        <is>
          <t>人教初中数学｜题型归类｜专项训练｜母题练习｜必刷题｜学习教辅</t>
        </is>
      </c>
      <c r="B2095" t="inlineStr">
        <is>
          <t>recvdJNf43GMjA.jpg</t>
        </is>
      </c>
      <c r="C2095" s="2" t="str">
        <f>=HYPERLINK("https://xhslink.com/m/3ieDw0eSrlX", "https://xhslink.com/m/3ieDw0eSrlX")</f>
        <v>https://xhslink.com/m/3ieDw0eSrlX</v>
      </c>
      <c r="D2095"/>
      <c r="E2095">
        <v>490</v>
      </c>
      <c r="F2095">
        <v>39.9</v>
      </c>
      <c r="G2095"/>
      <c r="H2095">
        <v>100</v>
      </c>
      <c r="I2095"/>
      <c r="J2095"/>
      <c r="K2095" t="inlineStr">
        <is>
          <t>初中数学资料</t>
        </is>
      </c>
      <c r="L2095"/>
      <c r="M2095" t="inlineStr">
        <is>
          <t>学习解忧室的店</t>
        </is>
      </c>
      <c r="N2095">
        <v>1186</v>
      </c>
      <c r="O2095">
        <v>4.24</v>
      </c>
      <c r="P2095">
        <v>2051</v>
      </c>
      <c r="Q2095" t="inlineStr">
        <is>
          <t>6897269c8fe34700015ce038</t>
        </is>
      </c>
      <c r="R2095" t="inlineStr">
        <is>
          <t>🚫重复</t>
        </is>
      </c>
      <c r="S2095" t="inlineStr">
        <is>
          <t>中小学教辅/教材</t>
        </is>
      </c>
      <c r="T2095" t="inlineStr">
        <is>
          <t>0.41</t>
        </is>
      </c>
      <c r="U2095" s="3">
        <v>46112.78107638889</v>
      </c>
      <c r="V2095"/>
      <c r="W2095" s="3">
        <v>46094</v>
      </c>
      <c r="X2095" t="inlineStr">
        <is>
          <t>03</t>
        </is>
      </c>
      <c r="Y2095" t="inlineStr">
        <is>
          <t>2026-Q1</t>
        </is>
      </c>
    </row>
    <row r="2096" ht="38.25" customHeight="1">
      <c r="A2096" t="inlineStr">
        <is>
          <t>初中数学7-9年级基础培优创新教学资料包</t>
        </is>
      </c>
      <c r="B2096" t="inlineStr">
        <is>
          <t>recvdJNf43UOdJ.jpg</t>
        </is>
      </c>
      <c r="C2096" s="2" t="str">
        <f>=HYPERLINK("https://xhslink.com/m/XlZb7Owd5m", "https://xhslink.com/m/XlZb7Owd5m")</f>
        <v>https://xhslink.com/m/XlZb7Owd5m</v>
      </c>
      <c r="D2096"/>
      <c r="E2096">
        <v>297</v>
      </c>
      <c r="F2096">
        <v>6.7</v>
      </c>
      <c r="G2096"/>
      <c r="H2096">
        <v>100</v>
      </c>
      <c r="I2096"/>
      <c r="J2096"/>
      <c r="K2096" t="inlineStr">
        <is>
          <t>小学数学资料</t>
        </is>
      </c>
      <c r="L2096"/>
      <c r="M2096" t="inlineStr">
        <is>
          <t>专耕理科的陈老师的店</t>
        </is>
      </c>
      <c r="N2096">
        <v>164</v>
      </c>
      <c r="O2096">
        <v>4.07</v>
      </c>
      <c r="P2096">
        <v>689</v>
      </c>
      <c r="Q2096" t="inlineStr">
        <is>
          <t>6900cab7c4f8910001fd0712</t>
        </is>
      </c>
      <c r="R2096"/>
      <c r="S2096" t="inlineStr">
        <is>
          <t>中小学教辅/教材</t>
        </is>
      </c>
      <c r="T2096" t="inlineStr">
        <is>
          <t>1.81</t>
        </is>
      </c>
      <c r="U2096" s="3">
        <v>46112.78107638889</v>
      </c>
      <c r="V2096"/>
      <c r="W2096" s="3">
        <v>46094</v>
      </c>
      <c r="X2096" t="inlineStr">
        <is>
          <t>03</t>
        </is>
      </c>
      <c r="Y2096" t="inlineStr">
        <is>
          <t>2026-Q1</t>
        </is>
      </c>
    </row>
    <row r="2097" ht="38.25" customHeight="1">
      <c r="A2097" t="inlineStr">
        <is>
          <t>初中数学专项练习题，PDF版非实物</t>
        </is>
      </c>
      <c r="B2097" t="inlineStr">
        <is>
          <t>recvdJNf438F6N.jpg</t>
        </is>
      </c>
      <c r="C2097" s="2" t="str">
        <f>=HYPERLINK("https://xhslink.com/m/8bKZXZpKEBa", "https://xhslink.com/m/8bKZXZpKEBa")</f>
        <v>https://xhslink.com/m/8bKZXZpKEBa</v>
      </c>
      <c r="D2097"/>
      <c r="E2097">
        <v>376</v>
      </c>
      <c r="F2097">
        <v>1.99</v>
      </c>
      <c r="G2097"/>
      <c r="H2097">
        <v>200</v>
      </c>
      <c r="I2097"/>
      <c r="J2097"/>
      <c r="K2097" t="inlineStr">
        <is>
          <t>小学数学资料</t>
        </is>
      </c>
      <c r="L2097"/>
      <c r="M2097" t="inlineStr">
        <is>
          <t>狸秋的店</t>
        </is>
      </c>
      <c r="N2097">
        <v>1736</v>
      </c>
      <c r="O2097">
        <v>4.05</v>
      </c>
      <c r="P2097">
        <v>12000</v>
      </c>
      <c r="Q2097" t="inlineStr">
        <is>
          <t>69342216691100000170feba</t>
        </is>
      </c>
      <c r="R2097"/>
      <c r="S2097" t="inlineStr">
        <is>
          <t>中小学教辅/教材</t>
        </is>
      </c>
      <c r="T2097" t="inlineStr">
        <is>
          <t>0.22</t>
        </is>
      </c>
      <c r="U2097" s="3">
        <v>46112.78107638889</v>
      </c>
      <c r="V2097"/>
      <c r="W2097" s="3">
        <v>46094</v>
      </c>
      <c r="X2097" t="inlineStr">
        <is>
          <t>03</t>
        </is>
      </c>
      <c r="Y2097" t="inlineStr">
        <is>
          <t>2026-Q1</t>
        </is>
      </c>
    </row>
    <row r="2098" ht="38.25" customHeight="1">
      <c r="A2098" t="inlineStr">
        <is>
          <t>申论一本通 2026国考省考 大作文 模板 冲刺积累</t>
        </is>
      </c>
      <c r="B2098" t="inlineStr">
        <is>
          <t>recvdJNf43w9FT.jpg</t>
        </is>
      </c>
      <c r="C2098" s="2" t="str">
        <f>=HYPERLINK("https://xhslink.com/m/1vlKlTyTLc7", "https://xhslink.com/m/1vlKlTyTLc7")</f>
        <v>https://xhslink.com/m/1vlKlTyTLc7</v>
      </c>
      <c r="D2098"/>
      <c r="E2098">
        <v>5146</v>
      </c>
      <c r="F2098">
        <v>49</v>
      </c>
      <c r="G2098"/>
      <c r="H2098">
        <v>300</v>
      </c>
      <c r="I2098">
        <v>4000</v>
      </c>
      <c r="J2098"/>
      <c r="K2098" t="inlineStr">
        <is>
          <t>省考</t>
        </is>
      </c>
      <c r="L2098"/>
      <c r="M2098" t="inlineStr">
        <is>
          <t>夏知的公考笔记的店</t>
        </is>
      </c>
      <c r="N2098">
        <v>78000</v>
      </c>
      <c r="O2098">
        <v>4.77</v>
      </c>
      <c r="P2098">
        <v>16000</v>
      </c>
      <c r="Q2098" t="inlineStr">
        <is>
          <t>6885c8a46d6054000178de05</t>
        </is>
      </c>
      <c r="R2098" t="inlineStr">
        <is>
          <t>🚫重复</t>
        </is>
      </c>
      <c r="S2098" t="inlineStr">
        <is>
          <t>考公资料</t>
        </is>
      </c>
      <c r="T2098" t="inlineStr">
        <is>
          <t>0.07</t>
        </is>
      </c>
      <c r="U2098" s="3">
        <v>46112.78107638889</v>
      </c>
      <c r="V2098"/>
      <c r="W2098" s="3">
        <v>46094</v>
      </c>
      <c r="X2098" t="inlineStr">
        <is>
          <t>03</t>
        </is>
      </c>
      <c r="Y2098" t="inlineStr">
        <is>
          <t>2026-Q1</t>
        </is>
      </c>
    </row>
    <row r="2099" ht="38.25" customHeight="1">
      <c r="A2099" t="inlineStr">
        <is>
          <t>国考34省份省考真题大全套行测申论省考真题全套送答题卡</t>
        </is>
      </c>
      <c r="B2099" t="inlineStr">
        <is>
          <t>recvdJNf43MEhJ.jpg</t>
        </is>
      </c>
      <c r="C2099" s="2" t="str">
        <f>=HYPERLINK("https://xhslink.com/m/6M4HBJFKx7G", "https://xhslink.com/m/6M4HBJFKx7G")</f>
        <v>https://xhslink.com/m/6M4HBJFKx7G</v>
      </c>
      <c r="D2099"/>
      <c r="E2099">
        <v>4989</v>
      </c>
      <c r="F2099">
        <v>0.99</v>
      </c>
      <c r="G2099"/>
      <c r="H2099">
        <v>2000</v>
      </c>
      <c r="I2099">
        <v>4000</v>
      </c>
      <c r="J2099"/>
      <c r="K2099" t="inlineStr">
        <is>
          <t>省考</t>
        </is>
      </c>
      <c r="L2099" t="inlineStr">
        <is>
          <t>🔥低粉爆款</t>
        </is>
      </c>
      <c r="M2099" t="inlineStr">
        <is>
          <t>跳跳的考公日记的店</t>
        </is>
      </c>
      <c r="N2099">
        <v>433</v>
      </c>
      <c r="O2099">
        <v>4.57</v>
      </c>
      <c r="P2099">
        <v>12000</v>
      </c>
      <c r="Q2099" t="inlineStr">
        <is>
          <t>689d55654eed2d0001c5ffb3</t>
        </is>
      </c>
      <c r="R2099" t="inlineStr">
        <is>
          <t>🚫重复</t>
        </is>
      </c>
      <c r="S2099" t="inlineStr">
        <is>
          <t>考公资料</t>
        </is>
      </c>
      <c r="T2099" t="inlineStr">
        <is>
          <t>11.52</t>
        </is>
      </c>
      <c r="U2099" s="3">
        <v>46112.78107638889</v>
      </c>
      <c r="V2099"/>
      <c r="W2099" s="3">
        <v>46094</v>
      </c>
      <c r="X2099" t="inlineStr">
        <is>
          <t>03</t>
        </is>
      </c>
      <c r="Y2099" t="inlineStr">
        <is>
          <t>2026-Q1</t>
        </is>
      </c>
    </row>
    <row r="2100" ht="38.25" customHeight="1">
      <c r="A2100" t="inlineStr">
        <is>
          <t>初级会计报名省考公务员照片证件照处理事业单位照片审核上传改kb</t>
        </is>
      </c>
      <c r="B2100" t="inlineStr">
        <is>
          <t>recvdJNf43JZW3.jpg</t>
        </is>
      </c>
      <c r="C2100" s="2" t="str">
        <f>=HYPERLINK("https://xhslink.com/m/pEXQBZ9a0x", "https://xhslink.com/m/pEXQBZ9a0x")</f>
        <v>https://xhslink.com/m/pEXQBZ9a0x</v>
      </c>
      <c r="D2100"/>
      <c r="E2100">
        <v>3815</v>
      </c>
      <c r="F2100">
        <v>30</v>
      </c>
      <c r="G2100"/>
      <c r="H2100">
        <v>150</v>
      </c>
      <c r="I2100"/>
      <c r="J2100"/>
      <c r="K2100" t="inlineStr">
        <is>
          <t>省考</t>
        </is>
      </c>
      <c r="L2100"/>
      <c r="M2100" t="inlineStr">
        <is>
          <t>重生之我在小红书疯狂改图的店</t>
        </is>
      </c>
      <c r="N2100">
        <v>4586</v>
      </c>
      <c r="O2100">
        <v>4.77</v>
      </c>
      <c r="P2100">
        <v>26000</v>
      </c>
      <c r="Q2100" t="inlineStr">
        <is>
          <t>660d0b4ef8b8cd0001a1c01c</t>
        </is>
      </c>
      <c r="R2100"/>
      <c r="S2100" t="inlineStr">
        <is>
          <t>会计资料</t>
        </is>
      </c>
      <c r="T2100" t="inlineStr">
        <is>
          <t>0.83</t>
        </is>
      </c>
      <c r="U2100" s="3">
        <v>46112.78107638889</v>
      </c>
      <c r="V2100"/>
      <c r="W2100" s="3">
        <v>46094</v>
      </c>
      <c r="X2100" t="inlineStr">
        <is>
          <t>03</t>
        </is>
      </c>
      <c r="Y2100" t="inlineStr">
        <is>
          <t>2026-Q1</t>
        </is>
      </c>
    </row>
    <row r="2101" ht="38.25" customHeight="1">
      <c r="A2101" t="inlineStr">
        <is>
          <t>华图 · 李梦娇常识速记口诀88条10.0版2026国考省考公务员考试</t>
        </is>
      </c>
      <c r="B2101" t="inlineStr">
        <is>
          <t>recvdJNf43O7NY.jpg</t>
        </is>
      </c>
      <c r="C2101" s="2" t="str">
        <f>=HYPERLINK("https://xhslink.com/m/4J93XEDuLr3", "https://xhslink.com/m/4J93XEDuLr3")</f>
        <v>https://xhslink.com/m/4J93XEDuLr3</v>
      </c>
      <c r="D2101"/>
      <c r="E2101">
        <v>2376</v>
      </c>
      <c r="F2101">
        <v>59</v>
      </c>
      <c r="G2101"/>
      <c r="H2101">
        <v>150</v>
      </c>
      <c r="I2101">
        <v>2000</v>
      </c>
      <c r="J2101"/>
      <c r="K2101" t="inlineStr">
        <is>
          <t>省考</t>
        </is>
      </c>
      <c r="L2101"/>
      <c r="M2101" t="inlineStr">
        <is>
          <t>华图网校旗舰店</t>
        </is>
      </c>
      <c r="N2101">
        <v>161000</v>
      </c>
      <c r="O2101">
        <v>3.93</v>
      </c>
      <c r="P2101">
        <v>94000</v>
      </c>
      <c r="Q2101" t="inlineStr">
        <is>
          <t>689c3e824dbac200019cc738</t>
        </is>
      </c>
      <c r="R2101" t="inlineStr">
        <is>
          <t>🚫重复</t>
        </is>
      </c>
      <c r="S2101" t="inlineStr">
        <is>
          <t>考公资料</t>
        </is>
      </c>
      <c r="T2101" t="inlineStr">
        <is>
          <t>0.01</t>
        </is>
      </c>
      <c r="U2101" s="3">
        <v>46112.78107638889</v>
      </c>
      <c r="V2101"/>
      <c r="W2101" s="3">
        <v>46094</v>
      </c>
      <c r="X2101" t="inlineStr">
        <is>
          <t>03</t>
        </is>
      </c>
      <c r="Y2101" t="inlineStr">
        <is>
          <t>2026-Q1</t>
        </is>
      </c>
    </row>
    <row r="2102" ht="38.25" customHeight="1">
      <c r="A2102" t="inlineStr">
        <is>
          <t>(红宝书全网首发)2027最新版 红宝书·考研英语词汇</t>
        </is>
      </c>
      <c r="B2102" t="inlineStr">
        <is>
          <t>__upload_recvdJNf436gDV.jpg</t>
        </is>
      </c>
      <c r="C2102" s="2" t="str">
        <f>=HYPERLINK("https://xhslink.com/m/5zIhBXViuNh", "https://xhslink.com/m/5zIhBXViuNh")</f>
        <v>https://xhslink.com/m/5zIhBXViuNh</v>
      </c>
      <c r="D2102"/>
      <c r="E2102">
        <v>5494</v>
      </c>
      <c r="F2102">
        <v>89.9</v>
      </c>
      <c r="G2102"/>
      <c r="H2102">
        <v>1500</v>
      </c>
      <c r="I2102">
        <v>2000</v>
      </c>
      <c r="J2102">
        <v>100</v>
      </c>
      <c r="K2102" t="inlineStr">
        <is>
          <t>考研英语</t>
        </is>
      </c>
      <c r="L2102"/>
      <c r="M2102" t="inlineStr">
        <is>
          <t>考研英语红宝书的店</t>
        </is>
      </c>
      <c r="N2102">
        <v>15000</v>
      </c>
      <c r="O2102">
        <v>4.57</v>
      </c>
      <c r="P2102">
        <v>13000</v>
      </c>
      <c r="Q2102" t="inlineStr">
        <is>
          <t>691bd61edbfbf5000170ce4d</t>
        </is>
      </c>
      <c r="R2102" t="inlineStr">
        <is>
          <t>🚫重复</t>
        </is>
      </c>
      <c r="S2102" t="inlineStr">
        <is>
          <t>考研资料</t>
        </is>
      </c>
      <c r="T2102" t="inlineStr">
        <is>
          <t>0.37</t>
        </is>
      </c>
      <c r="U2102" s="3">
        <v>46112.78107638889</v>
      </c>
      <c r="V2102"/>
      <c r="W2102" s="3">
        <v>46094</v>
      </c>
      <c r="X2102" t="inlineStr">
        <is>
          <t>03</t>
        </is>
      </c>
      <c r="Y2102" t="inlineStr">
        <is>
          <t>2026-Q1</t>
        </is>
      </c>
    </row>
    <row r="2103" ht="38.25" customHeight="1">
      <c r="A2103" t="inlineStr">
        <is>
          <t>红宝书全网首发！2027豪华精装平铺版《红宝书·考研英语词汇》</t>
        </is>
      </c>
      <c r="B2103" t="inlineStr">
        <is>
          <t>__upload_recvdJNf43ky57.jpg</t>
        </is>
      </c>
      <c r="C2103" s="2" t="str">
        <f>=HYPERLINK("https://xhslink.com/m/A21GYcUJ68n", "https://xhslink.com/m/A21GYcUJ68n")</f>
        <v>https://xhslink.com/m/A21GYcUJ68n</v>
      </c>
      <c r="D2103"/>
      <c r="E2103">
        <v>2920</v>
      </c>
      <c r="F2103">
        <v>95.9</v>
      </c>
      <c r="G2103"/>
      <c r="H2103">
        <v>1000</v>
      </c>
      <c r="I2103">
        <v>2000</v>
      </c>
      <c r="J2103">
        <v>100</v>
      </c>
      <c r="K2103" t="inlineStr">
        <is>
          <t>考研英语</t>
        </is>
      </c>
      <c r="L2103"/>
      <c r="M2103" t="inlineStr">
        <is>
          <t>考研英语红宝书的店</t>
        </is>
      </c>
      <c r="N2103">
        <v>15000</v>
      </c>
      <c r="O2103">
        <v>4.57</v>
      </c>
      <c r="P2103">
        <v>13000</v>
      </c>
      <c r="Q2103" t="inlineStr">
        <is>
          <t>691e8736ccb9e00001cd82ba</t>
        </is>
      </c>
      <c r="R2103" t="inlineStr">
        <is>
          <t>🚫重复</t>
        </is>
      </c>
      <c r="S2103" t="inlineStr">
        <is>
          <t>考研资料</t>
        </is>
      </c>
      <c r="T2103" t="inlineStr">
        <is>
          <t>0.19</t>
        </is>
      </c>
      <c r="U2103" s="3">
        <v>46112.78107638889</v>
      </c>
      <c r="V2103"/>
      <c r="W2103" s="3">
        <v>46094</v>
      </c>
      <c r="X2103" t="inlineStr">
        <is>
          <t>03</t>
        </is>
      </c>
      <c r="Y2103" t="inlineStr">
        <is>
          <t>2026-Q1</t>
        </is>
      </c>
    </row>
    <row r="2104" ht="38.25" customHeight="1">
      <c r="A2104" t="inlineStr">
        <is>
          <t>【D206】考研英语大纲约5500词汇电子版 | 正序+乱序+默写都有</t>
        </is>
      </c>
      <c r="B2104" t="inlineStr">
        <is>
          <t>__upload_recvdJNf43D0Fd.jpg</t>
        </is>
      </c>
      <c r="C2104" s="2" t="str">
        <f>=HYPERLINK("https://xhslink.com/m/2joa63TqZcL", "https://xhslink.com/m/2joa63TqZcL")</f>
        <v>https://xhslink.com/m/2joa63TqZcL</v>
      </c>
      <c r="D2104"/>
      <c r="E2104">
        <v>718</v>
      </c>
      <c r="F2104">
        <v>0.99</v>
      </c>
      <c r="G2104"/>
      <c r="H2104">
        <v>250</v>
      </c>
      <c r="I2104"/>
      <c r="J2104">
        <v>100</v>
      </c>
      <c r="K2104" t="inlineStr">
        <is>
          <t>考研英语</t>
        </is>
      </c>
      <c r="L2104"/>
      <c r="M2104" t="inlineStr">
        <is>
          <t>妙言老师的店</t>
        </is>
      </c>
      <c r="N2104">
        <v>2187</v>
      </c>
      <c r="O2104">
        <v>4.6</v>
      </c>
      <c r="P2104">
        <v>31000</v>
      </c>
      <c r="Q2104" t="inlineStr">
        <is>
          <t>68b4146d9a164100016a233f</t>
        </is>
      </c>
      <c r="R2104" t="inlineStr">
        <is>
          <t>🚫重复</t>
        </is>
      </c>
      <c r="S2104" t="inlineStr">
        <is>
          <t>考研资料</t>
        </is>
      </c>
      <c r="T2104" t="inlineStr">
        <is>
          <t>0.33</t>
        </is>
      </c>
      <c r="U2104" s="3">
        <v>46112.78107638889</v>
      </c>
      <c r="V2104"/>
      <c r="W2104" s="3">
        <v>46094</v>
      </c>
      <c r="X2104" t="inlineStr">
        <is>
          <t>03</t>
        </is>
      </c>
      <c r="Y2104" t="inlineStr">
        <is>
          <t>2026-Q1</t>
        </is>
      </c>
    </row>
    <row r="2105" ht="38.25" customHeight="1">
      <c r="A2105" t="inlineStr">
        <is>
          <t>27考研英语柴荣老师全程班(百度网盘)</t>
        </is>
      </c>
      <c r="B2105" t="inlineStr">
        <is>
          <t>__upload_recvdJNf43pKhl.jpg</t>
        </is>
      </c>
      <c r="C2105" s="2" t="str">
        <f>=HYPERLINK("https://xhslink.com/m/8KlxNHHOPcs", "https://xhslink.com/m/8KlxNHHOPcs")</f>
        <v>https://xhslink.com/m/8KlxNHHOPcs</v>
      </c>
      <c r="D2105"/>
      <c r="E2105">
        <v>390</v>
      </c>
      <c r="F2105">
        <v>9.9</v>
      </c>
      <c r="G2105"/>
      <c r="H2105">
        <v>250</v>
      </c>
      <c r="I2105"/>
      <c r="J2105">
        <v>100</v>
      </c>
      <c r="K2105" t="inlineStr">
        <is>
          <t>考研英语</t>
        </is>
      </c>
      <c r="L2105"/>
      <c r="M2105" t="inlineStr">
        <is>
          <t>考研资料铺的店</t>
        </is>
      </c>
      <c r="N2105">
        <v>1743</v>
      </c>
      <c r="O2105">
        <v>4.64</v>
      </c>
      <c r="P2105">
        <v>2977</v>
      </c>
      <c r="Q2105" t="inlineStr">
        <is>
          <t>6951430f7cad4e0001a9e21d</t>
        </is>
      </c>
      <c r="R2105"/>
      <c r="S2105" t="inlineStr">
        <is>
          <t>考研资料</t>
        </is>
      </c>
      <c r="T2105" t="inlineStr">
        <is>
          <t>0.22</t>
        </is>
      </c>
      <c r="U2105" s="3">
        <v>46112.78107638889</v>
      </c>
      <c r="V2105"/>
      <c r="W2105" s="3">
        <v>46094</v>
      </c>
      <c r="X2105" t="inlineStr">
        <is>
          <t>03</t>
        </is>
      </c>
      <c r="Y2105" t="inlineStr">
        <is>
          <t>2026-Q1</t>
        </is>
      </c>
    </row>
    <row r="2106" ht="38.25" customHeight="1">
      <c r="A2106" t="inlineStr">
        <is>
          <t>27考研网课资料政治数学英语一二全程班基础强化冲刺课程</t>
        </is>
      </c>
      <c r="B2106" t="inlineStr">
        <is>
          <t>__upload_recvdJNf43nGbU.jpg</t>
        </is>
      </c>
      <c r="C2106" s="2" t="str">
        <f>=HYPERLINK("https://xhslink.com/m/26Fh0mZjGt6", "https://xhslink.com/m/26Fh0mZjGt6")</f>
        <v>https://xhslink.com/m/26Fh0mZjGt6</v>
      </c>
      <c r="D2106"/>
      <c r="E2106">
        <v>2641</v>
      </c>
      <c r="F2106">
        <v>16.9</v>
      </c>
      <c r="G2106"/>
      <c r="H2106">
        <v>1000</v>
      </c>
      <c r="I2106">
        <v>2000</v>
      </c>
      <c r="J2106">
        <v>100</v>
      </c>
      <c r="K2106" t="inlineStr">
        <is>
          <t>考研政治</t>
        </is>
      </c>
      <c r="L2106" t="inlineStr">
        <is>
          <t>🔥低粉爆款</t>
        </is>
      </c>
      <c r="M2106" t="inlineStr">
        <is>
          <t>沧海助学资料屋的店</t>
        </is>
      </c>
      <c r="N2106">
        <v>419</v>
      </c>
      <c r="O2106">
        <v>4.54</v>
      </c>
      <c r="P2106">
        <v>5308</v>
      </c>
      <c r="Q2106" t="inlineStr">
        <is>
          <t>69458dd66109ef000172d950</t>
        </is>
      </c>
      <c r="R2106" t="inlineStr">
        <is>
          <t>🚫重复</t>
        </is>
      </c>
      <c r="S2106" t="inlineStr">
        <is>
          <t>考研资料</t>
        </is>
      </c>
      <c r="T2106" t="inlineStr">
        <is>
          <t>6.30</t>
        </is>
      </c>
      <c r="U2106" s="3">
        <v>46112.78107638889</v>
      </c>
      <c r="V2106"/>
      <c r="W2106" s="3">
        <v>46094</v>
      </c>
      <c r="X2106" t="inlineStr">
        <is>
          <t>03</t>
        </is>
      </c>
      <c r="Y2106" t="inlineStr">
        <is>
          <t>2026-Q1</t>
        </is>
      </c>
    </row>
    <row r="2107" ht="38.25" customHeight="1">
      <c r="A2107" t="inlineStr">
        <is>
          <t>广东省考面试资料包</t>
        </is>
      </c>
      <c r="B2107" t="inlineStr">
        <is>
          <t>__upload_recvdJNf43xflx.jpg</t>
        </is>
      </c>
      <c r="C2107" s="2" t="str">
        <f>=HYPERLINK("https://xhslink.com/m/35verlLPRvN", "https://xhslink.com/m/35verlLPRvN")</f>
        <v>https://xhslink.com/m/35verlLPRvN</v>
      </c>
      <c r="D2107"/>
      <c r="E2107">
        <v>412</v>
      </c>
      <c r="F2107">
        <v>9.9</v>
      </c>
      <c r="G2107"/>
      <c r="H2107">
        <v>150</v>
      </c>
      <c r="I2107"/>
      <c r="J2107">
        <v>100</v>
      </c>
      <c r="K2107" t="inlineStr">
        <is>
          <t>广东省考</t>
        </is>
      </c>
      <c r="L2107"/>
      <c r="M2107" t="inlineStr">
        <is>
          <t>小满和大橘的店</t>
        </is>
      </c>
      <c r="N2107">
        <v>232</v>
      </c>
      <c r="O2107">
        <v>4.03</v>
      </c>
      <c r="P2107">
        <v>418</v>
      </c>
      <c r="Q2107" t="inlineStr">
        <is>
          <t>68553be1a066020001d5783c</t>
        </is>
      </c>
      <c r="R2107"/>
      <c r="S2107" t="inlineStr">
        <is>
          <t>考公资料</t>
        </is>
      </c>
      <c r="T2107" t="inlineStr">
        <is>
          <t>1.78</t>
        </is>
      </c>
      <c r="U2107" s="3">
        <v>46112.78107638889</v>
      </c>
      <c r="V2107"/>
      <c r="W2107" s="3">
        <v>46094</v>
      </c>
      <c r="X2107" t="inlineStr">
        <is>
          <t>03</t>
        </is>
      </c>
      <c r="Y2107" t="inlineStr">
        <is>
          <t>2026-Q1</t>
        </is>
      </c>
    </row>
    <row r="2108" ht="38.25" customHeight="1">
      <c r="A2108" t="inlineStr">
        <is>
          <t>2026事业单位招聘考试题库公基综应abcd类事业编真题刷题APP资料</t>
        </is>
      </c>
      <c r="B2108" t="inlineStr">
        <is>
          <t>__upload_recvdJNf43i5H9.jpg</t>
        </is>
      </c>
      <c r="C2108" s="2" t="str">
        <f>=HYPERLINK("https://xhslink.com/m/1KLRIOwx7ys", "https://xhslink.com/m/1KLRIOwx7ys")</f>
        <v>https://xhslink.com/m/1KLRIOwx7ys</v>
      </c>
      <c r="D2108"/>
      <c r="E2108">
        <v>623</v>
      </c>
      <c r="F2108">
        <v>22.8</v>
      </c>
      <c r="G2108"/>
      <c r="H2108">
        <v>200</v>
      </c>
      <c r="I2108"/>
      <c r="J2108">
        <v>100</v>
      </c>
      <c r="K2108" t="inlineStr">
        <is>
          <t>山东省考</t>
        </is>
      </c>
      <c r="L2108"/>
      <c r="M2108" t="inlineStr">
        <is>
          <t>六都书店的店</t>
        </is>
      </c>
      <c r="N2108">
        <v>444</v>
      </c>
      <c r="O2108">
        <v>4.55</v>
      </c>
      <c r="P2108">
        <v>35000</v>
      </c>
      <c r="Q2108" t="inlineStr">
        <is>
          <t>68c828bcc278030001beedf9</t>
        </is>
      </c>
      <c r="R2108" t="inlineStr">
        <is>
          <t>🚫重复</t>
        </is>
      </c>
      <c r="S2108" t="inlineStr">
        <is>
          <t>软件应用</t>
        </is>
      </c>
      <c r="T2108" t="inlineStr">
        <is>
          <t>1.40</t>
        </is>
      </c>
      <c r="U2108" s="3">
        <v>46112.78107638889</v>
      </c>
      <c r="V2108"/>
      <c r="W2108" s="3">
        <v>46094</v>
      </c>
      <c r="X2108" t="inlineStr">
        <is>
          <t>03</t>
        </is>
      </c>
      <c r="Y2108" t="inlineStr">
        <is>
          <t>2026-Q1</t>
        </is>
      </c>
    </row>
    <row r="2109" ht="38.25" customHeight="1">
      <c r="A2109" t="inlineStr">
        <is>
          <t>26省考公务员岗位表【电子版秒发】</t>
        </is>
      </c>
      <c r="B2109" t="inlineStr">
        <is>
          <t>__upload_recvdJNf4393zt.jpg</t>
        </is>
      </c>
      <c r="C2109" s="2" t="str">
        <f>=HYPERLINK("https://xhslink.com/m/1AIrin2Z2ev", "https://xhslink.com/m/1AIrin2Z2ev")</f>
        <v>https://xhslink.com/m/1AIrin2Z2ev</v>
      </c>
      <c r="D2109"/>
      <c r="E2109">
        <v>2289</v>
      </c>
      <c r="F2109">
        <v>2.68</v>
      </c>
      <c r="G2109"/>
      <c r="H2109">
        <v>450</v>
      </c>
      <c r="I2109">
        <v>2000</v>
      </c>
      <c r="J2109">
        <v>100</v>
      </c>
      <c r="K2109" t="inlineStr">
        <is>
          <t>山东省考</t>
        </is>
      </c>
      <c r="L2109" t="inlineStr">
        <is>
          <t>🔥低粉爆款</t>
        </is>
      </c>
      <c r="M2109" t="inlineStr">
        <is>
          <t>木木素材的店</t>
        </is>
      </c>
      <c r="N2109">
        <v>304</v>
      </c>
      <c r="O2109">
        <v>4.1</v>
      </c>
      <c r="P2109">
        <v>3704</v>
      </c>
      <c r="Q2109" t="inlineStr">
        <is>
          <t>6906ea0dbecfcc00018faffc</t>
        </is>
      </c>
      <c r="R2109" t="inlineStr">
        <is>
          <t>🚫重复</t>
        </is>
      </c>
      <c r="S2109" t="inlineStr">
        <is>
          <t>考公资料</t>
        </is>
      </c>
      <c r="T2109" t="inlineStr">
        <is>
          <t>7.53</t>
        </is>
      </c>
      <c r="U2109" s="3">
        <v>46112.78107638889</v>
      </c>
      <c r="V2109"/>
      <c r="W2109" s="3">
        <v>46094</v>
      </c>
      <c r="X2109" t="inlineStr">
        <is>
          <t>03</t>
        </is>
      </c>
      <c r="Y2109" t="inlineStr">
        <is>
          <t>2026-Q1</t>
        </is>
      </c>
    </row>
    <row r="2110" ht="38.25" customHeight="1">
      <c r="A2110" t="inlineStr">
        <is>
          <t>26年各省省情/时政/工作报告+全国时政（持续更新中）备考资料</t>
        </is>
      </c>
      <c r="B2110" t="inlineStr">
        <is>
          <t>__upload_recvdJNf43ZG54.jpg</t>
        </is>
      </c>
      <c r="C2110" s="2" t="str">
        <f>=HYPERLINK("https://xhslink.com/m/3VSmUgyeHVg", "https://xhslink.com/m/3VSmUgyeHVg")</f>
        <v>https://xhslink.com/m/3VSmUgyeHVg</v>
      </c>
      <c r="D2110"/>
      <c r="E2110">
        <v>1953</v>
      </c>
      <c r="F2110">
        <v>5.98</v>
      </c>
      <c r="G2110"/>
      <c r="H2110">
        <v>700</v>
      </c>
      <c r="I2110">
        <v>1000</v>
      </c>
      <c r="J2110">
        <v>100</v>
      </c>
      <c r="K2110" t="inlineStr">
        <is>
          <t>山东省考</t>
        </is>
      </c>
      <c r="L2110" t="inlineStr">
        <is>
          <t>🔥低粉爆款</t>
        </is>
      </c>
      <c r="M2110" t="inlineStr">
        <is>
          <t>上岸熊猫资料的店</t>
        </is>
      </c>
      <c r="N2110">
        <v>549</v>
      </c>
      <c r="O2110">
        <v>4.63</v>
      </c>
      <c r="P2110">
        <v>7204</v>
      </c>
      <c r="Q2110" t="inlineStr">
        <is>
          <t>6911a21d427261000140f5ab</t>
        </is>
      </c>
      <c r="R2110"/>
      <c r="S2110" t="inlineStr">
        <is>
          <t>考公资料</t>
        </is>
      </c>
      <c r="T2110" t="inlineStr">
        <is>
          <t>3.56</t>
        </is>
      </c>
      <c r="U2110" s="3">
        <v>46112.78107638889</v>
      </c>
      <c r="V2110"/>
      <c r="W2110" s="3">
        <v>46094</v>
      </c>
      <c r="X2110" t="inlineStr">
        <is>
          <t>03</t>
        </is>
      </c>
      <c r="Y2110" t="inlineStr">
        <is>
          <t>2026-Q1</t>
        </is>
      </c>
    </row>
    <row r="2111" ht="38.25" customHeight="1">
      <c r="A2111" t="inlineStr">
        <is>
          <t>26年公考公务员省考国考历年真题与答案解析+三色笔记</t>
        </is>
      </c>
      <c r="B2111" t="inlineStr">
        <is>
          <t>__upload_recvdJNf432EV6.jpg</t>
        </is>
      </c>
      <c r="C2111" s="2" t="str">
        <f>=HYPERLINK("https://xhslink.com/m/4ZnxTVY64Fd", "https://xhslink.com/m/4ZnxTVY64Fd")</f>
        <v>https://xhslink.com/m/4ZnxTVY64Fd</v>
      </c>
      <c r="D2111"/>
      <c r="E2111">
        <v>1017</v>
      </c>
      <c r="F2111">
        <v>3.69</v>
      </c>
      <c r="G2111"/>
      <c r="H2111">
        <v>450</v>
      </c>
      <c r="I2111">
        <v>1000</v>
      </c>
      <c r="J2111">
        <v>100</v>
      </c>
      <c r="K2111" t="inlineStr">
        <is>
          <t>山东省考</t>
        </is>
      </c>
      <c r="L2111" t="inlineStr">
        <is>
          <t>🔥低粉爆款</t>
        </is>
      </c>
      <c r="M2111" t="inlineStr">
        <is>
          <t>琪琪学姐备考屋的店</t>
        </is>
      </c>
      <c r="N2111">
        <v>186</v>
      </c>
      <c r="O2111">
        <v>4.23</v>
      </c>
      <c r="P2111">
        <v>1074</v>
      </c>
      <c r="Q2111" t="inlineStr">
        <is>
          <t>692808eb137a3b00012afe32</t>
        </is>
      </c>
      <c r="R2111" t="inlineStr">
        <is>
          <t>🚫重复</t>
        </is>
      </c>
      <c r="S2111" t="inlineStr">
        <is>
          <t>考公资料</t>
        </is>
      </c>
      <c r="T2111" t="inlineStr">
        <is>
          <t>5.47</t>
        </is>
      </c>
      <c r="U2111" s="3">
        <v>46112.78107638889</v>
      </c>
      <c r="V2111"/>
      <c r="W2111" s="3">
        <v>46094</v>
      </c>
      <c r="X2111" t="inlineStr">
        <is>
          <t>03</t>
        </is>
      </c>
      <c r="Y2111" t="inlineStr">
        <is>
          <t>2026-Q1</t>
        </is>
      </c>
    </row>
    <row r="2112" ht="38.25" customHeight="1">
      <c r="A2112" t="inlineStr">
        <is>
          <t>27考编攻略（4本图书山东省内包邮！省外拍只有网课！无图书）</t>
        </is>
      </c>
      <c r="B2112" t="inlineStr">
        <is>
          <t>__upload_recvdJNf43puSL.jpg</t>
        </is>
      </c>
      <c r="C2112" s="2" t="str">
        <f>=HYPERLINK("https://xhslink.com/m/94JaRdDXQ0L", "https://xhslink.com/m/94JaRdDXQ0L")</f>
        <v>https://xhslink.com/m/94JaRdDXQ0L</v>
      </c>
      <c r="D2112"/>
      <c r="E2112">
        <v>780</v>
      </c>
      <c r="F2112">
        <v>1</v>
      </c>
      <c r="G2112"/>
      <c r="H2112">
        <v>400</v>
      </c>
      <c r="I2112"/>
      <c r="J2112">
        <v>100</v>
      </c>
      <c r="K2112" t="inlineStr">
        <is>
          <t>山东省考</t>
        </is>
      </c>
      <c r="L2112"/>
      <c r="M2112" t="inlineStr">
        <is>
          <t>潍坊华图教育的店</t>
        </is>
      </c>
      <c r="N2112">
        <v>3785</v>
      </c>
      <c r="O2112">
        <v>3.86</v>
      </c>
      <c r="P2112">
        <v>1539</v>
      </c>
      <c r="Q2112" t="inlineStr">
        <is>
          <t>695a3272a751dc0001fb1dab</t>
        </is>
      </c>
      <c r="R2112"/>
      <c r="S2112" t="inlineStr">
        <is>
          <t>考公资料</t>
        </is>
      </c>
      <c r="T2112" t="inlineStr">
        <is>
          <t>0.21</t>
        </is>
      </c>
      <c r="U2112" s="3">
        <v>46112.78107638889</v>
      </c>
      <c r="V2112"/>
      <c r="W2112" s="3">
        <v>46094</v>
      </c>
      <c r="X2112" t="inlineStr">
        <is>
          <t>03</t>
        </is>
      </c>
      <c r="Y2112" t="inlineStr">
        <is>
          <t>2026-Q1</t>
        </is>
      </c>
    </row>
    <row r="2113" ht="38.25" customHeight="1">
      <c r="A2113" t="inlineStr">
        <is>
          <t>2026年山东事业单位备考资料包职测综应省情时政考点笔记电子资料</t>
        </is>
      </c>
      <c r="B2113" t="inlineStr">
        <is>
          <t>__upload_recvdJNf43nZmO.jpg</t>
        </is>
      </c>
      <c r="C2113" s="2" t="str">
        <f>=HYPERLINK("https://xhslink.com/m/6MeD1WqPw3L", "https://xhslink.com/m/6MeD1WqPw3L")</f>
        <v>https://xhslink.com/m/6MeD1WqPw3L</v>
      </c>
      <c r="D2113"/>
      <c r="E2113">
        <v>574</v>
      </c>
      <c r="F2113">
        <v>9.8</v>
      </c>
      <c r="G2113"/>
      <c r="H2113">
        <v>350</v>
      </c>
      <c r="I2113"/>
      <c r="J2113">
        <v>100</v>
      </c>
      <c r="K2113" t="inlineStr">
        <is>
          <t>山东省考</t>
        </is>
      </c>
      <c r="L2113"/>
      <c r="M2113" t="inlineStr">
        <is>
          <t>悠悠可爱的店</t>
        </is>
      </c>
      <c r="N2113">
        <v>1150</v>
      </c>
      <c r="O2113">
        <v>4.66</v>
      </c>
      <c r="P2113">
        <v>13000</v>
      </c>
      <c r="Q2113" t="inlineStr">
        <is>
          <t>6946e1ebf489e40001f9b87a</t>
        </is>
      </c>
      <c r="R2113" t="inlineStr">
        <is>
          <t>🚫重复</t>
        </is>
      </c>
      <c r="S2113" t="inlineStr">
        <is>
          <t>无匹配类别</t>
        </is>
      </c>
      <c r="T2113" t="inlineStr">
        <is>
          <t>0.50</t>
        </is>
      </c>
      <c r="U2113" s="3">
        <v>46112.78107638889</v>
      </c>
      <c r="V2113"/>
      <c r="W2113" s="3">
        <v>46094</v>
      </c>
      <c r="X2113" t="inlineStr">
        <is>
          <t>03</t>
        </is>
      </c>
      <c r="Y2113" t="inlineStr">
        <is>
          <t>2026-Q1</t>
        </is>
      </c>
    </row>
    <row r="2114" ht="38.25" customHeight="1">
      <c r="A2114" t="inlineStr">
        <is>
          <t>【26山东事业单位课程】精讲课程刷题巩固考前冲刺</t>
        </is>
      </c>
      <c r="B2114" t="inlineStr">
        <is>
          <t>__upload_recvdJNf43VcAe.jpg</t>
        </is>
      </c>
      <c r="C2114" s="2" t="str">
        <f>=HYPERLINK("https://xhslink.com/m/AAEqjnHoIuT", "https://xhslink.com/m/AAEqjnHoIuT")</f>
        <v>https://xhslink.com/m/AAEqjnHoIuT</v>
      </c>
      <c r="D2114"/>
      <c r="E2114">
        <v>525</v>
      </c>
      <c r="F2114">
        <v>1.99</v>
      </c>
      <c r="G2114"/>
      <c r="H2114">
        <v>200</v>
      </c>
      <c r="I2114"/>
      <c r="J2114">
        <v>100</v>
      </c>
      <c r="K2114" t="inlineStr">
        <is>
          <t>山东省考</t>
        </is>
      </c>
      <c r="L2114"/>
      <c r="M2114" t="inlineStr">
        <is>
          <t>财经冯学长（考公考研考证）的店</t>
        </is>
      </c>
      <c r="N2114">
        <v>763</v>
      </c>
      <c r="O2114">
        <v>4.64</v>
      </c>
      <c r="P2114">
        <v>26000</v>
      </c>
      <c r="Q2114" t="inlineStr">
        <is>
          <t>6933aca081a795000114c9cb</t>
        </is>
      </c>
      <c r="R2114" t="inlineStr">
        <is>
          <t>🚫重复</t>
        </is>
      </c>
      <c r="S2114" t="inlineStr">
        <is>
          <t>考公资料</t>
        </is>
      </c>
      <c r="T2114" t="inlineStr">
        <is>
          <t>0.69</t>
        </is>
      </c>
      <c r="U2114" s="3">
        <v>46112.78107638889</v>
      </c>
      <c r="V2114"/>
      <c r="W2114" s="3">
        <v>46094</v>
      </c>
      <c r="X2114" t="inlineStr">
        <is>
          <t>03</t>
        </is>
      </c>
      <c r="Y2114" t="inlineStr">
        <is>
          <t>2026-Q1</t>
        </is>
      </c>
    </row>
    <row r="2115" ht="38.25" customHeight="1">
      <c r="A2115" t="inlineStr">
        <is>
          <t>26法考全8课客观精讲课打卡表（pdf版+excel版）（均无水印）</t>
        </is>
      </c>
      <c r="B2115" t="inlineStr">
        <is>
          <t>recvdJNf43woaG.jpg</t>
        </is>
      </c>
      <c r="C2115" s="2" t="str">
        <f>=HYPERLINK("https://xhslink.com/m/151iOIjR634", "https://xhslink.com/m/151iOIjR634")</f>
        <v>https://xhslink.com/m/151iOIjR634</v>
      </c>
      <c r="D2115"/>
      <c r="E2115">
        <v>1043</v>
      </c>
      <c r="F2115">
        <v>1.25</v>
      </c>
      <c r="G2115"/>
      <c r="H2115">
        <v>150</v>
      </c>
      <c r="I2115"/>
      <c r="J2115"/>
      <c r="K2115" t="inlineStr">
        <is>
          <t>法考</t>
        </is>
      </c>
      <c r="L2115"/>
      <c r="M2115" t="inlineStr">
        <is>
          <t>叨叨不厌学的店</t>
        </is>
      </c>
      <c r="N2115">
        <v>373</v>
      </c>
      <c r="O2115">
        <v>4.42</v>
      </c>
      <c r="P2115">
        <v>1367</v>
      </c>
      <c r="Q2115" t="inlineStr">
        <is>
          <t>67d90e1e5339580001209ebc</t>
        </is>
      </c>
      <c r="R2115"/>
      <c r="S2115" t="inlineStr">
        <is>
          <t>司法考试</t>
        </is>
      </c>
      <c r="T2115" t="inlineStr">
        <is>
          <t>2.80</t>
        </is>
      </c>
      <c r="U2115" s="3">
        <v>46112.78107638889</v>
      </c>
      <c r="V2115"/>
      <c r="W2115" s="3">
        <v>46094</v>
      </c>
      <c r="X2115" t="inlineStr">
        <is>
          <t>03</t>
        </is>
      </c>
      <c r="Y2115" t="inlineStr">
        <is>
          <t>2026-Q1</t>
        </is>
      </c>
    </row>
    <row r="2116" ht="38.25" customHeight="1">
      <c r="A2116" t="inlineStr">
        <is>
          <t>玄霄法师·26年法考刑法思维导图·50万字</t>
        </is>
      </c>
      <c r="B2116" t="inlineStr">
        <is>
          <t>recvdJNf43iijO.jpg</t>
        </is>
      </c>
      <c r="C2116" s="2" t="str">
        <f>=HYPERLINK("https://xhslink.com/m/82lR55qw4QE", "https://xhslink.com/m/82lR55qw4QE")</f>
        <v>https://xhslink.com/m/82lR55qw4QE</v>
      </c>
      <c r="D2116"/>
      <c r="E2116">
        <v>900</v>
      </c>
      <c r="F2116">
        <v>15</v>
      </c>
      <c r="G2116"/>
      <c r="H2116">
        <v>150</v>
      </c>
      <c r="I2116"/>
      <c r="J2116"/>
      <c r="K2116" t="inlineStr">
        <is>
          <t>法考</t>
        </is>
      </c>
      <c r="L2116"/>
      <c r="M2116" t="inlineStr">
        <is>
          <t>玄霄法师的店</t>
        </is>
      </c>
      <c r="N2116">
        <v>16000</v>
      </c>
      <c r="O2116">
        <v>3.94</v>
      </c>
      <c r="P2116">
        <v>13000</v>
      </c>
      <c r="Q2116" t="inlineStr">
        <is>
          <t>674d5f21ec68d70001b5de54</t>
        </is>
      </c>
      <c r="R2116"/>
      <c r="S2116" t="inlineStr">
        <is>
          <t>司法考试</t>
        </is>
      </c>
      <c r="T2116" t="inlineStr">
        <is>
          <t>0.06</t>
        </is>
      </c>
      <c r="U2116" s="3">
        <v>46112.78107638889</v>
      </c>
      <c r="V2116"/>
      <c r="W2116" s="3">
        <v>46094</v>
      </c>
      <c r="X2116" t="inlineStr">
        <is>
          <t>03</t>
        </is>
      </c>
      <c r="Y2116" t="inlineStr">
        <is>
          <t>2026-Q1</t>
        </is>
      </c>
    </row>
    <row r="2117" ht="38.25" customHeight="1">
      <c r="A2117" t="inlineStr">
        <is>
          <t>电子版2026版众合法考资料客观题全套教材精讲卷真金题背诵卷PDF</t>
        </is>
      </c>
      <c r="B2117" t="inlineStr">
        <is>
          <t>recvdJNf43auql.jpg</t>
        </is>
      </c>
      <c r="C2117" s="2" t="str">
        <f>=HYPERLINK("https://xhslink.com/m/22irmz5cF1G", "https://xhslink.com/m/22irmz5cF1G")</f>
        <v>https://xhslink.com/m/22irmz5cF1G</v>
      </c>
      <c r="D2117"/>
      <c r="E2117">
        <v>359</v>
      </c>
      <c r="F2117">
        <v>2.7</v>
      </c>
      <c r="G2117"/>
      <c r="H2117">
        <v>150</v>
      </c>
      <c r="I2117"/>
      <c r="J2117"/>
      <c r="K2117" t="inlineStr">
        <is>
          <t>法考</t>
        </is>
      </c>
      <c r="L2117"/>
      <c r="M2117" t="inlineStr">
        <is>
          <t>桃老师备课小站的店</t>
        </is>
      </c>
      <c r="N2117">
        <v>225</v>
      </c>
      <c r="O2117">
        <v>3.99</v>
      </c>
      <c r="P2117">
        <v>2651</v>
      </c>
      <c r="Q2117" t="inlineStr">
        <is>
          <t>6964678c9b2f2f00152b87db</t>
        </is>
      </c>
      <c r="R2117"/>
      <c r="S2117" t="inlineStr">
        <is>
          <t>司法考试</t>
        </is>
      </c>
      <c r="T2117" t="inlineStr">
        <is>
          <t>1.60</t>
        </is>
      </c>
      <c r="U2117" s="3">
        <v>46112.78107638889</v>
      </c>
      <c r="V2117"/>
      <c r="W2117" s="3">
        <v>46094</v>
      </c>
      <c r="X2117" t="inlineStr">
        <is>
          <t>03</t>
        </is>
      </c>
      <c r="Y2117" t="inlineStr">
        <is>
          <t>2026-Q1</t>
        </is>
      </c>
    </row>
    <row r="2118" ht="38.25" customHeight="1">
      <c r="A2118" t="inlineStr">
        <is>
          <t>2026年林楷翔的初级会计笔记</t>
        </is>
      </c>
      <c r="B2118" t="inlineStr">
        <is>
          <t>recvdJNf43pydU.jpg</t>
        </is>
      </c>
      <c r="C2118" s="2" t="str">
        <f>=HYPERLINK("https://xhslink.com/m/52eyW3gp7JB", "https://xhslink.com/m/52eyW3gp7JB")</f>
        <v>https://xhslink.com/m/52eyW3gp7JB</v>
      </c>
      <c r="D2118"/>
      <c r="E2118">
        <v>33000</v>
      </c>
      <c r="F2118">
        <v>25</v>
      </c>
      <c r="G2118"/>
      <c r="H2118">
        <v>1000</v>
      </c>
      <c r="I2118"/>
      <c r="J2118"/>
      <c r="K2118" t="inlineStr">
        <is>
          <t>初级会计2026备考</t>
        </is>
      </c>
      <c r="L2118"/>
      <c r="M2118" t="inlineStr">
        <is>
          <t>林楷翔的店</t>
        </is>
      </c>
      <c r="N2118">
        <v>81000</v>
      </c>
      <c r="O2118">
        <v>4.6</v>
      </c>
      <c r="P2118">
        <v>36000</v>
      </c>
      <c r="Q2118" t="inlineStr">
        <is>
          <t>65acc0819ae7f40001853a20</t>
        </is>
      </c>
      <c r="R2118" t="inlineStr">
        <is>
          <t>🚫重复</t>
        </is>
      </c>
      <c r="S2118" t="inlineStr">
        <is>
          <t>会计资料</t>
        </is>
      </c>
      <c r="T2118" t="inlineStr">
        <is>
          <t>0.41</t>
        </is>
      </c>
      <c r="U2118" s="3">
        <v>46112.78107638889</v>
      </c>
      <c r="V2118"/>
      <c r="W2118" s="3">
        <v>46094</v>
      </c>
      <c r="X2118" t="inlineStr">
        <is>
          <t>03</t>
        </is>
      </c>
      <c r="Y2118" t="inlineStr">
        <is>
          <t>2026-Q1</t>
        </is>
      </c>
    </row>
    <row r="2119" ht="38.25" customHeight="1">
      <c r="A2119" t="inlineStr">
        <is>
          <t>华理社 · 【现货】初中+高中英语时文阅读提分训练3+X 小升初 789年级 中考</t>
        </is>
      </c>
      <c r="B2119" t="inlineStr">
        <is>
          <t>recvdJNf43VBki.jpg</t>
        </is>
      </c>
      <c r="C2119" s="2" t="str">
        <f>=HYPERLINK("https://xhslink.com/m/7f3FBERNrBk", "https://xhslink.com/m/7f3FBERNrBk")</f>
        <v>https://xhslink.com/m/7f3FBERNrBk</v>
      </c>
      <c r="D2119"/>
      <c r="E2119">
        <v>7211</v>
      </c>
      <c r="F2119">
        <v>39</v>
      </c>
      <c r="G2119"/>
      <c r="H2119">
        <v>300</v>
      </c>
      <c r="I2119"/>
      <c r="J2119"/>
      <c r="K2119" t="inlineStr">
        <is>
          <t>中考资料</t>
        </is>
      </c>
      <c r="L2119"/>
      <c r="M2119" t="inlineStr">
        <is>
          <t>华理社旗舰店</t>
        </is>
      </c>
      <c r="N2119">
        <v>15000</v>
      </c>
      <c r="O2119">
        <v>4.9</v>
      </c>
      <c r="P2119">
        <v>47000</v>
      </c>
      <c r="Q2119" t="inlineStr">
        <is>
          <t>6912ea3d571d660001605694</t>
        </is>
      </c>
      <c r="R2119" t="inlineStr">
        <is>
          <t>🚫重复</t>
        </is>
      </c>
      <c r="S2119" t="inlineStr">
        <is>
          <t>中小学教辅/教材</t>
        </is>
      </c>
      <c r="T2119" t="inlineStr">
        <is>
          <t>0.48</t>
        </is>
      </c>
      <c r="U2119" s="3">
        <v>46112.78107638889</v>
      </c>
      <c r="V2119"/>
      <c r="W2119" s="3">
        <v>46094</v>
      </c>
      <c r="X2119" t="inlineStr">
        <is>
          <t>03</t>
        </is>
      </c>
      <c r="Y2119" t="inlineStr">
        <is>
          <t>2026-Q1</t>
        </is>
      </c>
    </row>
    <row r="2120" ht="38.25" customHeight="1">
      <c r="A2120" t="inlineStr">
        <is>
          <t>C00初中英语语法 知识点&amp;考点&amp;习题汇编（电子文件word含答案74页</t>
        </is>
      </c>
      <c r="B2120" t="inlineStr">
        <is>
          <t>recvdJNf43pm2o.jpg</t>
        </is>
      </c>
      <c r="C2120" s="2" t="str">
        <f>=HYPERLINK("https://xhslink.com/m/8RwE05cYgzM", "https://xhslink.com/m/8RwE05cYgzM")</f>
        <v>https://xhslink.com/m/8RwE05cYgzM</v>
      </c>
      <c r="D2120"/>
      <c r="E2120">
        <v>7943</v>
      </c>
      <c r="F2120">
        <v>9.9</v>
      </c>
      <c r="G2120"/>
      <c r="H2120">
        <v>100</v>
      </c>
      <c r="I2120"/>
      <c r="J2120"/>
      <c r="K2120" t="inlineStr">
        <is>
          <t>中考资料</t>
        </is>
      </c>
      <c r="L2120" t="inlineStr">
        <is>
          <t>🔥低粉爆款</t>
        </is>
      </c>
      <c r="M2120" t="inlineStr">
        <is>
          <t>爱猫的楚楚老师的店</t>
        </is>
      </c>
      <c r="N2120">
        <v>1756</v>
      </c>
      <c r="O2120">
        <v>4.39</v>
      </c>
      <c r="P2120">
        <v>14000</v>
      </c>
      <c r="Q2120" t="inlineStr">
        <is>
          <t>680865cf96df400001505b73</t>
        </is>
      </c>
      <c r="R2120"/>
      <c r="S2120" t="inlineStr">
        <is>
          <t>中小学教辅/教材</t>
        </is>
      </c>
      <c r="T2120" t="inlineStr">
        <is>
          <t>4.52</t>
        </is>
      </c>
      <c r="U2120" s="3">
        <v>46112.78107638889</v>
      </c>
      <c r="V2120"/>
      <c r="W2120" s="3">
        <v>46094</v>
      </c>
      <c r="X2120" t="inlineStr">
        <is>
          <t>03</t>
        </is>
      </c>
      <c r="Y2120" t="inlineStr">
        <is>
          <t>2026-Q1</t>
        </is>
      </c>
    </row>
    <row r="2121" ht="38.25" customHeight="1">
      <c r="A2121" t="inlineStr">
        <is>
          <t>【新教材】初中各科学习笔记(电子版）知识点复习-自动发货</t>
        </is>
      </c>
      <c r="B2121" t="inlineStr">
        <is>
          <t>recvdJNf43TNLh.jpg</t>
        </is>
      </c>
      <c r="C2121" s="2" t="str">
        <f>=HYPERLINK("https://xhslink.com/m/2weXx5335rj", "https://xhslink.com/m/2weXx5335rj")</f>
        <v>https://xhslink.com/m/2weXx5335rj</v>
      </c>
      <c r="D2121"/>
      <c r="E2121">
        <v>4875</v>
      </c>
      <c r="F2121">
        <v>39.9</v>
      </c>
      <c r="G2121"/>
      <c r="H2121">
        <v>150</v>
      </c>
      <c r="I2121"/>
      <c r="J2121"/>
      <c r="K2121" t="inlineStr">
        <is>
          <t>中考资料</t>
        </is>
      </c>
      <c r="L2121"/>
      <c r="M2121" t="inlineStr">
        <is>
          <t>三水爱学习的店</t>
        </is>
      </c>
      <c r="N2121">
        <v>12000</v>
      </c>
      <c r="O2121">
        <v>4.38</v>
      </c>
      <c r="P2121">
        <v>24000</v>
      </c>
      <c r="Q2121" t="inlineStr">
        <is>
          <t>681c7831794ce20001b6ca80</t>
        </is>
      </c>
      <c r="R2121" t="inlineStr">
        <is>
          <t>🚫重复</t>
        </is>
      </c>
      <c r="S2121" t="inlineStr">
        <is>
          <t>中小学教辅/教材</t>
        </is>
      </c>
      <c r="T2121" t="inlineStr">
        <is>
          <t>0.41</t>
        </is>
      </c>
      <c r="U2121" s="3">
        <v>46112.78107638889</v>
      </c>
      <c r="V2121"/>
      <c r="W2121" s="3">
        <v>46094</v>
      </c>
      <c r="X2121" t="inlineStr">
        <is>
          <t>03</t>
        </is>
      </c>
      <c r="Y2121" t="inlineStr">
        <is>
          <t>2026-Q1</t>
        </is>
      </c>
    </row>
    <row r="2122" ht="38.25" customHeight="1">
      <c r="A2122" t="inlineStr">
        <is>
          <t>人教版初中七八九年级寒假衔接预习讲义复习巩固电子版资料</t>
        </is>
      </c>
      <c r="B2122" t="inlineStr">
        <is>
          <t>recvdJNf43Yr3e.jpg</t>
        </is>
      </c>
      <c r="C2122" s="2" t="str">
        <f>=HYPERLINK("https://xhslink.com/m/3njYXTBQrId", "https://xhslink.com/m/3njYXTBQrId")</f>
        <v>https://xhslink.com/m/3njYXTBQrId</v>
      </c>
      <c r="D2122"/>
      <c r="E2122">
        <v>4880</v>
      </c>
      <c r="F2122">
        <v>9.8</v>
      </c>
      <c r="G2122"/>
      <c r="H2122">
        <v>3500</v>
      </c>
      <c r="I2122"/>
      <c r="J2122"/>
      <c r="K2122" t="inlineStr">
        <is>
          <t>中考资料</t>
        </is>
      </c>
      <c r="L2122" t="inlineStr">
        <is>
          <t>🔥低粉爆款</t>
        </is>
      </c>
      <c r="M2122" t="inlineStr">
        <is>
          <t>李老师的资料馆的店</t>
        </is>
      </c>
      <c r="N2122">
        <v>1033</v>
      </c>
      <c r="O2122">
        <v>4.63</v>
      </c>
      <c r="P2122">
        <v>6408</v>
      </c>
      <c r="Q2122" t="inlineStr">
        <is>
          <t>694dff3896a9fa00014ff804</t>
        </is>
      </c>
      <c r="R2122" t="inlineStr">
        <is>
          <t>🚫重复</t>
        </is>
      </c>
      <c r="S2122" t="inlineStr">
        <is>
          <t>中小学教辅/教材</t>
        </is>
      </c>
      <c r="T2122" t="inlineStr">
        <is>
          <t>4.72</t>
        </is>
      </c>
      <c r="U2122" s="3">
        <v>46112.78107638889</v>
      </c>
      <c r="V2122"/>
      <c r="W2122" s="3">
        <v>46094</v>
      </c>
      <c r="X2122" t="inlineStr">
        <is>
          <t>03</t>
        </is>
      </c>
      <c r="Y2122" t="inlineStr">
        <is>
          <t>2026-Q1</t>
        </is>
      </c>
    </row>
    <row r="2123" ht="38.25" customHeight="1">
      <c r="A2123" t="inlineStr">
        <is>
          <t>学而思 · 初中英语语法中考考频分区速学词汇语法单词考点复习</t>
        </is>
      </c>
      <c r="B2123" t="inlineStr">
        <is>
          <t>recvdJNf43bCfx.jpg</t>
        </is>
      </c>
      <c r="C2123" s="2" t="str">
        <f>=HYPERLINK("https://xhslink.com/m/5PVM7CiANog", "https://xhslink.com/m/5PVM7CiANog")</f>
        <v>https://xhslink.com/m/5PVM7CiANog</v>
      </c>
      <c r="D2123"/>
      <c r="E2123">
        <v>4328</v>
      </c>
      <c r="F2123">
        <v>110</v>
      </c>
      <c r="G2123"/>
      <c r="H2123">
        <v>300</v>
      </c>
      <c r="I2123"/>
      <c r="J2123"/>
      <c r="K2123" t="inlineStr">
        <is>
          <t>中考资料</t>
        </is>
      </c>
      <c r="L2123"/>
      <c r="M2123" t="inlineStr">
        <is>
          <t>张学姐的店</t>
        </is>
      </c>
      <c r="N2123">
        <v>6200</v>
      </c>
      <c r="O2123">
        <v>4.53</v>
      </c>
      <c r="P2123">
        <v>14000</v>
      </c>
      <c r="Q2123" t="inlineStr">
        <is>
          <t>668169686a22800001847d9f</t>
        </is>
      </c>
      <c r="R2123" t="inlineStr">
        <is>
          <t>🚫重复</t>
        </is>
      </c>
      <c r="S2123" t="inlineStr">
        <is>
          <t>中小学教辅/教材</t>
        </is>
      </c>
      <c r="T2123" t="inlineStr">
        <is>
          <t>0.70</t>
        </is>
      </c>
      <c r="U2123" s="3">
        <v>46112.78107638889</v>
      </c>
      <c r="V2123"/>
      <c r="W2123" s="3">
        <v>46094</v>
      </c>
      <c r="X2123" t="inlineStr">
        <is>
          <t>03</t>
        </is>
      </c>
      <c r="Y2123" t="inlineStr">
        <is>
          <t>2026-Q1</t>
        </is>
      </c>
    </row>
    <row r="2124" ht="38.25" customHeight="1">
      <c r="A2124" t="inlineStr">
        <is>
          <t>2026初中速用答题模板道法地生物化语数英7-9年级通用小豆同学</t>
        </is>
      </c>
      <c r="B2124" t="inlineStr">
        <is>
          <t>recvdJNf43fY33.jpg</t>
        </is>
      </c>
      <c r="C2124" s="2" t="str">
        <f>=HYPERLINK("https://xhslink.com/m/6q7Nv9ZumDz", "https://xhslink.com/m/6q7Nv9ZumDz")</f>
        <v>https://xhslink.com/m/6q7Nv9ZumDz</v>
      </c>
      <c r="D2124"/>
      <c r="E2124">
        <v>3318</v>
      </c>
      <c r="F2124">
        <v>179.8</v>
      </c>
      <c r="G2124"/>
      <c r="H2124">
        <v>200</v>
      </c>
      <c r="I2124"/>
      <c r="J2124"/>
      <c r="K2124" t="inlineStr">
        <is>
          <t>中考资料</t>
        </is>
      </c>
      <c r="L2124" t="inlineStr">
        <is>
          <t>🔥低粉爆款</t>
        </is>
      </c>
      <c r="M2124" t="inlineStr">
        <is>
          <t>致美星广图书的店</t>
        </is>
      </c>
      <c r="N2124">
        <v>714</v>
      </c>
      <c r="O2124">
        <v>4.38</v>
      </c>
      <c r="P2124">
        <v>9211</v>
      </c>
      <c r="Q2124" t="inlineStr">
        <is>
          <t>6921117afb6e0d000124e2d5</t>
        </is>
      </c>
      <c r="R2124" t="inlineStr">
        <is>
          <t>🚫重复</t>
        </is>
      </c>
      <c r="S2124" t="inlineStr">
        <is>
          <t>中小学教辅/教材</t>
        </is>
      </c>
      <c r="T2124" t="inlineStr">
        <is>
          <t>4.65</t>
        </is>
      </c>
      <c r="U2124" s="3">
        <v>46112.78107638889</v>
      </c>
      <c r="V2124"/>
      <c r="W2124" s="3">
        <v>46094</v>
      </c>
      <c r="X2124" t="inlineStr">
        <is>
          <t>03</t>
        </is>
      </c>
      <c r="Y2124" t="inlineStr">
        <is>
          <t>2026-Q1</t>
        </is>
      </c>
    </row>
    <row r="2125" ht="38.25" customHeight="1">
      <c r="A2125" t="inlineStr">
        <is>
          <t>2026中考总复习课件讲义练习语文数学英语物理化学生物历史地理道</t>
        </is>
      </c>
      <c r="B2125" t="inlineStr">
        <is>
          <t>recvdJNf43BwUg.jpg</t>
        </is>
      </c>
      <c r="C2125" s="2" t="str">
        <f>=HYPERLINK("https://xhslink.com/m/AZKDlKZ2656", "https://xhslink.com/m/AZKDlKZ2656")</f>
        <v>https://xhslink.com/m/AZKDlKZ2656</v>
      </c>
      <c r="D2125"/>
      <c r="E2125">
        <v>3147</v>
      </c>
      <c r="F2125">
        <v>58</v>
      </c>
      <c r="G2125"/>
      <c r="H2125">
        <v>200</v>
      </c>
      <c r="I2125"/>
      <c r="J2125"/>
      <c r="K2125" t="inlineStr">
        <is>
          <t>中考资料</t>
        </is>
      </c>
      <c r="L2125"/>
      <c r="M2125" t="inlineStr">
        <is>
          <t>肖老师的店</t>
        </is>
      </c>
      <c r="N2125">
        <v>12000</v>
      </c>
      <c r="O2125">
        <v>4.61</v>
      </c>
      <c r="P2125">
        <v>68000</v>
      </c>
      <c r="Q2125" t="inlineStr">
        <is>
          <t>6707cf544c161f00012b4071</t>
        </is>
      </c>
      <c r="R2125" t="inlineStr">
        <is>
          <t>🚫重复</t>
        </is>
      </c>
      <c r="S2125" t="inlineStr">
        <is>
          <t>中小学教辅/教材</t>
        </is>
      </c>
      <c r="T2125" t="inlineStr">
        <is>
          <t>0.26</t>
        </is>
      </c>
      <c r="U2125" s="3">
        <v>46112.78107638889</v>
      </c>
      <c r="V2125"/>
      <c r="W2125" s="3">
        <v>46094</v>
      </c>
      <c r="X2125" t="inlineStr">
        <is>
          <t>03</t>
        </is>
      </c>
      <c r="Y2125" t="inlineStr">
        <is>
          <t>2026-Q1</t>
        </is>
      </c>
    </row>
    <row r="2126" ht="38.25" customHeight="1">
      <c r="A2126" t="inlineStr">
        <is>
          <t>26年春季新版初中学习笔记知识点（电子版）自动发货</t>
        </is>
      </c>
      <c r="B2126" t="inlineStr">
        <is>
          <t>recvdJNf43jhN9.jpg</t>
        </is>
      </c>
      <c r="C2126" s="2" t="str">
        <f>=HYPERLINK("https://xhslink.com/m/8Pp4J2t2Dxh", "https://xhslink.com/m/8Pp4J2t2Dxh")</f>
        <v>https://xhslink.com/m/8Pp4J2t2Dxh</v>
      </c>
      <c r="D2126"/>
      <c r="E2126">
        <v>3111</v>
      </c>
      <c r="F2126">
        <v>99</v>
      </c>
      <c r="G2126"/>
      <c r="H2126">
        <v>200</v>
      </c>
      <c r="I2126"/>
      <c r="J2126"/>
      <c r="K2126" t="inlineStr">
        <is>
          <t>中考资料</t>
        </is>
      </c>
      <c r="L2126"/>
      <c r="M2126" t="inlineStr">
        <is>
          <t>小米爱学习的店</t>
        </is>
      </c>
      <c r="N2126">
        <v>4029</v>
      </c>
      <c r="O2126">
        <v>4.33</v>
      </c>
      <c r="P2126">
        <v>6653</v>
      </c>
      <c r="Q2126" t="inlineStr">
        <is>
          <t>66cc4fb6b1e5760001a44bb2</t>
        </is>
      </c>
      <c r="R2126" t="inlineStr">
        <is>
          <t>🚫重复</t>
        </is>
      </c>
      <c r="S2126" t="inlineStr">
        <is>
          <t>中小学教辅/教材</t>
        </is>
      </c>
      <c r="T2126" t="inlineStr">
        <is>
          <t>0.77</t>
        </is>
      </c>
      <c r="U2126" s="3">
        <v>46112.78107638889</v>
      </c>
      <c r="V2126"/>
      <c r="W2126" s="3">
        <v>46094</v>
      </c>
      <c r="X2126" t="inlineStr">
        <is>
          <t>03</t>
        </is>
      </c>
      <c r="Y2126" t="inlineStr">
        <is>
          <t>2026-Q1</t>
        </is>
      </c>
    </row>
    <row r="2127" ht="38.25" customHeight="1">
      <c r="A2127" t="inlineStr">
        <is>
          <t>初中数学睡前默写小纸条资料包中考合集通用版（电子版资料）</t>
        </is>
      </c>
      <c r="B2127" t="inlineStr">
        <is>
          <t>recvdJNf43VEj1.jpg</t>
        </is>
      </c>
      <c r="C2127" s="2" t="str">
        <f>=HYPERLINK("https://xhslink.com/m/ABODh2LKyjF", "https://xhslink.com/m/ABODh2LKyjF")</f>
        <v>https://xhslink.com/m/ABODh2LKyjF</v>
      </c>
      <c r="D2127"/>
      <c r="E2127">
        <v>2834</v>
      </c>
      <c r="F2127">
        <v>12.8</v>
      </c>
      <c r="G2127"/>
      <c r="H2127">
        <v>300</v>
      </c>
      <c r="I2127"/>
      <c r="J2127"/>
      <c r="K2127" t="inlineStr">
        <is>
          <t>中考资料</t>
        </is>
      </c>
      <c r="L2127"/>
      <c r="M2127" t="inlineStr">
        <is>
          <t>马老师资料库的店</t>
        </is>
      </c>
      <c r="N2127">
        <v>1881</v>
      </c>
      <c r="O2127">
        <v>4.12</v>
      </c>
      <c r="P2127">
        <v>3878</v>
      </c>
      <c r="Q2127" t="inlineStr">
        <is>
          <t>6814379daca4490001147e3c</t>
        </is>
      </c>
      <c r="R2127" t="inlineStr">
        <is>
          <t>🚫重复</t>
        </is>
      </c>
      <c r="S2127" t="inlineStr">
        <is>
          <t>中小学教辅/教材</t>
        </is>
      </c>
      <c r="T2127" t="inlineStr">
        <is>
          <t>1.51</t>
        </is>
      </c>
      <c r="U2127" s="3">
        <v>46112.78107638889</v>
      </c>
      <c r="V2127"/>
      <c r="W2127" s="3">
        <v>46094</v>
      </c>
      <c r="X2127" t="inlineStr">
        <is>
          <t>03</t>
        </is>
      </c>
      <c r="Y2127" t="inlineStr">
        <is>
          <t>2026-Q1</t>
        </is>
      </c>
    </row>
    <row r="2128" ht="38.25" customHeight="1">
      <c r="A2128" t="inlineStr">
        <is>
          <t>中考化学一轮复习知识点+题型分类电子档（PDF版）拍前要看说明！</t>
        </is>
      </c>
      <c r="B2128" t="inlineStr">
        <is>
          <t>recvdJNf43bvIT.jpg</t>
        </is>
      </c>
      <c r="C2128" s="2" t="str">
        <f>=HYPERLINK("https://xhslink.com/m/3abxbm4BZKX", "https://xhslink.com/m/3abxbm4BZKX")</f>
        <v>https://xhslink.com/m/3abxbm4BZKX</v>
      </c>
      <c r="D2128"/>
      <c r="E2128">
        <v>2689</v>
      </c>
      <c r="F2128">
        <v>5</v>
      </c>
      <c r="G2128"/>
      <c r="H2128">
        <v>700</v>
      </c>
      <c r="I2128"/>
      <c r="J2128"/>
      <c r="K2128" t="inlineStr">
        <is>
          <t>中考资料</t>
        </is>
      </c>
      <c r="L2128"/>
      <c r="M2128" t="inlineStr">
        <is>
          <t>旋转木马老师的店</t>
        </is>
      </c>
      <c r="N2128">
        <v>4640</v>
      </c>
      <c r="O2128">
        <v>4.31</v>
      </c>
      <c r="P2128">
        <v>24000</v>
      </c>
      <c r="Q2128" t="inlineStr">
        <is>
          <t>67b33ae7e0b5940001623c9b</t>
        </is>
      </c>
      <c r="R2128" t="inlineStr">
        <is>
          <t>🚫重复</t>
        </is>
      </c>
      <c r="S2128" t="inlineStr">
        <is>
          <t>中小学教辅/教材</t>
        </is>
      </c>
      <c r="T2128" t="inlineStr">
        <is>
          <t>0.58</t>
        </is>
      </c>
      <c r="U2128" s="3">
        <v>46112.78107638889</v>
      </c>
      <c r="V2128"/>
      <c r="W2128" s="3">
        <v>46094</v>
      </c>
      <c r="X2128" t="inlineStr">
        <is>
          <t>03</t>
        </is>
      </c>
      <c r="Y2128" t="inlineStr">
        <is>
          <t>2026-Q1</t>
        </is>
      </c>
    </row>
    <row r="2129" ht="38.25" customHeight="1">
      <c r="A2129" t="inlineStr">
        <is>
          <t>上海华育中学内部使用资料（笔记同款）</t>
        </is>
      </c>
      <c r="B2129" t="inlineStr">
        <is>
          <t>recvdJNf43WqI6.jpg</t>
        </is>
      </c>
      <c r="C2129" s="2" t="str">
        <f>=HYPERLINK("https://xhslink.com/m/7uqz4JXLZxa", "https://xhslink.com/m/7uqz4JXLZxa")</f>
        <v>https://xhslink.com/m/7uqz4JXLZxa</v>
      </c>
      <c r="D2129"/>
      <c r="E2129">
        <v>2687</v>
      </c>
      <c r="F2129">
        <v>39.9</v>
      </c>
      <c r="G2129"/>
      <c r="H2129">
        <v>250</v>
      </c>
      <c r="I2129"/>
      <c r="J2129"/>
      <c r="K2129" t="inlineStr">
        <is>
          <t>中考资料</t>
        </is>
      </c>
      <c r="L2129"/>
      <c r="M2129" t="inlineStr">
        <is>
          <t>沪上家长Club的店</t>
        </is>
      </c>
      <c r="N2129">
        <v>2972</v>
      </c>
      <c r="O2129">
        <v>4.62</v>
      </c>
      <c r="P2129">
        <v>11000</v>
      </c>
      <c r="Q2129" t="inlineStr">
        <is>
          <t>687daab2b1b9df000132750b</t>
        </is>
      </c>
      <c r="R2129" t="inlineStr">
        <is>
          <t>🚫重复</t>
        </is>
      </c>
      <c r="S2129" t="inlineStr">
        <is>
          <t>中小学教辅/教材</t>
        </is>
      </c>
      <c r="T2129" t="inlineStr">
        <is>
          <t>0.90</t>
        </is>
      </c>
      <c r="U2129" s="3">
        <v>46112.78107638889</v>
      </c>
      <c r="V2129"/>
      <c r="W2129" s="3">
        <v>46094</v>
      </c>
      <c r="X2129" t="inlineStr">
        <is>
          <t>03</t>
        </is>
      </c>
      <c r="Y2129" t="inlineStr">
        <is>
          <t>2026-Q1</t>
        </is>
      </c>
    </row>
    <row r="2130" ht="38.25" customHeight="1">
      <c r="A2130" t="inlineStr">
        <is>
          <t>【浙江】26年新版初中科学学习资料（电子版）-拍下自动发货</t>
        </is>
      </c>
      <c r="B2130" t="inlineStr">
        <is>
          <t>recvdJNf43hSpN.jpg</t>
        </is>
      </c>
      <c r="C2130" s="2" t="str">
        <f>=HYPERLINK("https://xhslink.com/m/8Rig6MgcML3", "https://xhslink.com/m/8Rig6MgcML3")</f>
        <v>https://xhslink.com/m/8Rig6MgcML3</v>
      </c>
      <c r="D2130"/>
      <c r="E2130">
        <v>2430</v>
      </c>
      <c r="F2130">
        <v>199</v>
      </c>
      <c r="G2130"/>
      <c r="H2130">
        <v>200</v>
      </c>
      <c r="I2130"/>
      <c r="J2130"/>
      <c r="K2130" t="inlineStr">
        <is>
          <t>中考资料</t>
        </is>
      </c>
      <c r="L2130"/>
      <c r="M2130" t="inlineStr">
        <is>
          <t>三水爱学习的店</t>
        </is>
      </c>
      <c r="N2130">
        <v>12000</v>
      </c>
      <c r="O2130">
        <v>4.38</v>
      </c>
      <c r="P2130">
        <v>24000</v>
      </c>
      <c r="Q2130" t="inlineStr">
        <is>
          <t>67b5527ceef1820001244e24</t>
        </is>
      </c>
      <c r="R2130" t="inlineStr">
        <is>
          <t>🚫重复</t>
        </is>
      </c>
      <c r="S2130" t="inlineStr">
        <is>
          <t>中小学教辅/教材</t>
        </is>
      </c>
      <c r="T2130" t="inlineStr">
        <is>
          <t>0.20</t>
        </is>
      </c>
      <c r="U2130" s="3">
        <v>46112.78107638889</v>
      </c>
      <c r="V2130"/>
      <c r="W2130" s="3">
        <v>46094</v>
      </c>
      <c r="X2130" t="inlineStr">
        <is>
          <t>03</t>
        </is>
      </c>
      <c r="Y2130" t="inlineStr">
        <is>
          <t>2026-Q1</t>
        </is>
      </c>
    </row>
    <row r="2131" ht="38.25" customHeight="1">
      <c r="A2131" t="inlineStr">
        <is>
          <t>中考语文基础过关训练</t>
        </is>
      </c>
      <c r="B2131" t="inlineStr">
        <is>
          <t>recvdJNf43LAui.jpg</t>
        </is>
      </c>
      <c r="C2131" s="2" t="str">
        <f>=HYPERLINK("https://xhslink.com/m/2kdOQZtbLlQ", "https://xhslink.com/m/2kdOQZtbLlQ")</f>
        <v>https://xhslink.com/m/2kdOQZtbLlQ</v>
      </c>
      <c r="D2131"/>
      <c r="E2131">
        <v>1932</v>
      </c>
      <c r="F2131">
        <v>9.9</v>
      </c>
      <c r="G2131"/>
      <c r="H2131">
        <v>150</v>
      </c>
      <c r="I2131"/>
      <c r="J2131"/>
      <c r="K2131" t="inlineStr">
        <is>
          <t>中考资料</t>
        </is>
      </c>
      <c r="L2131"/>
      <c r="M2131" t="inlineStr">
        <is>
          <t>一二老师的店</t>
        </is>
      </c>
      <c r="N2131">
        <v>5727</v>
      </c>
      <c r="O2131">
        <v>4.57</v>
      </c>
      <c r="P2131">
        <v>16000</v>
      </c>
      <c r="Q2131" t="inlineStr">
        <is>
          <t>67f3f4462dd3d10001d55b67</t>
        </is>
      </c>
      <c r="R2131" t="inlineStr">
        <is>
          <t>🚫重复</t>
        </is>
      </c>
      <c r="S2131" t="inlineStr">
        <is>
          <t>中小学教辅/教材</t>
        </is>
      </c>
      <c r="T2131" t="inlineStr">
        <is>
          <t>0.34</t>
        </is>
      </c>
      <c r="U2131" s="3">
        <v>46112.78107638889</v>
      </c>
      <c r="V2131"/>
      <c r="W2131" s="3">
        <v>46094</v>
      </c>
      <c r="X2131" t="inlineStr">
        <is>
          <t>03</t>
        </is>
      </c>
      <c r="Y2131" t="inlineStr">
        <is>
          <t>2026-Q1</t>
        </is>
      </c>
    </row>
    <row r="2132" ht="38.25" customHeight="1">
      <c r="A2132" t="inlineStr">
        <is>
          <t>全新升级中考英语高分3100词超级循环记忆本笔记本|4.0新版本</t>
        </is>
      </c>
      <c r="B2132" t="inlineStr">
        <is>
          <t>recvdJNf432uaI.jpg</t>
        </is>
      </c>
      <c r="C2132" s="2" t="str">
        <f>=HYPERLINK("https://xhslink.com/m/9ofj7nGf4Vu", "https://xhslink.com/m/9ofj7nGf4Vu")</f>
        <v>https://xhslink.com/m/9ofj7nGf4Vu</v>
      </c>
      <c r="D2132"/>
      <c r="E2132">
        <v>1924</v>
      </c>
      <c r="F2132">
        <v>99</v>
      </c>
      <c r="G2132"/>
      <c r="H2132">
        <v>100</v>
      </c>
      <c r="I2132"/>
      <c r="J2132"/>
      <c r="K2132" t="inlineStr">
        <is>
          <t>中考资料</t>
        </is>
      </c>
      <c r="L2132"/>
      <c r="M2132" t="inlineStr">
        <is>
          <t>熙爸高质陪读的店</t>
        </is>
      </c>
      <c r="N2132">
        <v>1365</v>
      </c>
      <c r="O2132">
        <v>4.43</v>
      </c>
      <c r="P2132">
        <v>1963</v>
      </c>
      <c r="Q2132" t="inlineStr">
        <is>
          <t>684104e353e72e0001667065</t>
        </is>
      </c>
      <c r="R2132"/>
      <c r="S2132" t="inlineStr">
        <is>
          <t>中小学教辅/教材</t>
        </is>
      </c>
      <c r="T2132" t="inlineStr">
        <is>
          <t>1.41</t>
        </is>
      </c>
      <c r="U2132" s="3">
        <v>46112.78107638889</v>
      </c>
      <c r="V2132"/>
      <c r="W2132" s="3">
        <v>46094</v>
      </c>
      <c r="X2132" t="inlineStr">
        <is>
          <t>03</t>
        </is>
      </c>
      <c r="Y2132" t="inlineStr">
        <is>
          <t>2026-Q1</t>
        </is>
      </c>
    </row>
    <row r="2133" ht="38.25" customHeight="1">
      <c r="A2133" t="inlineStr">
        <is>
          <t>新人教版初中七八九年级各科知识点早背晚默小纸条电子版资料</t>
        </is>
      </c>
      <c r="B2133" t="inlineStr">
        <is>
          <t>recvdJNf43HgN9.jpg</t>
        </is>
      </c>
      <c r="C2133" s="2" t="str">
        <f>=HYPERLINK("https://xhslink.com/m/4a8Egs9SsTa", "https://xhslink.com/m/4a8Egs9SsTa")</f>
        <v>https://xhslink.com/m/4a8Egs9SsTa</v>
      </c>
      <c r="D2133"/>
      <c r="E2133">
        <v>1514</v>
      </c>
      <c r="F2133">
        <v>9.99</v>
      </c>
      <c r="G2133"/>
      <c r="H2133">
        <v>550</v>
      </c>
      <c r="I2133">
        <v>1000</v>
      </c>
      <c r="J2133"/>
      <c r="K2133" t="inlineStr">
        <is>
          <t>中考资料</t>
        </is>
      </c>
      <c r="L2133"/>
      <c r="M2133" t="inlineStr">
        <is>
          <t>朝阳老师优质资料的店</t>
        </is>
      </c>
      <c r="N2133">
        <v>736</v>
      </c>
      <c r="O2133">
        <v>4.48</v>
      </c>
      <c r="P2133">
        <v>2912</v>
      </c>
      <c r="Q2133" t="inlineStr">
        <is>
          <t>696cb82e306dc50001aa294a</t>
        </is>
      </c>
      <c r="R2133" t="inlineStr">
        <is>
          <t>🚫重复</t>
        </is>
      </c>
      <c r="S2133" t="inlineStr">
        <is>
          <t>中小学教辅/教材</t>
        </is>
      </c>
      <c r="T2133" t="inlineStr">
        <is>
          <t>2.06</t>
        </is>
      </c>
      <c r="U2133" s="3">
        <v>46112.78107638889</v>
      </c>
      <c r="V2133"/>
      <c r="W2133" s="3">
        <v>46094</v>
      </c>
      <c r="X2133" t="inlineStr">
        <is>
          <t>03</t>
        </is>
      </c>
      <c r="Y2133" t="inlineStr">
        <is>
          <t>2026-Q1</t>
        </is>
      </c>
    </row>
    <row r="2134" ht="38.25" customHeight="1">
      <c r="A2134" t="inlineStr">
        <is>
          <t>中考化学二轮专题复习知识点题型分类电子档PDF版，拍前看说明</t>
        </is>
      </c>
      <c r="B2134" t="inlineStr">
        <is>
          <t>recvdJNf43wErP.jpg</t>
        </is>
      </c>
      <c r="C2134" s="2" t="str">
        <f>=HYPERLINK("https://xhslink.com/m/6WsdZRTvkDf", "https://xhslink.com/m/6WsdZRTvkDf")</f>
        <v>https://xhslink.com/m/6WsdZRTvkDf</v>
      </c>
      <c r="D2134"/>
      <c r="E2134">
        <v>867</v>
      </c>
      <c r="F2134">
        <v>5</v>
      </c>
      <c r="G2134"/>
      <c r="H2134">
        <v>200</v>
      </c>
      <c r="I2134"/>
      <c r="J2134"/>
      <c r="K2134" t="inlineStr">
        <is>
          <t>中考资料</t>
        </is>
      </c>
      <c r="L2134"/>
      <c r="M2134" t="inlineStr">
        <is>
          <t>旋转木马老师的店</t>
        </is>
      </c>
      <c r="N2134">
        <v>4640</v>
      </c>
      <c r="O2134">
        <v>4.31</v>
      </c>
      <c r="P2134">
        <v>24000</v>
      </c>
      <c r="Q2134" t="inlineStr">
        <is>
          <t>680de8a78aa30e0001f88362</t>
        </is>
      </c>
      <c r="R2134" t="inlineStr">
        <is>
          <t>🚫重复</t>
        </is>
      </c>
      <c r="S2134" t="inlineStr">
        <is>
          <t>中小学教辅/教材</t>
        </is>
      </c>
      <c r="T2134" t="inlineStr">
        <is>
          <t>0.19</t>
        </is>
      </c>
      <c r="U2134" s="3">
        <v>46112.78107638889</v>
      </c>
      <c r="V2134"/>
      <c r="W2134" s="3">
        <v>46094</v>
      </c>
      <c r="X2134" t="inlineStr">
        <is>
          <t>03</t>
        </is>
      </c>
      <c r="Y2134" t="inlineStr">
        <is>
          <t>2026-Q1</t>
        </is>
      </c>
    </row>
    <row r="2135" ht="38.25" customHeight="1">
      <c r="A2135" t="inlineStr">
        <is>
          <t>冲刺2025中考语文基础默写（电子版）</t>
        </is>
      </c>
      <c r="B2135" t="inlineStr">
        <is>
          <t>recvdJNf43cu7S.jpg</t>
        </is>
      </c>
      <c r="C2135" s="2" t="str">
        <f>=HYPERLINK("https://xhslink.com/m/10g6bxenNvP", "https://xhslink.com/m/10g6bxenNvP")</f>
        <v>https://xhslink.com/m/10g6bxenNvP</v>
      </c>
      <c r="D2135"/>
      <c r="E2135">
        <v>790</v>
      </c>
      <c r="F2135">
        <v>9.9</v>
      </c>
      <c r="G2135"/>
      <c r="H2135">
        <v>100</v>
      </c>
      <c r="I2135"/>
      <c r="J2135"/>
      <c r="K2135" t="inlineStr">
        <is>
          <t>中考资料</t>
        </is>
      </c>
      <c r="L2135"/>
      <c r="M2135" t="inlineStr">
        <is>
          <t>每日学科的店</t>
        </is>
      </c>
      <c r="N2135">
        <v>488</v>
      </c>
      <c r="O2135">
        <v>4.42</v>
      </c>
      <c r="P2135">
        <v>801</v>
      </c>
      <c r="Q2135" t="inlineStr">
        <is>
          <t>67e3de6b26be950001211861</t>
        </is>
      </c>
      <c r="R2135"/>
      <c r="S2135" t="inlineStr">
        <is>
          <t>中小学教辅/教材</t>
        </is>
      </c>
      <c r="T2135" t="inlineStr">
        <is>
          <t>1.62</t>
        </is>
      </c>
      <c r="U2135" s="3">
        <v>46112.78107638889</v>
      </c>
      <c r="V2135"/>
      <c r="W2135" s="3">
        <v>46094</v>
      </c>
      <c r="X2135" t="inlineStr">
        <is>
          <t>03</t>
        </is>
      </c>
      <c r="Y2135" t="inlineStr">
        <is>
          <t>2026-Q1</t>
        </is>
      </c>
    </row>
    <row r="2136" ht="38.25" customHeight="1">
      <c r="A2136" t="inlineStr">
        <is>
          <t>【2026年】中考总复习语文数学英语物理化学地理历史一二轮总复习</t>
        </is>
      </c>
      <c r="B2136" t="inlineStr">
        <is>
          <t>recvdJNf43w69R.jpg</t>
        </is>
      </c>
      <c r="C2136" s="2" t="str">
        <f>=HYPERLINK("https://xhslink.com/m/5ndf1kxocxr", "https://xhslink.com/m/5ndf1kxocxr")</f>
        <v>https://xhslink.com/m/5ndf1kxocxr</v>
      </c>
      <c r="D2136"/>
      <c r="E2136">
        <v>763</v>
      </c>
      <c r="F2136">
        <v>39.87</v>
      </c>
      <c r="G2136"/>
      <c r="H2136">
        <v>300</v>
      </c>
      <c r="I2136"/>
      <c r="J2136"/>
      <c r="K2136" t="inlineStr">
        <is>
          <t>中考资料</t>
        </is>
      </c>
      <c r="L2136"/>
      <c r="M2136" t="inlineStr">
        <is>
          <t>李老师 专注提分的店</t>
        </is>
      </c>
      <c r="N2136">
        <v>1275</v>
      </c>
      <c r="O2136">
        <v>4.15</v>
      </c>
      <c r="P2136">
        <v>2467</v>
      </c>
      <c r="Q2136" t="inlineStr">
        <is>
          <t>690f251d62d5c400010f063d</t>
        </is>
      </c>
      <c r="R2136"/>
      <c r="S2136" t="inlineStr">
        <is>
          <t>中小学教辅/教材</t>
        </is>
      </c>
      <c r="T2136" t="inlineStr">
        <is>
          <t>0.60</t>
        </is>
      </c>
      <c r="U2136" s="3">
        <v>46112.78107638889</v>
      </c>
      <c r="V2136"/>
      <c r="W2136" s="3">
        <v>46094</v>
      </c>
      <c r="X2136" t="inlineStr">
        <is>
          <t>03</t>
        </is>
      </c>
      <c r="Y2136" t="inlineStr">
        <is>
          <t>2026-Q1</t>
        </is>
      </c>
    </row>
    <row r="2137" ht="38.25" customHeight="1">
      <c r="A2137" t="inlineStr">
        <is>
          <t>初中物理八九年级全册每日打卡实验小纸条复习中考巩固电子版资料</t>
        </is>
      </c>
      <c r="B2137" t="inlineStr">
        <is>
          <t>recvdJNf43yIs7.jpg</t>
        </is>
      </c>
      <c r="C2137" s="2" t="str">
        <f>=HYPERLINK("https://xhslink.com/m/602SMqdezes", "https://xhslink.com/m/602SMqdezes")</f>
        <v>https://xhslink.com/m/602SMqdezes</v>
      </c>
      <c r="D2137"/>
      <c r="E2137">
        <v>643</v>
      </c>
      <c r="F2137">
        <v>9.9</v>
      </c>
      <c r="G2137"/>
      <c r="H2137">
        <v>250</v>
      </c>
      <c r="I2137"/>
      <c r="J2137"/>
      <c r="K2137" t="inlineStr">
        <is>
          <t>中考资料</t>
        </is>
      </c>
      <c r="L2137"/>
      <c r="M2137" t="inlineStr">
        <is>
          <t>朝阳老师优质资料的店</t>
        </is>
      </c>
      <c r="N2137">
        <v>736</v>
      </c>
      <c r="O2137">
        <v>4.48</v>
      </c>
      <c r="P2137">
        <v>2912</v>
      </c>
      <c r="Q2137" t="inlineStr">
        <is>
          <t>68f455ba3f37a90001a98bcc</t>
        </is>
      </c>
      <c r="R2137" t="inlineStr">
        <is>
          <t>🚫重复</t>
        </is>
      </c>
      <c r="S2137" t="inlineStr">
        <is>
          <t>中小学教辅/教材</t>
        </is>
      </c>
      <c r="T2137" t="inlineStr">
        <is>
          <t>0.87</t>
        </is>
      </c>
      <c r="U2137" s="3">
        <v>46112.78107638889</v>
      </c>
      <c r="V2137"/>
      <c r="W2137" s="3">
        <v>46094</v>
      </c>
      <c r="X2137" t="inlineStr">
        <is>
          <t>03</t>
        </is>
      </c>
      <c r="Y2137" t="inlineStr">
        <is>
          <t>2026-Q1</t>
        </is>
      </c>
    </row>
    <row r="2138" ht="38.25" customHeight="1">
      <c r="A2138" t="inlineStr">
        <is>
          <t>理想树 · 2026初中必刷题七八九年级下册初一初二初三同步教材练习教辅资料</t>
        </is>
      </c>
      <c r="B2138" t="inlineStr">
        <is>
          <t>recvdJNf43uUdk.jpg</t>
        </is>
      </c>
      <c r="C2138" s="2" t="str">
        <f>=HYPERLINK("https://xhslink.com/m/22HqkBfQNLt", "https://xhslink.com/m/22HqkBfQNLt")</f>
        <v>https://xhslink.com/m/22HqkBfQNLt</v>
      </c>
      <c r="D2138"/>
      <c r="E2138">
        <v>632</v>
      </c>
      <c r="F2138">
        <v>49.8</v>
      </c>
      <c r="G2138"/>
      <c r="H2138">
        <v>100</v>
      </c>
      <c r="I2138"/>
      <c r="J2138"/>
      <c r="K2138" t="inlineStr">
        <is>
          <t>中考资料</t>
        </is>
      </c>
      <c r="L2138"/>
      <c r="M2138" t="inlineStr">
        <is>
          <t>理想树必刷题旗舰店</t>
        </is>
      </c>
      <c r="N2138">
        <v>137000</v>
      </c>
      <c r="O2138">
        <v>4.4</v>
      </c>
      <c r="P2138">
        <v>7177</v>
      </c>
      <c r="Q2138" t="inlineStr">
        <is>
          <t>67932bad75ca3a0001417835</t>
        </is>
      </c>
      <c r="R2138" t="inlineStr">
        <is>
          <t>🚫重复</t>
        </is>
      </c>
      <c r="S2138" t="inlineStr">
        <is>
          <t>中小学教辅/教材</t>
        </is>
      </c>
      <c r="T2138" t="inlineStr">
        <is>
          <t>0.00</t>
        </is>
      </c>
      <c r="U2138" s="3">
        <v>46112.78107638889</v>
      </c>
      <c r="V2138"/>
      <c r="W2138" s="3">
        <v>46094</v>
      </c>
      <c r="X2138" t="inlineStr">
        <is>
          <t>03</t>
        </is>
      </c>
      <c r="Y2138" t="inlineStr">
        <is>
          <t>2026-Q1</t>
        </is>
      </c>
    </row>
    <row r="2139" ht="38.25" customHeight="1">
      <c r="A2139" t="inlineStr">
        <is>
          <t>夏夏生物默写小纸条、重点知识手册、过关卷、押题卷、人教电子版</t>
        </is>
      </c>
      <c r="B2139" t="inlineStr">
        <is>
          <t>recvdJNf43u24c.jpg</t>
        </is>
      </c>
      <c r="C2139" s="2" t="str">
        <f>=HYPERLINK("https://xhslink.com/m/4rec3FcZe6Z", "https://xhslink.com/m/4rec3FcZe6Z")</f>
        <v>https://xhslink.com/m/4rec3FcZe6Z</v>
      </c>
      <c r="D2139"/>
      <c r="E2139">
        <v>606</v>
      </c>
      <c r="F2139">
        <v>399</v>
      </c>
      <c r="G2139"/>
      <c r="H2139">
        <v>100</v>
      </c>
      <c r="I2139"/>
      <c r="J2139"/>
      <c r="K2139" t="inlineStr">
        <is>
          <t>中考资料</t>
        </is>
      </c>
      <c r="L2139"/>
      <c r="M2139" t="inlineStr">
        <is>
          <t>夏夏生物老师的店</t>
        </is>
      </c>
      <c r="N2139">
        <v>1063</v>
      </c>
      <c r="O2139">
        <v>4.2</v>
      </c>
      <c r="P2139">
        <v>1911</v>
      </c>
      <c r="Q2139" t="inlineStr">
        <is>
          <t>6915aca1c57d9c00018c263b</t>
        </is>
      </c>
      <c r="R2139" t="inlineStr">
        <is>
          <t>🚫重复</t>
        </is>
      </c>
      <c r="S2139" t="inlineStr">
        <is>
          <t>中小学教辅/教材</t>
        </is>
      </c>
      <c r="T2139" t="inlineStr">
        <is>
          <t>0.57</t>
        </is>
      </c>
      <c r="U2139" s="3">
        <v>46112.78107638889</v>
      </c>
      <c r="V2139"/>
      <c r="W2139" s="3">
        <v>46094</v>
      </c>
      <c r="X2139" t="inlineStr">
        <is>
          <t>03</t>
        </is>
      </c>
      <c r="Y2139" t="inlineStr">
        <is>
          <t>2026-Q1</t>
        </is>
      </c>
    </row>
    <row r="2140" ht="38.25" customHeight="1">
      <c r="A2140" t="inlineStr">
        <is>
          <t>2026初中数理化公式法二级结论秒解七八九年级上下册高频考法解析</t>
        </is>
      </c>
      <c r="B2140" t="inlineStr">
        <is>
          <t>recvdJNf43k2AC.jpg</t>
        </is>
      </c>
      <c r="C2140" s="2" t="str">
        <f>=HYPERLINK("https://xhslink.com/m/4p0pq1OrL0p", "https://xhslink.com/m/4p0pq1OrL0p")</f>
        <v>https://xhslink.com/m/4p0pq1OrL0p</v>
      </c>
      <c r="D2140"/>
      <c r="E2140">
        <v>597</v>
      </c>
      <c r="F2140">
        <v>94.8</v>
      </c>
      <c r="G2140"/>
      <c r="H2140">
        <v>150</v>
      </c>
      <c r="I2140"/>
      <c r="J2140"/>
      <c r="K2140" t="inlineStr">
        <is>
          <t>中考资料</t>
        </is>
      </c>
      <c r="L2140"/>
      <c r="M2140" t="inlineStr">
        <is>
          <t>厚积薄发书屋的店</t>
        </is>
      </c>
      <c r="N2140">
        <v>298</v>
      </c>
      <c r="O2140">
        <v>4.27</v>
      </c>
      <c r="P2140">
        <v>2521</v>
      </c>
      <c r="Q2140" t="inlineStr">
        <is>
          <t>691c11fd6e4b71000137eaa9</t>
        </is>
      </c>
      <c r="R2140" t="inlineStr">
        <is>
          <t>🚫重复</t>
        </is>
      </c>
      <c r="S2140" t="inlineStr">
        <is>
          <t>中小学教辅/教材</t>
        </is>
      </c>
      <c r="T2140" t="inlineStr">
        <is>
          <t>2.00</t>
        </is>
      </c>
      <c r="U2140" s="3">
        <v>46112.78107638889</v>
      </c>
      <c r="V2140"/>
      <c r="W2140" s="3">
        <v>46094</v>
      </c>
      <c r="X2140" t="inlineStr">
        <is>
          <t>03</t>
        </is>
      </c>
      <c r="Y2140" t="inlineStr">
        <is>
          <t>2026-Q1</t>
        </is>
      </c>
    </row>
    <row r="2141" ht="38.25" customHeight="1">
      <c r="A2141" t="inlineStr">
        <is>
          <t>2026年人民日报中考作文宝藏素材 时事热点考点素材中考作文押题</t>
        </is>
      </c>
      <c r="B2141" t="inlineStr">
        <is>
          <t>recvdJNf43CmQ8.jpg</t>
        </is>
      </c>
      <c r="C2141" s="2" t="str">
        <f>=HYPERLINK("https://xhslink.com/m/2ihZLYjPF5k", "https://xhslink.com/m/2ihZLYjPF5k")</f>
        <v>https://xhslink.com/m/2ihZLYjPF5k</v>
      </c>
      <c r="D2141"/>
      <c r="E2141">
        <v>534</v>
      </c>
      <c r="F2141">
        <v>98</v>
      </c>
      <c r="G2141"/>
      <c r="H2141">
        <v>450</v>
      </c>
      <c r="I2141"/>
      <c r="J2141"/>
      <c r="K2141" t="inlineStr">
        <is>
          <t>中考资料</t>
        </is>
      </c>
      <c r="L2141"/>
      <c r="M2141" t="inlineStr">
        <is>
          <t>云翀图书的店</t>
        </is>
      </c>
      <c r="N2141">
        <v>778</v>
      </c>
      <c r="O2141">
        <v>4.18</v>
      </c>
      <c r="P2141">
        <v>1374</v>
      </c>
      <c r="Q2141" t="inlineStr">
        <is>
          <t>69451fc8110a7f00012ac64e</t>
        </is>
      </c>
      <c r="R2141"/>
      <c r="S2141" t="inlineStr">
        <is>
          <t>中小学教辅/教材</t>
        </is>
      </c>
      <c r="T2141" t="inlineStr">
        <is>
          <t>0.69</t>
        </is>
      </c>
      <c r="U2141" s="3">
        <v>46112.78107638889</v>
      </c>
      <c r="V2141"/>
      <c r="W2141" s="3">
        <v>46094</v>
      </c>
      <c r="X2141" t="inlineStr">
        <is>
          <t>03</t>
        </is>
      </c>
      <c r="Y2141" t="inlineStr">
        <is>
          <t>2026-Q1</t>
        </is>
      </c>
    </row>
    <row r="2142" ht="38.25" customHeight="1">
      <c r="A2142" t="inlineStr">
        <is>
          <t>武汉各区初中月考期中期末真题卷合集｜资料会员群（持续更新中）</t>
        </is>
      </c>
      <c r="B2142" t="inlineStr">
        <is>
          <t>recvdJNf43nXTO.jpg</t>
        </is>
      </c>
      <c r="C2142" s="2" t="str">
        <f>=HYPERLINK("https://xhslink.com/m/1tEPhnHRe5o", "https://xhslink.com/m/1tEPhnHRe5o")</f>
        <v>https://xhslink.com/m/1tEPhnHRe5o</v>
      </c>
      <c r="D2142"/>
      <c r="E2142">
        <v>510</v>
      </c>
      <c r="F2142">
        <v>169.99</v>
      </c>
      <c r="G2142"/>
      <c r="H2142">
        <v>100</v>
      </c>
      <c r="I2142"/>
      <c r="J2142"/>
      <c r="K2142" t="inlineStr">
        <is>
          <t>中考资料</t>
        </is>
      </c>
      <c r="L2142"/>
      <c r="M2142" t="inlineStr">
        <is>
          <t>奶爸说数学的店</t>
        </is>
      </c>
      <c r="N2142">
        <v>1203</v>
      </c>
      <c r="O2142">
        <v>4.15</v>
      </c>
      <c r="P2142">
        <v>2182</v>
      </c>
      <c r="Q2142" t="inlineStr">
        <is>
          <t>6896fa88e08d4d000133bd34</t>
        </is>
      </c>
      <c r="R2142" t="inlineStr">
        <is>
          <t>🚫重复</t>
        </is>
      </c>
      <c r="S2142" t="inlineStr">
        <is>
          <t>中小学教辅/教材</t>
        </is>
      </c>
      <c r="T2142" t="inlineStr">
        <is>
          <t>0.42</t>
        </is>
      </c>
      <c r="U2142" s="3">
        <v>46112.78107638889</v>
      </c>
      <c r="V2142"/>
      <c r="W2142" s="3">
        <v>46094</v>
      </c>
      <c r="X2142" t="inlineStr">
        <is>
          <t>03</t>
        </is>
      </c>
      <c r="Y2142" t="inlineStr">
        <is>
          <t>2026-Q1</t>
        </is>
      </c>
    </row>
    <row r="2143" ht="38.25" customHeight="1">
      <c r="A2143" t="inlineStr">
        <is>
          <t>2026中考一轮二轮总复习语文数学英语物理化学初三课件知识点试题</t>
        </is>
      </c>
      <c r="B2143" t="inlineStr">
        <is>
          <t>recvdJNf437ZLb.jpg</t>
        </is>
      </c>
      <c r="C2143" s="2" t="str">
        <f>=HYPERLINK("https://xhslink.com/m/1kouA9ATHN5", "https://xhslink.com/m/1kouA9ATHN5")</f>
        <v>https://xhslink.com/m/1kouA9ATHN5</v>
      </c>
      <c r="D2143"/>
      <c r="E2143">
        <v>506</v>
      </c>
      <c r="F2143">
        <v>7.8</v>
      </c>
      <c r="G2143"/>
      <c r="H2143">
        <v>200</v>
      </c>
      <c r="I2143"/>
      <c r="J2143"/>
      <c r="K2143" t="inlineStr">
        <is>
          <t>中考资料</t>
        </is>
      </c>
      <c r="L2143"/>
      <c r="M2143" t="inlineStr">
        <is>
          <t>全优启航资料库的店</t>
        </is>
      </c>
      <c r="N2143">
        <v>2487</v>
      </c>
      <c r="O2143">
        <v>4.34</v>
      </c>
      <c r="P2143">
        <v>13000</v>
      </c>
      <c r="Q2143" t="inlineStr">
        <is>
          <t>6731d99d5e2f18000170dc90</t>
        </is>
      </c>
      <c r="R2143"/>
      <c r="S2143" t="inlineStr">
        <is>
          <t>中小学教辅/教材</t>
        </is>
      </c>
      <c r="T2143" t="inlineStr">
        <is>
          <t>0.20</t>
        </is>
      </c>
      <c r="U2143" s="3">
        <v>46112.78107638889</v>
      </c>
      <c r="V2143"/>
      <c r="W2143" s="3">
        <v>46094</v>
      </c>
      <c r="X2143" t="inlineStr">
        <is>
          <t>03</t>
        </is>
      </c>
      <c r="Y2143" t="inlineStr">
        <is>
          <t>2026-Q1</t>
        </is>
      </c>
    </row>
    <row r="2144" ht="38.25" customHeight="1">
      <c r="A2144" t="inlineStr">
        <is>
          <t>2026版上海中考一模 领先一步 语文数学英语物理化学历史道法</t>
        </is>
      </c>
      <c r="B2144" t="inlineStr">
        <is>
          <t>recvdJNf43aMG8.jpg</t>
        </is>
      </c>
      <c r="C2144" s="2" t="str">
        <f>=HYPERLINK("https://xhslink.com/m/5RD4SNDArzO", "https://xhslink.com/m/5RD4SNDArzO")</f>
        <v>https://xhslink.com/m/5RD4SNDArzO</v>
      </c>
      <c r="D2144"/>
      <c r="E2144">
        <v>451</v>
      </c>
      <c r="F2144">
        <v>136</v>
      </c>
      <c r="G2144"/>
      <c r="H2144">
        <v>350</v>
      </c>
      <c r="I2144"/>
      <c r="J2144"/>
      <c r="K2144" t="inlineStr">
        <is>
          <t>中考资料</t>
        </is>
      </c>
      <c r="L2144"/>
      <c r="M2144" t="inlineStr">
        <is>
          <t>萌萌芽图书的店</t>
        </is>
      </c>
      <c r="N2144">
        <v>346</v>
      </c>
      <c r="O2144">
        <v>4.75</v>
      </c>
      <c r="P2144">
        <v>2818</v>
      </c>
      <c r="Q2144" t="inlineStr">
        <is>
          <t>6976173a1cd3a6000133da9c</t>
        </is>
      </c>
      <c r="R2144"/>
      <c r="S2144" t="inlineStr">
        <is>
          <t>中小学教辅/教材</t>
        </is>
      </c>
      <c r="T2144" t="inlineStr">
        <is>
          <t>1.30</t>
        </is>
      </c>
      <c r="U2144" s="3">
        <v>46112.78107638889</v>
      </c>
      <c r="V2144"/>
      <c r="W2144" s="3">
        <v>46094</v>
      </c>
      <c r="X2144" t="inlineStr">
        <is>
          <t>03</t>
        </is>
      </c>
      <c r="Y2144" t="inlineStr">
        <is>
          <t>2026-Q1</t>
        </is>
      </c>
    </row>
    <row r="2145" ht="38.25" customHeight="1">
      <c r="A2145" t="inlineStr">
        <is>
          <t>新版 中考压轴精选必刷真题500道(精讲视频+督学营)</t>
        </is>
      </c>
      <c r="B2145" t="inlineStr">
        <is>
          <t>recvdJNf43N4ra.jpg</t>
        </is>
      </c>
      <c r="C2145" s="2" t="str">
        <f>=HYPERLINK("https://xhslink.com/m/AaHDY9NqXsy", "https://xhslink.com/m/AaHDY9NqXsy")</f>
        <v>https://xhslink.com/m/AaHDY9NqXsy</v>
      </c>
      <c r="D2145"/>
      <c r="E2145">
        <v>430</v>
      </c>
      <c r="F2145">
        <v>129</v>
      </c>
      <c r="G2145"/>
      <c r="H2145">
        <v>100</v>
      </c>
      <c r="I2145"/>
      <c r="J2145"/>
      <c r="K2145" t="inlineStr">
        <is>
          <t>中考资料</t>
        </is>
      </c>
      <c r="L2145"/>
      <c r="M2145" t="inlineStr">
        <is>
          <t>初中数学杨老师的店</t>
        </is>
      </c>
      <c r="N2145">
        <v>7509</v>
      </c>
      <c r="O2145">
        <v>4.41</v>
      </c>
      <c r="P2145">
        <v>2242</v>
      </c>
      <c r="Q2145" t="inlineStr">
        <is>
          <t>6809e8d6371b330001741ef4</t>
        </is>
      </c>
      <c r="R2145" t="inlineStr">
        <is>
          <t>🚫重复</t>
        </is>
      </c>
      <c r="S2145" t="inlineStr">
        <is>
          <t>中小学教辅/教材</t>
        </is>
      </c>
      <c r="T2145" t="inlineStr">
        <is>
          <t>0.06</t>
        </is>
      </c>
      <c r="U2145" s="3">
        <v>46112.78107638889</v>
      </c>
      <c r="V2145"/>
      <c r="W2145" s="3">
        <v>46094</v>
      </c>
      <c r="X2145" t="inlineStr">
        <is>
          <t>03</t>
        </is>
      </c>
      <c r="Y2145" t="inlineStr">
        <is>
          <t>2026-Q1</t>
        </is>
      </c>
    </row>
    <row r="2146" ht="38.25" customHeight="1">
      <c r="A2146" t="inlineStr">
        <is>
          <t>初中语文中考语文复习语文阅读理解训练每日一练+答题技巧模版</t>
        </is>
      </c>
      <c r="B2146" t="inlineStr">
        <is>
          <t>recvdJNf43W3o1.jpg</t>
        </is>
      </c>
      <c r="C2146" s="2" t="str">
        <f>=HYPERLINK("https://xhslink.com/m/9k3NQEceoJA", "https://xhslink.com/m/9k3NQEceoJA")</f>
        <v>https://xhslink.com/m/9k3NQEceoJA</v>
      </c>
      <c r="D2146"/>
      <c r="E2146">
        <v>259</v>
      </c>
      <c r="F2146">
        <v>6.9</v>
      </c>
      <c r="G2146"/>
      <c r="H2146">
        <v>150</v>
      </c>
      <c r="I2146"/>
      <c r="J2146"/>
      <c r="K2146" t="inlineStr">
        <is>
          <t>中考资料</t>
        </is>
      </c>
      <c r="L2146"/>
      <c r="M2146" t="inlineStr">
        <is>
          <t>晓颖老师资料库的店</t>
        </is>
      </c>
      <c r="N2146">
        <v>361</v>
      </c>
      <c r="O2146">
        <v>4.21</v>
      </c>
      <c r="P2146">
        <v>1405</v>
      </c>
      <c r="Q2146" t="inlineStr">
        <is>
          <t>69100a0e427261000131fc12</t>
        </is>
      </c>
      <c r="R2146"/>
      <c r="S2146" t="inlineStr">
        <is>
          <t>中小学教辅/教材</t>
        </is>
      </c>
      <c r="T2146" t="inlineStr">
        <is>
          <t>0.72</t>
        </is>
      </c>
      <c r="U2146" s="3">
        <v>46112.78107638889</v>
      </c>
      <c r="V2146"/>
      <c r="W2146" s="3">
        <v>46094</v>
      </c>
      <c r="X2146" t="inlineStr">
        <is>
          <t>03</t>
        </is>
      </c>
      <c r="Y2146" t="inlineStr">
        <is>
          <t>2026-Q1</t>
        </is>
      </c>
    </row>
    <row r="2147" ht="38.25" customHeight="1">
      <c r="A2147" t="inlineStr">
        <is>
          <t>华理社 · 【现货】初中+高中英语时文阅读提分训练3+X 小升初 789年级 中考</t>
        </is>
      </c>
      <c r="B2147" t="inlineStr">
        <is>
          <t>recvdJNf43kpkQ.jpg</t>
        </is>
      </c>
      <c r="C2147" s="2" t="str">
        <f>=HYPERLINK("https://xhslink.com/m/7iPPslxycy6", "https://xhslink.com/m/7iPPslxycy6")</f>
        <v>https://xhslink.com/m/7iPPslxycy6</v>
      </c>
      <c r="D2147"/>
      <c r="E2147">
        <v>7211</v>
      </c>
      <c r="F2147">
        <v>46.8</v>
      </c>
      <c r="G2147"/>
      <c r="H2147">
        <v>300</v>
      </c>
      <c r="I2147">
        <v>1000</v>
      </c>
      <c r="J2147"/>
      <c r="K2147" t="inlineStr">
        <is>
          <t>小升初</t>
        </is>
      </c>
      <c r="L2147"/>
      <c r="M2147" t="inlineStr">
        <is>
          <t>华理社旗舰店</t>
        </is>
      </c>
      <c r="N2147">
        <v>15000</v>
      </c>
      <c r="O2147">
        <v>4.9</v>
      </c>
      <c r="P2147">
        <v>47000</v>
      </c>
      <c r="Q2147" t="inlineStr">
        <is>
          <t>6912ea3d571d6600016056cd</t>
        </is>
      </c>
      <c r="R2147" t="inlineStr">
        <is>
          <t>🚫重复</t>
        </is>
      </c>
      <c r="S2147" t="inlineStr">
        <is>
          <t>中小学教辅/教材</t>
        </is>
      </c>
      <c r="T2147" t="inlineStr">
        <is>
          <t>0.48</t>
        </is>
      </c>
      <c r="U2147" s="3">
        <v>46112.78107638889</v>
      </c>
      <c r="V2147"/>
      <c r="W2147" s="3">
        <v>46094</v>
      </c>
      <c r="X2147" t="inlineStr">
        <is>
          <t>03</t>
        </is>
      </c>
      <c r="Y2147" t="inlineStr">
        <is>
          <t>2026-Q1</t>
        </is>
      </c>
    </row>
    <row r="2148" ht="38.25" customHeight="1">
      <c r="A2148" t="inlineStr">
        <is>
          <t>【原创小升初语文复习课件+配套练习】专项复习更高效！</t>
        </is>
      </c>
      <c r="B2148" t="inlineStr">
        <is>
          <t>recvdJNf43pVXa.jpg</t>
        </is>
      </c>
      <c r="C2148" s="2" t="str">
        <f>=HYPERLINK("https://xhslink.com/m/27eoSpwQvDX", "https://xhslink.com/m/27eoSpwQvDX")</f>
        <v>https://xhslink.com/m/27eoSpwQvDX</v>
      </c>
      <c r="D2148"/>
      <c r="E2148">
        <v>1983</v>
      </c>
      <c r="F2148">
        <v>49.9</v>
      </c>
      <c r="G2148"/>
      <c r="H2148">
        <v>100</v>
      </c>
      <c r="I2148">
        <v>1000</v>
      </c>
      <c r="J2148"/>
      <c r="K2148" t="inlineStr">
        <is>
          <t>小升初</t>
        </is>
      </c>
      <c r="L2148"/>
      <c r="M2148" t="inlineStr">
        <is>
          <t>五月的星的店</t>
        </is>
      </c>
      <c r="N2148">
        <v>12000</v>
      </c>
      <c r="O2148">
        <v>4.06</v>
      </c>
      <c r="P2148">
        <v>26000</v>
      </c>
      <c r="Q2148" t="inlineStr">
        <is>
          <t>683f1b6e9e365d00018f9a45</t>
        </is>
      </c>
      <c r="R2148" t="inlineStr">
        <is>
          <t>🚫重复</t>
        </is>
      </c>
      <c r="S2148" t="inlineStr">
        <is>
          <t>中小学教辅/教材</t>
        </is>
      </c>
      <c r="T2148" t="inlineStr">
        <is>
          <t>0.17</t>
        </is>
      </c>
      <c r="U2148" s="3">
        <v>46112.78107638889</v>
      </c>
      <c r="V2148"/>
      <c r="W2148" s="3">
        <v>46094</v>
      </c>
      <c r="X2148" t="inlineStr">
        <is>
          <t>03</t>
        </is>
      </c>
      <c r="Y2148" t="inlineStr">
        <is>
          <t>2026-Q1</t>
        </is>
      </c>
    </row>
    <row r="2149" ht="38.25" customHeight="1">
      <c r="A2149" t="inlineStr">
        <is>
          <t>小升初语文总复习电子版，含多套专题讲义与练习/真题与模拟/课件</t>
        </is>
      </c>
      <c r="B2149" t="inlineStr">
        <is>
          <t>recvdJNf43ysMw.jpg</t>
        </is>
      </c>
      <c r="C2149" s="2" t="str">
        <f>=HYPERLINK("https://xhslink.com/m/5uWw15lLH1S", "https://xhslink.com/m/5uWw15lLH1S")</f>
        <v>https://xhslink.com/m/5uWw15lLH1S</v>
      </c>
      <c r="D2149"/>
      <c r="E2149">
        <v>1876</v>
      </c>
      <c r="F2149">
        <v>9.8</v>
      </c>
      <c r="G2149"/>
      <c r="H2149">
        <v>100</v>
      </c>
      <c r="I2149">
        <v>1000</v>
      </c>
      <c r="J2149"/>
      <c r="K2149" t="inlineStr">
        <is>
          <t>小升初</t>
        </is>
      </c>
      <c r="L2149"/>
      <c r="M2149" t="inlineStr">
        <is>
          <t>教语文的常老师的店</t>
        </is>
      </c>
      <c r="N2149">
        <v>14000</v>
      </c>
      <c r="O2149">
        <v>4.54</v>
      </c>
      <c r="P2149">
        <v>33000</v>
      </c>
      <c r="Q2149" t="inlineStr">
        <is>
          <t>66aa4cfcdf616100015f94dc</t>
        </is>
      </c>
      <c r="R2149" t="inlineStr">
        <is>
          <t>🚫重复</t>
        </is>
      </c>
      <c r="S2149" t="inlineStr">
        <is>
          <t>中小学教辅/教材</t>
        </is>
      </c>
      <c r="T2149" t="inlineStr">
        <is>
          <t>0.13</t>
        </is>
      </c>
      <c r="U2149" s="3">
        <v>46112.78107638889</v>
      </c>
      <c r="V2149"/>
      <c r="W2149" s="3">
        <v>46094</v>
      </c>
      <c r="X2149" t="inlineStr">
        <is>
          <t>03</t>
        </is>
      </c>
      <c r="Y2149" t="inlineStr">
        <is>
          <t>2026-Q1</t>
        </is>
      </c>
    </row>
    <row r="2150" ht="38.25" customHeight="1">
      <c r="A2150" t="inlineStr">
        <is>
          <t>笔记同款 | 小升初常考考点+练习题</t>
        </is>
      </c>
      <c r="B2150" t="inlineStr">
        <is>
          <t>recvdJNf43CZDz.jpg</t>
        </is>
      </c>
      <c r="C2150" s="2" t="str">
        <f>=HYPERLINK("https://xhslink.com/m/82laU7V8G3u", "https://xhslink.com/m/82laU7V8G3u")</f>
        <v>https://xhslink.com/m/82laU7V8G3u</v>
      </c>
      <c r="D2150"/>
      <c r="E2150">
        <v>1235</v>
      </c>
      <c r="F2150">
        <v>1.9</v>
      </c>
      <c r="G2150"/>
      <c r="H2150">
        <v>100</v>
      </c>
      <c r="I2150">
        <v>1000</v>
      </c>
      <c r="J2150"/>
      <c r="K2150" t="inlineStr">
        <is>
          <t>小升初</t>
        </is>
      </c>
      <c r="L2150"/>
      <c r="M2150" t="inlineStr">
        <is>
          <t>小初伴学的店</t>
        </is>
      </c>
      <c r="N2150">
        <v>2452</v>
      </c>
      <c r="O2150">
        <v>4.19</v>
      </c>
      <c r="P2150">
        <v>3259</v>
      </c>
      <c r="Q2150" t="inlineStr">
        <is>
          <t>6831d53b6fdc8e0001042b2d</t>
        </is>
      </c>
      <c r="R2150"/>
      <c r="S2150" t="inlineStr">
        <is>
          <t>中小学教辅/教材</t>
        </is>
      </c>
      <c r="T2150" t="inlineStr">
        <is>
          <t>0.50</t>
        </is>
      </c>
      <c r="U2150" s="3">
        <v>46112.78107638889</v>
      </c>
      <c r="V2150"/>
      <c r="W2150" s="3">
        <v>46094</v>
      </c>
      <c r="X2150" t="inlineStr">
        <is>
          <t>03</t>
        </is>
      </c>
      <c r="Y2150" t="inlineStr">
        <is>
          <t>2026-Q1</t>
        </is>
      </c>
    </row>
    <row r="2151" ht="38.25" customHeight="1">
      <c r="A2151" t="inlineStr">
        <is>
          <t>小升初阅读专项训练</t>
        </is>
      </c>
      <c r="B2151" t="inlineStr">
        <is>
          <t>recvdJNf437MyA.jpg</t>
        </is>
      </c>
      <c r="C2151" s="2" t="str">
        <f>=HYPERLINK("https://xhslink.com/m/AuFB0M29XB1", "https://xhslink.com/m/AuFB0M29XB1")</f>
        <v>https://xhslink.com/m/AuFB0M29XB1</v>
      </c>
      <c r="D2151"/>
      <c r="E2151">
        <v>1039</v>
      </c>
      <c r="F2151">
        <v>45.99</v>
      </c>
      <c r="G2151"/>
      <c r="H2151">
        <v>100</v>
      </c>
      <c r="I2151">
        <v>1000</v>
      </c>
      <c r="J2151"/>
      <c r="K2151" t="inlineStr">
        <is>
          <t>小升初</t>
        </is>
      </c>
      <c r="L2151"/>
      <c r="M2151" t="inlineStr">
        <is>
          <t>茄子老师💖的店</t>
        </is>
      </c>
      <c r="N2151">
        <v>8136</v>
      </c>
      <c r="O2151">
        <v>4.49</v>
      </c>
      <c r="P2151">
        <v>11000</v>
      </c>
      <c r="Q2151" t="inlineStr">
        <is>
          <t>67d93a5a5102a40001170ed4</t>
        </is>
      </c>
      <c r="R2151"/>
      <c r="S2151" t="inlineStr">
        <is>
          <t>中小学教辅/教材</t>
        </is>
      </c>
      <c r="T2151" t="inlineStr">
        <is>
          <t>0.13</t>
        </is>
      </c>
      <c r="U2151" s="3">
        <v>46112.78107638889</v>
      </c>
      <c r="V2151"/>
      <c r="W2151" s="3">
        <v>46094</v>
      </c>
      <c r="X2151" t="inlineStr">
        <is>
          <t>03</t>
        </is>
      </c>
      <c r="Y2151" t="inlineStr">
        <is>
          <t>2026-Q1</t>
        </is>
      </c>
    </row>
    <row r="2152" ht="38.25" customHeight="1">
      <c r="A2152" t="inlineStr">
        <is>
          <t>小升初 作文训练 每日10分钟仿写</t>
        </is>
      </c>
      <c r="B2152" t="inlineStr">
        <is>
          <t>recvdJNf435KNA.jpg</t>
        </is>
      </c>
      <c r="C2152" s="2" t="str">
        <f>=HYPERLINK("https://xhslink.com/m/25uGxxSmxqS", "https://xhslink.com/m/25uGxxSmxqS")</f>
        <v>https://xhslink.com/m/25uGxxSmxqS</v>
      </c>
      <c r="D2152"/>
      <c r="E2152">
        <v>983</v>
      </c>
      <c r="F2152">
        <v>56.8</v>
      </c>
      <c r="G2152"/>
      <c r="H2152">
        <v>150</v>
      </c>
      <c r="I2152"/>
      <c r="J2152"/>
      <c r="K2152" t="inlineStr">
        <is>
          <t>小升初</t>
        </is>
      </c>
      <c r="L2152"/>
      <c r="M2152" t="inlineStr">
        <is>
          <t>小丁老师备课中的店</t>
        </is>
      </c>
      <c r="N2152">
        <v>1492</v>
      </c>
      <c r="O2152">
        <v>4.18</v>
      </c>
      <c r="P2152">
        <v>3123</v>
      </c>
      <c r="Q2152" t="inlineStr">
        <is>
          <t>685a66ca2835930001e18c46</t>
        </is>
      </c>
      <c r="R2152" t="inlineStr">
        <is>
          <t>🚫重复</t>
        </is>
      </c>
      <c r="S2152" t="inlineStr">
        <is>
          <t>中小学教辅/教材</t>
        </is>
      </c>
      <c r="T2152" t="inlineStr">
        <is>
          <t>0.66</t>
        </is>
      </c>
      <c r="U2152" s="3">
        <v>46112.78107638889</v>
      </c>
      <c r="V2152"/>
      <c r="W2152" s="3">
        <v>46094</v>
      </c>
      <c r="X2152" t="inlineStr">
        <is>
          <t>03</t>
        </is>
      </c>
      <c r="Y2152" t="inlineStr">
        <is>
          <t>2026-Q1</t>
        </is>
      </c>
    </row>
    <row r="2153" ht="38.25" customHeight="1">
      <c r="A2153" t="inlineStr">
        <is>
          <t>25年小学数学1-6年级知识点 Ι PDF电子版可打印网盘发货</t>
        </is>
      </c>
      <c r="B2153" t="inlineStr">
        <is>
          <t>recvdJNf43KKQx.jpg</t>
        </is>
      </c>
      <c r="C2153" s="2" t="str">
        <f>=HYPERLINK("https://xhslink.com/m/5yMIoiDcXbw", "https://xhslink.com/m/5yMIoiDcXbw")</f>
        <v>https://xhslink.com/m/5yMIoiDcXbw</v>
      </c>
      <c r="D2153"/>
      <c r="E2153">
        <v>761</v>
      </c>
      <c r="F2153">
        <v>3</v>
      </c>
      <c r="G2153"/>
      <c r="H2153">
        <v>100</v>
      </c>
      <c r="I2153"/>
      <c r="J2153"/>
      <c r="K2153" t="inlineStr">
        <is>
          <t>小升初</t>
        </is>
      </c>
      <c r="L2153" t="inlineStr">
        <is>
          <t>🔥低粉爆款</t>
        </is>
      </c>
      <c r="M2153" t="inlineStr">
        <is>
          <t>Ethereal✨的店</t>
        </is>
      </c>
      <c r="N2153">
        <v>73</v>
      </c>
      <c r="O2153">
        <v>4.06</v>
      </c>
      <c r="P2153">
        <v>820</v>
      </c>
      <c r="Q2153" t="inlineStr">
        <is>
          <t>690f09a1ab6540000156ad5b</t>
        </is>
      </c>
      <c r="R2153"/>
      <c r="S2153" t="inlineStr">
        <is>
          <t>中小学教辅/教材</t>
        </is>
      </c>
      <c r="T2153" t="inlineStr">
        <is>
          <t>10.42</t>
        </is>
      </c>
      <c r="U2153" s="3">
        <v>46112.78107638889</v>
      </c>
      <c r="V2153"/>
      <c r="W2153" s="3">
        <v>46094</v>
      </c>
      <c r="X2153" t="inlineStr">
        <is>
          <t>03</t>
        </is>
      </c>
      <c r="Y2153" t="inlineStr">
        <is>
          <t>2026-Q1</t>
        </is>
      </c>
    </row>
    <row r="2154" ht="38.25" customHeight="1">
      <c r="A2154" t="inlineStr">
        <is>
          <t>小升初英语阅读理解真题每日一练共40篇（附答案拆解）</t>
        </is>
      </c>
      <c r="B2154" t="inlineStr">
        <is>
          <t>recvdJNf43NnfE.jpg</t>
        </is>
      </c>
      <c r="C2154" s="2" t="str">
        <f>=HYPERLINK("https://xhslink.com/m/pqLEcM1zx1", "https://xhslink.com/m/pqLEcM1zx1")</f>
        <v>https://xhslink.com/m/pqLEcM1zx1</v>
      </c>
      <c r="D2154"/>
      <c r="E2154">
        <v>463</v>
      </c>
      <c r="F2154">
        <v>5.08</v>
      </c>
      <c r="G2154"/>
      <c r="H2154">
        <v>100</v>
      </c>
      <c r="I2154"/>
      <c r="J2154"/>
      <c r="K2154" t="inlineStr">
        <is>
          <t>小升初</t>
        </is>
      </c>
      <c r="L2154"/>
      <c r="M2154" t="inlineStr">
        <is>
          <t>小康老师的资料库的店</t>
        </is>
      </c>
      <c r="N2154">
        <v>2945</v>
      </c>
      <c r="O2154">
        <v>4.44</v>
      </c>
      <c r="P2154">
        <v>9255</v>
      </c>
      <c r="Q2154" t="inlineStr">
        <is>
          <t>6857835f9028340001a9ee52</t>
        </is>
      </c>
      <c r="R2154"/>
      <c r="S2154" t="inlineStr">
        <is>
          <t>中小学教辅/教材</t>
        </is>
      </c>
      <c r="T2154" t="inlineStr">
        <is>
          <t>0.16</t>
        </is>
      </c>
      <c r="U2154" s="3">
        <v>46112.78107638889</v>
      </c>
      <c r="V2154"/>
      <c r="W2154" s="3">
        <v>46094</v>
      </c>
      <c r="X2154" t="inlineStr">
        <is>
          <t>03</t>
        </is>
      </c>
      <c r="Y2154" t="inlineStr">
        <is>
          <t>2026-Q1</t>
        </is>
      </c>
    </row>
    <row r="2155" ht="38.25" customHeight="1">
      <c r="A2155" t="inlineStr">
        <is>
          <t>小升初英语词性语法专项练习</t>
        </is>
      </c>
      <c r="B2155" t="inlineStr">
        <is>
          <t>recvdJNf43Hm95.jpg</t>
        </is>
      </c>
      <c r="C2155" s="2" t="str">
        <f>=HYPERLINK("https://xhslink.com/m/72zHIwMNbeP", "https://xhslink.com/m/72zHIwMNbeP")</f>
        <v>https://xhslink.com/m/72zHIwMNbeP</v>
      </c>
      <c r="D2155"/>
      <c r="E2155">
        <v>444</v>
      </c>
      <c r="F2155">
        <v>3.99</v>
      </c>
      <c r="G2155"/>
      <c r="H2155">
        <v>350</v>
      </c>
      <c r="I2155"/>
      <c r="J2155"/>
      <c r="K2155" t="inlineStr">
        <is>
          <t>小升初</t>
        </is>
      </c>
      <c r="L2155"/>
      <c r="M2155" t="inlineStr">
        <is>
          <t>王老师的资料小店的店</t>
        </is>
      </c>
      <c r="N2155">
        <v>473</v>
      </c>
      <c r="O2155">
        <v>3.89</v>
      </c>
      <c r="P2155">
        <v>4822</v>
      </c>
      <c r="Q2155" t="inlineStr">
        <is>
          <t>68ca240024f1f8000133b3fc</t>
        </is>
      </c>
      <c r="R2155"/>
      <c r="S2155" t="inlineStr">
        <is>
          <t>中小学教辅/教材</t>
        </is>
      </c>
      <c r="T2155" t="inlineStr">
        <is>
          <t>0.94</t>
        </is>
      </c>
      <c r="U2155" s="3">
        <v>46112.78107638889</v>
      </c>
      <c r="V2155"/>
      <c r="W2155" s="3">
        <v>46094</v>
      </c>
      <c r="X2155" t="inlineStr">
        <is>
          <t>03</t>
        </is>
      </c>
      <c r="Y2155" t="inlineStr">
        <is>
          <t>2026-Q1</t>
        </is>
      </c>
    </row>
    <row r="2156" ht="38.25" customHeight="1">
      <c r="A2156" t="inlineStr">
        <is>
          <t>2025小升初语文专题总复习（超1000页）基础+记叙文+阅读+作文</t>
        </is>
      </c>
      <c r="B2156" t="inlineStr">
        <is>
          <t>recvdJNf431oaQ.jpg</t>
        </is>
      </c>
      <c r="C2156" s="2" t="str">
        <f>=HYPERLINK("https://xhslink.com/m/1ULoAxe6jA1", "https://xhslink.com/m/1ULoAxe6jA1")</f>
        <v>https://xhslink.com/m/1ULoAxe6jA1</v>
      </c>
      <c r="D2156"/>
      <c r="E2156">
        <v>435</v>
      </c>
      <c r="F2156">
        <v>4.9</v>
      </c>
      <c r="G2156"/>
      <c r="H2156">
        <v>100</v>
      </c>
      <c r="I2156"/>
      <c r="J2156"/>
      <c r="K2156" t="inlineStr">
        <is>
          <t>小升初</t>
        </is>
      </c>
      <c r="L2156"/>
      <c r="M2156" t="inlineStr">
        <is>
          <t>羊羊老师资料库的店</t>
        </is>
      </c>
      <c r="N2156">
        <v>13000</v>
      </c>
      <c r="O2156">
        <v>4.6</v>
      </c>
      <c r="P2156">
        <v>9492</v>
      </c>
      <c r="Q2156" t="inlineStr">
        <is>
          <t>67ff197ca7524b0001d54486</t>
        </is>
      </c>
      <c r="R2156" t="inlineStr">
        <is>
          <t>🚫重复</t>
        </is>
      </c>
      <c r="S2156" t="inlineStr">
        <is>
          <t>中小学教辅/教材</t>
        </is>
      </c>
      <c r="T2156" t="inlineStr">
        <is>
          <t>0.03</t>
        </is>
      </c>
      <c r="U2156" s="3">
        <v>46112.78107638889</v>
      </c>
      <c r="V2156"/>
      <c r="W2156" s="3">
        <v>46094</v>
      </c>
      <c r="X2156" t="inlineStr">
        <is>
          <t>03</t>
        </is>
      </c>
      <c r="Y2156" t="inlineStr">
        <is>
          <t>2026-Q1</t>
        </is>
      </c>
    </row>
    <row r="2157" ht="38.25" customHeight="1">
      <c r="A2157" t="inlineStr">
        <is>
          <t>南京六年级小升初优录真题印刷打印海报【见详情介绍】</t>
        </is>
      </c>
      <c r="B2157" t="inlineStr">
        <is>
          <t>recvdJNf43tVlX.jpg</t>
        </is>
      </c>
      <c r="C2157" s="2" t="str">
        <f>=HYPERLINK("https://xhslink.com/m/4RdUyT7x6XE", "https://xhslink.com/m/4RdUyT7x6XE")</f>
        <v>https://xhslink.com/m/4RdUyT7x6XE</v>
      </c>
      <c r="D2157"/>
      <c r="E2157">
        <v>321</v>
      </c>
      <c r="F2157">
        <v>25.5</v>
      </c>
      <c r="G2157"/>
      <c r="H2157">
        <v>100</v>
      </c>
      <c r="I2157"/>
      <c r="J2157"/>
      <c r="K2157" t="inlineStr">
        <is>
          <t>小升初</t>
        </is>
      </c>
      <c r="L2157"/>
      <c r="M2157" t="inlineStr">
        <is>
          <t>南京牛娃圈的店</t>
        </is>
      </c>
      <c r="N2157">
        <v>1882</v>
      </c>
      <c r="O2157">
        <v>4.54</v>
      </c>
      <c r="P2157">
        <v>2498</v>
      </c>
      <c r="Q2157" t="inlineStr">
        <is>
          <t>691eb2c4e17408000123d62c</t>
        </is>
      </c>
      <c r="R2157"/>
      <c r="S2157" t="inlineStr">
        <is>
          <t>中小学教辅/教材</t>
        </is>
      </c>
      <c r="T2157" t="inlineStr">
        <is>
          <t>0.17</t>
        </is>
      </c>
      <c r="U2157" s="3">
        <v>46112.78107638889</v>
      </c>
      <c r="V2157"/>
      <c r="W2157" s="3">
        <v>46094</v>
      </c>
      <c r="X2157" t="inlineStr">
        <is>
          <t>03</t>
        </is>
      </c>
      <c r="Y2157" t="inlineStr">
        <is>
          <t>2026-Q1</t>
        </is>
      </c>
    </row>
    <row r="2158" ht="38.25" customHeight="1">
      <c r="A2158" t="inlineStr">
        <is>
          <t>（电子版）2025小升初百题大过关100题系列/空白版+彩色注解</t>
        </is>
      </c>
      <c r="B2158" t="inlineStr">
        <is>
          <t>recvdJNf43dl48.jpg</t>
        </is>
      </c>
      <c r="C2158" s="2" t="str">
        <f>=HYPERLINK("https://xhslink.com/m/6HDQN5XILNa", "https://xhslink.com/m/6HDQN5XILNa")</f>
        <v>https://xhslink.com/m/6HDQN5XILNa</v>
      </c>
      <c r="D2158"/>
      <c r="E2158">
        <v>290</v>
      </c>
      <c r="F2158">
        <v>5.9</v>
      </c>
      <c r="G2158"/>
      <c r="H2158">
        <v>100</v>
      </c>
      <c r="I2158"/>
      <c r="J2158"/>
      <c r="K2158" t="inlineStr">
        <is>
          <t>小升初</t>
        </is>
      </c>
      <c r="L2158"/>
      <c r="M2158" t="inlineStr">
        <is>
          <t>羊羊老师资料库的店</t>
        </is>
      </c>
      <c r="N2158">
        <v>13000</v>
      </c>
      <c r="O2158">
        <v>4.6</v>
      </c>
      <c r="P2158">
        <v>9492</v>
      </c>
      <c r="Q2158" t="inlineStr">
        <is>
          <t>6912e4834a25b700014ea9f4</t>
        </is>
      </c>
      <c r="R2158" t="inlineStr">
        <is>
          <t>🚫重复</t>
        </is>
      </c>
      <c r="S2158" t="inlineStr">
        <is>
          <t>中小学教辅/教材</t>
        </is>
      </c>
      <c r="T2158" t="inlineStr">
        <is>
          <t>0.02</t>
        </is>
      </c>
      <c r="U2158" s="3">
        <v>46112.78107638889</v>
      </c>
      <c r="V2158"/>
      <c r="W2158" s="3">
        <v>46094</v>
      </c>
      <c r="X2158" t="inlineStr">
        <is>
          <t>03</t>
        </is>
      </c>
      <c r="Y2158" t="inlineStr">
        <is>
          <t>2026-Q1</t>
        </is>
      </c>
    </row>
    <row r="2159" ht="38.25" customHeight="1">
      <c r="A2159" t="inlineStr">
        <is>
          <t>小升初英语1400高频词分类大全</t>
        </is>
      </c>
      <c r="B2159" t="inlineStr">
        <is>
          <t>recvdJNf4314vM.jpg</t>
        </is>
      </c>
      <c r="C2159" s="2" t="str">
        <f>=HYPERLINK("https://xhslink.com/m/AwWuvCKgVGA", "https://xhslink.com/m/AwWuvCKgVGA")</f>
        <v>https://xhslink.com/m/AwWuvCKgVGA</v>
      </c>
      <c r="D2159"/>
      <c r="E2159">
        <v>249</v>
      </c>
      <c r="F2159">
        <v>2.98</v>
      </c>
      <c r="G2159"/>
      <c r="H2159">
        <v>100</v>
      </c>
      <c r="I2159"/>
      <c r="J2159"/>
      <c r="K2159" t="inlineStr">
        <is>
          <t>小升初</t>
        </is>
      </c>
      <c r="L2159" t="inlineStr">
        <is>
          <t>🔥低粉爆款</t>
        </is>
      </c>
      <c r="M2159" t="inlineStr">
        <is>
          <t>小小金学习资料库的店</t>
        </is>
      </c>
      <c r="N2159">
        <v>71</v>
      </c>
      <c r="O2159">
        <v>4.47</v>
      </c>
      <c r="P2159">
        <v>299</v>
      </c>
      <c r="Q2159" t="inlineStr">
        <is>
          <t>6930de5d3dc53600016acf5d</t>
        </is>
      </c>
      <c r="R2159"/>
      <c r="S2159" t="inlineStr">
        <is>
          <t>中小学教辅/教材</t>
        </is>
      </c>
      <c r="T2159" t="inlineStr">
        <is>
          <t>3.51</t>
        </is>
      </c>
      <c r="U2159" s="3">
        <v>46112.78107638889</v>
      </c>
      <c r="V2159"/>
      <c r="W2159" s="3">
        <v>46094</v>
      </c>
      <c r="X2159" t="inlineStr">
        <is>
          <t>03</t>
        </is>
      </c>
      <c r="Y2159" t="inlineStr">
        <is>
          <t>2026-Q1</t>
        </is>
      </c>
    </row>
    <row r="2160" ht="38.25" customHeight="1">
      <c r="A2160" t="inlineStr">
        <is>
          <t>SSP上海学生英文报分类话题阅读训练小学初中高中</t>
        </is>
      </c>
      <c r="B2160" t="inlineStr">
        <is>
          <t>recvdJNf43qO9h.jpg</t>
        </is>
      </c>
      <c r="C2160" s="2" t="str">
        <f>=HYPERLINK("https://xhslink.com/m/ARm3tXtE7w9", "https://xhslink.com/m/ARm3tXtE7w9")</f>
        <v>https://xhslink.com/m/ARm3tXtE7w9</v>
      </c>
      <c r="D2160"/>
      <c r="E2160">
        <v>239</v>
      </c>
      <c r="F2160">
        <v>189</v>
      </c>
      <c r="G2160"/>
      <c r="H2160">
        <v>100</v>
      </c>
      <c r="I2160"/>
      <c r="J2160"/>
      <c r="K2160" t="inlineStr">
        <is>
          <t>小升初</t>
        </is>
      </c>
      <c r="L2160"/>
      <c r="M2160" t="inlineStr">
        <is>
          <t>慈怀书店的店</t>
        </is>
      </c>
      <c r="N2160">
        <v>5894</v>
      </c>
      <c r="O2160">
        <v>4.75</v>
      </c>
      <c r="P2160">
        <v>28000</v>
      </c>
      <c r="Q2160" t="inlineStr">
        <is>
          <t>696f827bf7c59e0001e8dca2</t>
        </is>
      </c>
      <c r="R2160" t="inlineStr">
        <is>
          <t>🚫重复</t>
        </is>
      </c>
      <c r="S2160" t="inlineStr">
        <is>
          <t>中小学教辅/教材</t>
        </is>
      </c>
      <c r="T2160" t="inlineStr">
        <is>
          <t>0.04</t>
        </is>
      </c>
      <c r="U2160" s="3">
        <v>46112.78107638889</v>
      </c>
      <c r="V2160"/>
      <c r="W2160" s="3">
        <v>46094</v>
      </c>
      <c r="X2160" t="inlineStr">
        <is>
          <t>03</t>
        </is>
      </c>
      <c r="Y2160" t="inlineStr">
        <is>
          <t>2026-Q1</t>
        </is>
      </c>
    </row>
    <row r="2161" ht="38.25" customHeight="1">
      <c r="A2161" t="inlineStr">
        <is>
          <t>初中教学课件+教务资料合集|语文教学4W＋必备资料</t>
        </is>
      </c>
      <c r="B2161" t="inlineStr">
        <is>
          <t>recvdJNf43SdwX.jpg</t>
        </is>
      </c>
      <c r="C2161" s="2" t="str">
        <f>=HYPERLINK("https://xhslink.com/m/6O92v4snDgY", "https://xhslink.com/m/6O92v4snDgY")</f>
        <v>https://xhslink.com/m/6O92v4snDgY</v>
      </c>
      <c r="D2161"/>
      <c r="E2161">
        <v>757</v>
      </c>
      <c r="F2161">
        <v>19.9</v>
      </c>
      <c r="G2161"/>
      <c r="H2161">
        <v>200</v>
      </c>
      <c r="I2161"/>
      <c r="J2161"/>
      <c r="K2161" t="inlineStr">
        <is>
          <t>教务资料</t>
        </is>
      </c>
      <c r="L2161"/>
      <c r="M2161" t="inlineStr">
        <is>
          <t>Amy老师的资料库的店</t>
        </is>
      </c>
      <c r="N2161">
        <v>1656</v>
      </c>
      <c r="O2161">
        <v>4.54</v>
      </c>
      <c r="P2161">
        <v>14000</v>
      </c>
      <c r="Q2161" t="inlineStr">
        <is>
          <t>68f747bb42726100011d07a8</t>
        </is>
      </c>
      <c r="R2161" t="inlineStr">
        <is>
          <t>🚫重复</t>
        </is>
      </c>
      <c r="S2161" t="inlineStr">
        <is>
          <t>中小学教辅/教材</t>
        </is>
      </c>
      <c r="T2161" t="inlineStr">
        <is>
          <t>0.46</t>
        </is>
      </c>
      <c r="U2161" s="3">
        <v>46112.78107638889</v>
      </c>
      <c r="V2161"/>
      <c r="W2161" s="3">
        <v>46094</v>
      </c>
      <c r="X2161" t="inlineStr">
        <is>
          <t>03</t>
        </is>
      </c>
      <c r="Y2161" t="inlineStr">
        <is>
          <t>2026-Q1</t>
        </is>
      </c>
    </row>
    <row r="2162" ht="38.25" customHeight="1">
      <c r="A2162" t="inlineStr">
        <is>
          <t>全国省考国考事业编报名照片审核处理工具事业单位证件照处理上传</t>
        </is>
      </c>
      <c r="B2162" t="inlineStr">
        <is>
          <t>recvdJNf43GDE3.jpg</t>
        </is>
      </c>
      <c r="C2162" s="2" t="str">
        <f>=HYPERLINK("https://xhslink.com/m/1y5bYiChAgR", "https://xhslink.com/m/1y5bYiChAgR")</f>
        <v>https://xhslink.com/m/1y5bYiChAgR</v>
      </c>
      <c r="D2162"/>
      <c r="E2162">
        <v>10000</v>
      </c>
      <c r="F2162">
        <v>49.9</v>
      </c>
      <c r="G2162"/>
      <c r="H2162">
        <v>200</v>
      </c>
      <c r="I2162">
        <v>3000</v>
      </c>
      <c r="J2162"/>
      <c r="K2162" t="inlineStr">
        <is>
          <t>省考</t>
        </is>
      </c>
      <c r="L2162" t="inlineStr">
        <is>
          <t>🔥低粉爆款</t>
        </is>
      </c>
      <c r="M2162" t="inlineStr">
        <is>
          <t>小飞鱼工作室的店</t>
        </is>
      </c>
      <c r="N2162">
        <v>1708</v>
      </c>
      <c r="O2162">
        <v>4.65</v>
      </c>
      <c r="P2162">
        <v>13000</v>
      </c>
      <c r="Q2162" t="inlineStr">
        <is>
          <t>65990c9f4cbf000001ed62f6</t>
        </is>
      </c>
      <c r="R2162"/>
      <c r="S2162" t="inlineStr">
        <is>
          <t>考公资料</t>
        </is>
      </c>
      <c r="T2162" t="inlineStr">
        <is>
          <t>5.85</t>
        </is>
      </c>
      <c r="U2162" s="3">
        <v>46112.78107638889</v>
      </c>
      <c r="V2162"/>
      <c r="W2162" s="3">
        <v>46094</v>
      </c>
      <c r="X2162" t="inlineStr">
        <is>
          <t>03</t>
        </is>
      </c>
      <c r="Y2162" t="inlineStr">
        <is>
          <t>2026-Q1</t>
        </is>
      </c>
    </row>
    <row r="2163" ht="38.25" customHeight="1">
      <c r="A2163" t="inlineStr">
        <is>
          <t>春秋高端公务员面试修身商务西装套装女职业面试正装工作西服上衣</t>
        </is>
      </c>
      <c r="B2163" t="inlineStr">
        <is>
          <t>recvdJNf43AeWA.jpg</t>
        </is>
      </c>
      <c r="C2163" s="2" t="str">
        <f>=HYPERLINK("https://xhslink.com/m/2LLedgYCFSh", "https://xhslink.com/m/2LLedgYCFSh")</f>
        <v>https://xhslink.com/m/2LLedgYCFSh</v>
      </c>
      <c r="D2163"/>
      <c r="E2163">
        <v>10000</v>
      </c>
      <c r="F2163">
        <v>179</v>
      </c>
      <c r="G2163"/>
      <c r="H2163">
        <v>100</v>
      </c>
      <c r="I2163">
        <v>1000</v>
      </c>
      <c r="J2163"/>
      <c r="K2163" t="inlineStr">
        <is>
          <t>公考</t>
        </is>
      </c>
      <c r="L2163" t="inlineStr">
        <is>
          <t>🔥低粉爆款</t>
        </is>
      </c>
      <c r="M2163" t="inlineStr">
        <is>
          <t>小甜甜西装套装的店</t>
        </is>
      </c>
      <c r="N2163">
        <v>1029</v>
      </c>
      <c r="O2163">
        <v>4.7</v>
      </c>
      <c r="P2163">
        <v>16000</v>
      </c>
      <c r="Q2163" t="inlineStr">
        <is>
          <t>67c53e1eeef1820001503003</t>
        </is>
      </c>
      <c r="R2163" t="inlineStr">
        <is>
          <t>🚫重复</t>
        </is>
      </c>
      <c r="S2163" t="inlineStr">
        <is>
          <t>求职面试/职场</t>
        </is>
      </c>
      <c r="T2163" t="inlineStr">
        <is>
          <t>9.72</t>
        </is>
      </c>
      <c r="U2163" s="3">
        <v>46112.78107638889</v>
      </c>
      <c r="V2163"/>
      <c r="W2163" s="3">
        <v>46094</v>
      </c>
      <c r="X2163" t="inlineStr">
        <is>
          <t>03</t>
        </is>
      </c>
      <c r="Y2163" t="inlineStr">
        <is>
          <t>2026-Q1</t>
        </is>
      </c>
    </row>
    <row r="2164" ht="38.25" customHeight="1">
      <c r="A2164" t="inlineStr">
        <is>
          <t>花生十三 · 26国省考笔试系统班</t>
        </is>
      </c>
      <c r="B2164" t="inlineStr">
        <is>
          <t>recvdJNf43xYea.jpg</t>
        </is>
      </c>
      <c r="C2164" s="2" t="str">
        <f>=HYPERLINK("https://xhslink.com/m/3DA1XuoB1Eo", "https://xhslink.com/m/3DA1XuoB1Eo")</f>
        <v>https://xhslink.com/m/3DA1XuoB1Eo</v>
      </c>
      <c r="D2164"/>
      <c r="E2164">
        <v>7485</v>
      </c>
      <c r="F2164">
        <v>499</v>
      </c>
      <c r="G2164"/>
      <c r="H2164">
        <v>150</v>
      </c>
      <c r="I2164"/>
      <c r="J2164"/>
      <c r="K2164" t="inlineStr">
        <is>
          <t>公考</t>
        </is>
      </c>
      <c r="L2164"/>
      <c r="M2164" t="inlineStr">
        <is>
          <t>四海公考的店</t>
        </is>
      </c>
      <c r="N2164">
        <v>105000</v>
      </c>
      <c r="O2164">
        <v>4.5</v>
      </c>
      <c r="P2164">
        <v>42000</v>
      </c>
      <c r="Q2164" t="inlineStr">
        <is>
          <t>68357cadf078780001c5f866</t>
        </is>
      </c>
      <c r="R2164" t="inlineStr">
        <is>
          <t>🚫重复</t>
        </is>
      </c>
      <c r="S2164" t="inlineStr">
        <is>
          <t>考公资料</t>
        </is>
      </c>
      <c r="T2164" t="inlineStr">
        <is>
          <t>0.07</t>
        </is>
      </c>
      <c r="U2164" s="3">
        <v>46112.78107638889</v>
      </c>
      <c r="V2164"/>
      <c r="W2164" s="3">
        <v>46094</v>
      </c>
      <c r="X2164" t="inlineStr">
        <is>
          <t>03</t>
        </is>
      </c>
      <c r="Y2164" t="inlineStr">
        <is>
          <t>2026-Q1</t>
        </is>
      </c>
    </row>
    <row r="2165" ht="38.25" customHeight="1">
      <c r="A2165" t="inlineStr">
        <is>
          <t>花生十三 · 2026四海省考季行测2000题海海刷</t>
        </is>
      </c>
      <c r="B2165" t="inlineStr">
        <is>
          <t>recvdJNf43Wt61.jpg</t>
        </is>
      </c>
      <c r="C2165" s="2" t="str">
        <f>=HYPERLINK("https://xhslink.com/m/397Jc92IdCd", "https://xhslink.com/m/397Jc92IdCd")</f>
        <v>https://xhslink.com/m/397Jc92IdCd</v>
      </c>
      <c r="D2165"/>
      <c r="E2165">
        <v>5576</v>
      </c>
      <c r="F2165">
        <v>193</v>
      </c>
      <c r="G2165"/>
      <c r="H2165">
        <v>400</v>
      </c>
      <c r="I2165">
        <v>4000</v>
      </c>
      <c r="J2165"/>
      <c r="K2165" t="inlineStr">
        <is>
          <t>公考</t>
        </is>
      </c>
      <c r="L2165"/>
      <c r="M2165" t="inlineStr">
        <is>
          <t>四海公考的店</t>
        </is>
      </c>
      <c r="N2165">
        <v>105000</v>
      </c>
      <c r="O2165">
        <v>4.5</v>
      </c>
      <c r="P2165">
        <v>42000</v>
      </c>
      <c r="Q2165" t="inlineStr">
        <is>
          <t>6926944746e530000119caca</t>
        </is>
      </c>
      <c r="R2165" t="inlineStr">
        <is>
          <t>🚫重复</t>
        </is>
      </c>
      <c r="S2165" t="inlineStr">
        <is>
          <t>考公资料</t>
        </is>
      </c>
      <c r="T2165" t="inlineStr">
        <is>
          <t>0.05</t>
        </is>
      </c>
      <c r="U2165" s="3">
        <v>46112.78107638889</v>
      </c>
      <c r="V2165"/>
      <c r="W2165" s="3">
        <v>46094</v>
      </c>
      <c r="X2165" t="inlineStr">
        <is>
          <t>03</t>
        </is>
      </c>
      <c r="Y2165" t="inlineStr">
        <is>
          <t>2026-Q1</t>
        </is>
      </c>
    </row>
    <row r="2166" ht="38.25" customHeight="1">
      <c r="A2166" t="inlineStr">
        <is>
          <t>26高照夸夸刷（行测+申论）五合一刷题本送视频课</t>
        </is>
      </c>
      <c r="B2166" t="inlineStr">
        <is>
          <t>recvdJNf43TqEW.jpg</t>
        </is>
      </c>
      <c r="C2166" s="2" t="str">
        <f>=HYPERLINK("https://xhslink.com/m/1qkOvhSyRtQ", "https://xhslink.com/m/1qkOvhSyRtQ")</f>
        <v>https://xhslink.com/m/1qkOvhSyRtQ</v>
      </c>
      <c r="D2166"/>
      <c r="E2166">
        <v>5196</v>
      </c>
      <c r="F2166">
        <v>73.88</v>
      </c>
      <c r="G2166"/>
      <c r="H2166">
        <v>100</v>
      </c>
      <c r="I2166"/>
      <c r="J2166"/>
      <c r="K2166" t="inlineStr">
        <is>
          <t>公考</t>
        </is>
      </c>
      <c r="L2166"/>
      <c r="M2166" t="inlineStr">
        <is>
          <t>554的店</t>
        </is>
      </c>
      <c r="N2166">
        <v>6276</v>
      </c>
      <c r="O2166">
        <v>4.48</v>
      </c>
      <c r="P2166">
        <v>34000</v>
      </c>
      <c r="Q2166" t="inlineStr">
        <is>
          <t>688094420e13d5000180fad6</t>
        </is>
      </c>
      <c r="R2166" t="inlineStr">
        <is>
          <t>🚫重复</t>
        </is>
      </c>
      <c r="S2166" t="inlineStr">
        <is>
          <t>考公资料</t>
        </is>
      </c>
      <c r="T2166" t="inlineStr">
        <is>
          <t>0.83</t>
        </is>
      </c>
      <c r="U2166" s="3">
        <v>46112.78107638889</v>
      </c>
      <c r="V2166"/>
      <c r="W2166" s="3">
        <v>46094</v>
      </c>
      <c r="X2166" t="inlineStr">
        <is>
          <t>03</t>
        </is>
      </c>
      <c r="Y2166" t="inlineStr">
        <is>
          <t>2026-Q1</t>
        </is>
      </c>
    </row>
    <row r="2167" ht="38.25" customHeight="1">
      <c r="A2167" t="inlineStr">
        <is>
          <t>2026超格省考超大杯行测+申论6合1现货！100g米黄护眼纸</t>
        </is>
      </c>
      <c r="B2167" t="inlineStr">
        <is>
          <t>recvdJNf437YVw.jpg</t>
        </is>
      </c>
      <c r="C2167" s="2" t="str">
        <f>=HYPERLINK("https://xhslink.com/m/82tqElUXSNx", "https://xhslink.com/m/82tqElUXSNx")</f>
        <v>https://xhslink.com/m/82tqElUXSNx</v>
      </c>
      <c r="D2167"/>
      <c r="E2167">
        <v>2827</v>
      </c>
      <c r="F2167">
        <v>66.6</v>
      </c>
      <c r="G2167"/>
      <c r="H2167">
        <v>1000</v>
      </c>
      <c r="I2167">
        <v>2000</v>
      </c>
      <c r="J2167"/>
      <c r="K2167" t="inlineStr">
        <is>
          <t>公考</t>
        </is>
      </c>
      <c r="L2167"/>
      <c r="M2167" t="inlineStr">
        <is>
          <t>554的店</t>
        </is>
      </c>
      <c r="N2167">
        <v>6276</v>
      </c>
      <c r="O2167">
        <v>4.48</v>
      </c>
      <c r="P2167">
        <v>34000</v>
      </c>
      <c r="Q2167" t="inlineStr">
        <is>
          <t>694e4c2bbfa5910001893fbf</t>
        </is>
      </c>
      <c r="R2167" t="inlineStr">
        <is>
          <t>🚫重复</t>
        </is>
      </c>
      <c r="S2167" t="inlineStr">
        <is>
          <t>考公资料</t>
        </is>
      </c>
      <c r="T2167" t="inlineStr">
        <is>
          <t>0.45</t>
        </is>
      </c>
      <c r="U2167" s="3">
        <v>46112.78107638889</v>
      </c>
      <c r="V2167"/>
      <c r="W2167" s="3">
        <v>46094</v>
      </c>
      <c r="X2167" t="inlineStr">
        <is>
          <t>03</t>
        </is>
      </c>
      <c r="Y2167" t="inlineStr">
        <is>
          <t>2026-Q1</t>
        </is>
      </c>
    </row>
    <row r="2168" ht="38.25" customHeight="1">
      <c r="A2168" t="inlineStr">
        <is>
          <t>【图形推理1000题+答案方法整理】26年国考省考资料分享</t>
        </is>
      </c>
      <c r="B2168" t="inlineStr">
        <is>
          <t>recvdJNf43gvEF.jpg</t>
        </is>
      </c>
      <c r="C2168" s="2" t="str">
        <f>=HYPERLINK("https://xhslink.com/m/nBQTNfRMgp", "https://xhslink.com/m/nBQTNfRMgp")</f>
        <v>https://xhslink.com/m/nBQTNfRMgp</v>
      </c>
      <c r="D2168"/>
      <c r="E2168">
        <v>2540</v>
      </c>
      <c r="F2168">
        <v>69.8</v>
      </c>
      <c r="G2168"/>
      <c r="H2168">
        <v>150</v>
      </c>
      <c r="I2168"/>
      <c r="J2168"/>
      <c r="K2168" t="inlineStr">
        <is>
          <t>公考</t>
        </is>
      </c>
      <c r="L2168"/>
      <c r="M2168" t="inlineStr">
        <is>
          <t>鱼局长的店</t>
        </is>
      </c>
      <c r="N2168">
        <v>5407</v>
      </c>
      <c r="O2168">
        <v>4.55</v>
      </c>
      <c r="P2168">
        <v>9528</v>
      </c>
      <c r="Q2168" t="inlineStr">
        <is>
          <t>6791cf25f4d65700018a6f65</t>
        </is>
      </c>
      <c r="R2168"/>
      <c r="S2168" t="inlineStr">
        <is>
          <t>考公资料</t>
        </is>
      </c>
      <c r="T2168" t="inlineStr">
        <is>
          <t>0.47</t>
        </is>
      </c>
      <c r="U2168" s="3">
        <v>46112.78107638889</v>
      </c>
      <c r="V2168"/>
      <c r="W2168" s="3">
        <v>46094</v>
      </c>
      <c r="X2168" t="inlineStr">
        <is>
          <t>03</t>
        </is>
      </c>
      <c r="Y2168" t="inlineStr">
        <is>
          <t>2026-Q1</t>
        </is>
      </c>
    </row>
    <row r="2169" ht="38.25" customHeight="1">
      <c r="A2169" t="inlineStr">
        <is>
          <t>公务员 事业单位 结构化面试 素材 2026国考 省考 晨读 逐字稿</t>
        </is>
      </c>
      <c r="B2169" t="inlineStr">
        <is>
          <t>recvdJNf43DtiT.jpg</t>
        </is>
      </c>
      <c r="C2169" s="2" t="str">
        <f>=HYPERLINK("https://xhslink.com/m/65Gc2zG7igE", "https://xhslink.com/m/65Gc2zG7igE")</f>
        <v>https://xhslink.com/m/65Gc2zG7igE</v>
      </c>
      <c r="D2169"/>
      <c r="E2169">
        <v>2503</v>
      </c>
      <c r="F2169">
        <v>59</v>
      </c>
      <c r="G2169"/>
      <c r="H2169">
        <v>600</v>
      </c>
      <c r="I2169"/>
      <c r="J2169"/>
      <c r="K2169" t="inlineStr">
        <is>
          <t>公考</t>
        </is>
      </c>
      <c r="L2169"/>
      <c r="M2169" t="inlineStr">
        <is>
          <t>夏知的公考笔记的店</t>
        </is>
      </c>
      <c r="N2169">
        <v>78000</v>
      </c>
      <c r="O2169">
        <v>4.77</v>
      </c>
      <c r="P2169">
        <v>16000</v>
      </c>
      <c r="Q2169" t="inlineStr">
        <is>
          <t>673562827beba10001ebd400</t>
        </is>
      </c>
      <c r="R2169" t="inlineStr">
        <is>
          <t>🚫重复</t>
        </is>
      </c>
      <c r="S2169" t="inlineStr">
        <is>
          <t>考公资料</t>
        </is>
      </c>
      <c r="T2169" t="inlineStr">
        <is>
          <t>0.03</t>
        </is>
      </c>
      <c r="U2169" s="3">
        <v>46112.78107638889</v>
      </c>
      <c r="V2169"/>
      <c r="W2169" s="3">
        <v>46094</v>
      </c>
      <c r="X2169" t="inlineStr">
        <is>
          <t>03</t>
        </is>
      </c>
      <c r="Y2169" t="inlineStr">
        <is>
          <t>2026-Q1</t>
        </is>
      </c>
    </row>
    <row r="2170" ht="38.25" customHeight="1">
      <c r="A2170" t="inlineStr">
        <is>
          <t>超格 · 2026年结构化面试学至考前班课程礼包</t>
        </is>
      </c>
      <c r="B2170" t="inlineStr">
        <is>
          <t>recvdJNf43V5SO.jpg</t>
        </is>
      </c>
      <c r="C2170" s="2" t="str">
        <f>=HYPERLINK("https://xhslink.com/m/1RhUXE1QlZw", "https://xhslink.com/m/1RhUXE1QlZw")</f>
        <v>https://xhslink.com/m/1RhUXE1QlZw</v>
      </c>
      <c r="D2170"/>
      <c r="E2170">
        <v>1406</v>
      </c>
      <c r="F2170">
        <v>198</v>
      </c>
      <c r="G2170"/>
      <c r="H2170">
        <v>250</v>
      </c>
      <c r="I2170"/>
      <c r="J2170"/>
      <c r="K2170" t="inlineStr">
        <is>
          <t>公考</t>
        </is>
      </c>
      <c r="L2170"/>
      <c r="M2170" t="inlineStr">
        <is>
          <t>超格旗舰店</t>
        </is>
      </c>
      <c r="N2170">
        <v>79000</v>
      </c>
      <c r="O2170">
        <v>4.49</v>
      </c>
      <c r="P2170">
        <v>177000</v>
      </c>
      <c r="Q2170" t="inlineStr">
        <is>
          <t>67d25684e15c9100010675b7</t>
        </is>
      </c>
      <c r="R2170" t="inlineStr">
        <is>
          <t>🚫重复</t>
        </is>
      </c>
      <c r="S2170" t="inlineStr">
        <is>
          <t>求职面试/职场</t>
        </is>
      </c>
      <c r="T2170" t="inlineStr">
        <is>
          <t>0.02</t>
        </is>
      </c>
      <c r="U2170" s="3">
        <v>46112.78107638889</v>
      </c>
      <c r="V2170"/>
      <c r="W2170" s="3">
        <v>46094</v>
      </c>
      <c r="X2170" t="inlineStr">
        <is>
          <t>03</t>
        </is>
      </c>
      <c r="Y2170" t="inlineStr">
        <is>
          <t>2026-Q1</t>
        </is>
      </c>
    </row>
    <row r="2171" ht="38.25" customHeight="1">
      <c r="A2171" t="inlineStr">
        <is>
          <t>四海26省考套题班行测申论一期二期笔记（预售半价）</t>
        </is>
      </c>
      <c r="B2171" t="inlineStr">
        <is>
          <t>__upload_recvdJNf43jlH0.jpg</t>
        </is>
      </c>
      <c r="C2171" s="2" t="str">
        <f>=HYPERLINK("https://xhslink.com/m/doRc2LGaFe", "https://xhslink.com/m/doRc2LGaFe")</f>
        <v>https://xhslink.com/m/doRc2LGaFe</v>
      </c>
      <c r="D2171"/>
      <c r="E2171">
        <v>476</v>
      </c>
      <c r="F2171">
        <v>66.66</v>
      </c>
      <c r="G2171"/>
      <c r="H2171">
        <v>300</v>
      </c>
      <c r="I2171"/>
      <c r="J2171">
        <v>100</v>
      </c>
      <c r="K2171" t="inlineStr">
        <is>
          <t>公考</t>
        </is>
      </c>
      <c r="L2171"/>
      <c r="M2171" t="inlineStr">
        <is>
          <t>洋芋不做小困包（超前完成任务版）的店</t>
        </is>
      </c>
      <c r="N2171">
        <v>62000</v>
      </c>
      <c r="O2171">
        <v>4.54</v>
      </c>
      <c r="P2171">
        <v>39000</v>
      </c>
      <c r="Q2171" t="inlineStr">
        <is>
          <t>695e40c6733c060001b7c094</t>
        </is>
      </c>
      <c r="R2171" t="inlineStr">
        <is>
          <t>🚫重复</t>
        </is>
      </c>
      <c r="S2171" t="inlineStr">
        <is>
          <t>考公资料</t>
        </is>
      </c>
      <c r="T2171" t="inlineStr">
        <is>
          <t>0.01</t>
        </is>
      </c>
      <c r="U2171" s="3">
        <v>46112.78107638889</v>
      </c>
      <c r="V2171"/>
      <c r="W2171" s="3">
        <v>46094</v>
      </c>
      <c r="X2171" t="inlineStr">
        <is>
          <t>03</t>
        </is>
      </c>
      <c r="Y2171" t="inlineStr">
        <is>
          <t>2026-Q1</t>
        </is>
      </c>
    </row>
    <row r="2172" ht="38.25" customHeight="1">
      <c r="A2172" t="inlineStr">
        <is>
          <t>26最新省考小黑冲刺课（包含26国省考所有内容）</t>
        </is>
      </c>
      <c r="B2172" t="inlineStr">
        <is>
          <t>recvdJNf43BUrq.jpg</t>
        </is>
      </c>
      <c r="C2172" s="2" t="str">
        <f>=HYPERLINK("https://xhslink.com/m/x3HtBOxbul", "https://xhslink.com/m/x3HtBOxbul")</f>
        <v>https://xhslink.com/m/x3HtBOxbul</v>
      </c>
      <c r="D2172"/>
      <c r="E2172">
        <v>5140</v>
      </c>
      <c r="F2172">
        <v>2.99</v>
      </c>
      <c r="G2172"/>
      <c r="H2172">
        <v>2500</v>
      </c>
      <c r="I2172"/>
      <c r="J2172"/>
      <c r="K2172" t="inlineStr">
        <is>
          <t>省考</t>
        </is>
      </c>
      <c r="L2172" t="inlineStr">
        <is>
          <t>🔥低粉爆款</t>
        </is>
      </c>
      <c r="M2172" t="inlineStr">
        <is>
          <t>橙子小书屋的店</t>
        </is>
      </c>
      <c r="N2172">
        <v>227</v>
      </c>
      <c r="O2172">
        <v>4.52</v>
      </c>
      <c r="P2172">
        <v>15000</v>
      </c>
      <c r="Q2172" t="inlineStr">
        <is>
          <t>693ac1fba454e8000156022b</t>
        </is>
      </c>
      <c r="R2172"/>
      <c r="S2172" t="inlineStr">
        <is>
          <t>考公资料</t>
        </is>
      </c>
      <c r="T2172" t="inlineStr">
        <is>
          <t>22.64</t>
        </is>
      </c>
      <c r="U2172" s="3">
        <v>46112.78107638889</v>
      </c>
      <c r="V2172"/>
      <c r="W2172" s="3">
        <v>46094</v>
      </c>
      <c r="X2172" t="inlineStr">
        <is>
          <t>03</t>
        </is>
      </c>
      <c r="Y2172" t="inlineStr">
        <is>
          <t>2026-Q1</t>
        </is>
      </c>
    </row>
    <row r="2173" ht="38.25" customHeight="1">
      <c r="A2173" t="inlineStr">
        <is>
          <t>考研无缝衔接省考计划课程+题本汇总（视频提到的均包含在内</t>
        </is>
      </c>
      <c r="B2173" t="inlineStr">
        <is>
          <t>recvdJNf43oZWw.jpg</t>
        </is>
      </c>
      <c r="C2173" s="2" t="str">
        <f>=HYPERLINK("https://xhslink.com/m/pzXTherci6", "https://xhslink.com/m/pzXTherci6")</f>
        <v>https://xhslink.com/m/pzXTherci6</v>
      </c>
      <c r="D2173"/>
      <c r="E2173">
        <v>750</v>
      </c>
      <c r="F2173">
        <v>3.28</v>
      </c>
      <c r="G2173"/>
      <c r="H2173">
        <v>250</v>
      </c>
      <c r="I2173"/>
      <c r="J2173"/>
      <c r="K2173" t="inlineStr">
        <is>
          <t>省考</t>
        </is>
      </c>
      <c r="L2173"/>
      <c r="M2173" t="inlineStr">
        <is>
          <t>小踢为何那样的店</t>
        </is>
      </c>
      <c r="N2173">
        <v>14000</v>
      </c>
      <c r="O2173">
        <v>4.28</v>
      </c>
      <c r="P2173">
        <v>2137</v>
      </c>
      <c r="Q2173" t="inlineStr">
        <is>
          <t>694e0e97d0c58a0001c6cbf1</t>
        </is>
      </c>
      <c r="R2173"/>
      <c r="S2173" t="inlineStr">
        <is>
          <t>考公资料</t>
        </is>
      </c>
      <c r="T2173" t="inlineStr">
        <is>
          <t>0.05</t>
        </is>
      </c>
      <c r="U2173" s="3">
        <v>46112.78107638889</v>
      </c>
      <c r="V2173"/>
      <c r="W2173" s="3">
        <v>46094</v>
      </c>
      <c r="X2173" t="inlineStr">
        <is>
          <t>03</t>
        </is>
      </c>
      <c r="Y2173" t="inlineStr">
        <is>
          <t>2026-Q1</t>
        </is>
      </c>
    </row>
    <row r="2174" ht="38.25" customHeight="1">
      <c r="A2174" t="inlineStr">
        <is>
          <t>2026省考公务员题库全国各省公务员考试申论行政职业能力测验APP</t>
        </is>
      </c>
      <c r="B2174" t="inlineStr">
        <is>
          <t>recvdJNf43gap4.jpg</t>
        </is>
      </c>
      <c r="C2174" s="2" t="str">
        <f>=HYPERLINK("https://xhslink.com/m/38w63I8OTQ4", "https://xhslink.com/m/38w63I8OTQ4")</f>
        <v>https://xhslink.com/m/38w63I8OTQ4</v>
      </c>
      <c r="D2174"/>
      <c r="E2174">
        <v>801</v>
      </c>
      <c r="F2174">
        <v>9.99</v>
      </c>
      <c r="G2174"/>
      <c r="H2174">
        <v>250</v>
      </c>
      <c r="I2174"/>
      <c r="J2174"/>
      <c r="K2174" t="inlineStr">
        <is>
          <t>省考</t>
        </is>
      </c>
      <c r="L2174" t="inlineStr">
        <is>
          <t>🔥低粉爆款</t>
        </is>
      </c>
      <c r="M2174" t="inlineStr">
        <is>
          <t>月亮不睡🌙的店</t>
        </is>
      </c>
      <c r="N2174">
        <v>52</v>
      </c>
      <c r="O2174">
        <v>4.59</v>
      </c>
      <c r="P2174">
        <v>797</v>
      </c>
      <c r="Q2174" t="inlineStr">
        <is>
          <t>6909ccf55c4f190001973e67</t>
        </is>
      </c>
      <c r="R2174"/>
      <c r="S2174" t="inlineStr">
        <is>
          <t>考公资料</t>
        </is>
      </c>
      <c r="T2174" t="inlineStr">
        <is>
          <t>15.40</t>
        </is>
      </c>
      <c r="U2174" s="3">
        <v>46112.78107638889</v>
      </c>
      <c r="V2174"/>
      <c r="W2174" s="3">
        <v>46094</v>
      </c>
      <c r="X2174" t="inlineStr">
        <is>
          <t>03</t>
        </is>
      </c>
      <c r="Y2174" t="inlineStr">
        <is>
          <t>2026-Q1</t>
        </is>
      </c>
    </row>
    <row r="2175" ht="38.25" customHeight="1">
      <c r="A2175" t="inlineStr">
        <is>
          <t>2026年最新版《书学姐公考面试必背素材》电子+彩色打印</t>
        </is>
      </c>
      <c r="B2175" t="inlineStr">
        <is>
          <t>recvdJNf43aZkd.jpg</t>
        </is>
      </c>
      <c r="C2175" s="2" t="str">
        <f>=HYPERLINK("https://xhslink.com/m/2awvU9HhKGY", "https://xhslink.com/m/2awvU9HhKGY")</f>
        <v>https://xhslink.com/m/2awvU9HhKGY</v>
      </c>
      <c r="D2175"/>
      <c r="E2175">
        <v>450</v>
      </c>
      <c r="F2175">
        <v>79.9</v>
      </c>
      <c r="G2175"/>
      <c r="H2175">
        <v>150</v>
      </c>
      <c r="I2175"/>
      <c r="J2175"/>
      <c r="K2175" t="inlineStr">
        <is>
          <t>面试</t>
        </is>
      </c>
      <c r="L2175"/>
      <c r="M2175" t="inlineStr">
        <is>
          <t>书学姐（三次上岸）的店</t>
        </is>
      </c>
      <c r="N2175">
        <v>20000</v>
      </c>
      <c r="O2175">
        <v>4.54</v>
      </c>
      <c r="P2175">
        <v>20000</v>
      </c>
      <c r="Q2175" t="inlineStr">
        <is>
          <t>686fe2973f6e45000115d047</t>
        </is>
      </c>
      <c r="R2175" t="inlineStr">
        <is>
          <t>🚫重复</t>
        </is>
      </c>
      <c r="S2175" t="inlineStr">
        <is>
          <t>考公资料</t>
        </is>
      </c>
      <c r="T2175" t="inlineStr">
        <is>
          <t>0.02</t>
        </is>
      </c>
      <c r="U2175" s="3">
        <v>46112.78107638889</v>
      </c>
      <c r="V2175"/>
      <c r="W2175" s="3">
        <v>46094</v>
      </c>
      <c r="X2175" t="inlineStr">
        <is>
          <t>03</t>
        </is>
      </c>
      <c r="Y2175" t="inlineStr">
        <is>
          <t>2026-Q1</t>
        </is>
      </c>
    </row>
    <row r="2176" ht="38.25" customHeight="1">
      <c r="A2176" t="inlineStr">
        <is>
          <t>卷心菜面试破模版逐字稿（全家桶）电子版本</t>
        </is>
      </c>
      <c r="B2176" t="inlineStr">
        <is>
          <t>recvdJNf43ebGK.jpg</t>
        </is>
      </c>
      <c r="C2176" s="2" t="str">
        <f>=HYPERLINK("https://xhslink.com/m/62HpImrMSaL", "https://xhslink.com/m/62HpImrMSaL")</f>
        <v>https://xhslink.com/m/62HpImrMSaL</v>
      </c>
      <c r="D2176"/>
      <c r="E2176">
        <v>38000</v>
      </c>
      <c r="F2176">
        <v>59.9</v>
      </c>
      <c r="G2176">
        <v>29.9</v>
      </c>
      <c r="H2176">
        <v>850</v>
      </c>
      <c r="I2176">
        <v>3000</v>
      </c>
      <c r="J2176"/>
      <c r="K2176" t="inlineStr">
        <is>
          <t>面试</t>
        </is>
      </c>
      <c r="L2176"/>
      <c r="M2176" t="inlineStr">
        <is>
          <t>卷心菜面试的店</t>
        </is>
      </c>
      <c r="N2176">
        <v>250000</v>
      </c>
      <c r="O2176">
        <v>4.61</v>
      </c>
      <c r="P2176">
        <v>40000</v>
      </c>
      <c r="Q2176" t="inlineStr">
        <is>
          <t>66e6eae5467906000197d498</t>
        </is>
      </c>
      <c r="R2176"/>
      <c r="S2176" t="inlineStr">
        <is>
          <t>求职面试/职场</t>
        </is>
      </c>
      <c r="T2176" t="inlineStr">
        <is>
          <t>0.15</t>
        </is>
      </c>
      <c r="U2176" s="3">
        <v>46112.78107638889</v>
      </c>
      <c r="V2176"/>
      <c r="W2176" s="3">
        <v>46094</v>
      </c>
      <c r="X2176" t="inlineStr">
        <is>
          <t>03</t>
        </is>
      </c>
      <c r="Y2176" t="inlineStr">
        <is>
          <t>2026-Q1</t>
        </is>
      </c>
    </row>
    <row r="2177" ht="38.25" customHeight="1">
      <c r="A2177" t="inlineStr">
        <is>
          <t>老夏说公务员面试：100真题拆解面试</t>
        </is>
      </c>
      <c r="B2177" t="inlineStr">
        <is>
          <t>recvdJNf43DBgi.jpg</t>
        </is>
      </c>
      <c r="C2177" s="2" t="str">
        <f>=HYPERLINK("https://xhslink.com/m/5I3RcPDHQ4J", "https://xhslink.com/m/5I3RcPDHQ4J")</f>
        <v>https://xhslink.com/m/5I3RcPDHQ4J</v>
      </c>
      <c r="D2177"/>
      <c r="E2177">
        <v>3075</v>
      </c>
      <c r="F2177">
        <v>59</v>
      </c>
      <c r="G2177"/>
      <c r="H2177">
        <v>650</v>
      </c>
      <c r="I2177">
        <v>1000</v>
      </c>
      <c r="J2177"/>
      <c r="K2177" t="inlineStr">
        <is>
          <t>面试</t>
        </is>
      </c>
      <c r="L2177"/>
      <c r="M2177" t="inlineStr">
        <is>
          <t>清华大学出版社的店</t>
        </is>
      </c>
      <c r="N2177">
        <v>445000</v>
      </c>
      <c r="O2177">
        <v>4.5</v>
      </c>
      <c r="P2177">
        <v>302000</v>
      </c>
      <c r="Q2177" t="inlineStr">
        <is>
          <t>68109448cd029e0001d00d48</t>
        </is>
      </c>
      <c r="R2177" t="inlineStr">
        <is>
          <t>🚫重复</t>
        </is>
      </c>
      <c r="S2177" t="inlineStr">
        <is>
          <t>考公资料</t>
        </is>
      </c>
      <c r="T2177" t="inlineStr">
        <is>
          <t>0.01</t>
        </is>
      </c>
      <c r="U2177" s="3">
        <v>46112.78107638889</v>
      </c>
      <c r="V2177"/>
      <c r="W2177" s="3">
        <v>46094</v>
      </c>
      <c r="X2177" t="inlineStr">
        <is>
          <t>03</t>
        </is>
      </c>
      <c r="Y2177" t="inlineStr">
        <is>
          <t>2026-Q1</t>
        </is>
      </c>
    </row>
    <row r="2178" ht="38.25" customHeight="1">
      <c r="A2178" t="inlineStr">
        <is>
          <t>超格 · 2026年结构化小组面试学至考前班课程礼包</t>
        </is>
      </c>
      <c r="B2178" t="inlineStr">
        <is>
          <t>recvdJNf43GkcV.jpg</t>
        </is>
      </c>
      <c r="C2178" s="2" t="str">
        <f>=HYPERLINK("https://xhslink.com/m/Qm2ijv1JYe", "https://xhslink.com/m/Qm2ijv1JYe")</f>
        <v>https://xhslink.com/m/Qm2ijv1JYe</v>
      </c>
      <c r="D2178"/>
      <c r="E2178">
        <v>1806</v>
      </c>
      <c r="F2178">
        <v>198</v>
      </c>
      <c r="G2178"/>
      <c r="H2178">
        <v>400</v>
      </c>
      <c r="I2178">
        <v>1000</v>
      </c>
      <c r="J2178"/>
      <c r="K2178" t="inlineStr">
        <is>
          <t>面试</t>
        </is>
      </c>
      <c r="L2178"/>
      <c r="M2178" t="inlineStr">
        <is>
          <t>超格旗舰店</t>
        </is>
      </c>
      <c r="N2178">
        <v>79000</v>
      </c>
      <c r="O2178">
        <v>4.49</v>
      </c>
      <c r="P2178">
        <v>177000</v>
      </c>
      <c r="Q2178" t="inlineStr">
        <is>
          <t>6781d59703b5e40001352365</t>
        </is>
      </c>
      <c r="R2178" t="inlineStr">
        <is>
          <t>🚫重复</t>
        </is>
      </c>
      <c r="S2178" t="inlineStr">
        <is>
          <t>教资资料</t>
        </is>
      </c>
      <c r="T2178" t="inlineStr">
        <is>
          <t>0.02</t>
        </is>
      </c>
      <c r="U2178" s="3">
        <v>46112.78107638889</v>
      </c>
      <c r="V2178"/>
      <c r="W2178" s="3">
        <v>46094</v>
      </c>
      <c r="X2178" t="inlineStr">
        <is>
          <t>03</t>
        </is>
      </c>
      <c r="Y2178" t="inlineStr">
        <is>
          <t>2026-Q1</t>
        </is>
      </c>
    </row>
    <row r="2179" ht="38.25" customHeight="1">
      <c r="A2179" t="inlineStr">
        <is>
          <t>懒懒原创结构化面试行政思维破题思路+刷题逐字稿【电子版】</t>
        </is>
      </c>
      <c r="B2179" t="inlineStr">
        <is>
          <t>recvdJNf43KiMh.jpg</t>
        </is>
      </c>
      <c r="C2179" s="2" t="str">
        <f>=HYPERLINK("https://xhslink.com/m/6YY2Aqs9451", "https://xhslink.com/m/6YY2Aqs9451")</f>
        <v>https://xhslink.com/m/6YY2Aqs9451</v>
      </c>
      <c r="D2179"/>
      <c r="E2179">
        <v>818</v>
      </c>
      <c r="F2179">
        <v>29.9</v>
      </c>
      <c r="G2179"/>
      <c r="H2179">
        <v>450</v>
      </c>
      <c r="I2179"/>
      <c r="J2179"/>
      <c r="K2179" t="inlineStr">
        <is>
          <t>面试</t>
        </is>
      </c>
      <c r="L2179"/>
      <c r="M2179" t="inlineStr">
        <is>
          <t>懒懒来了上岸版的店</t>
        </is>
      </c>
      <c r="N2179">
        <v>39000</v>
      </c>
      <c r="O2179">
        <v>4.5</v>
      </c>
      <c r="P2179">
        <v>26000</v>
      </c>
      <c r="Q2179" t="inlineStr">
        <is>
          <t>68bbaaf1a303300001fc16c4</t>
        </is>
      </c>
      <c r="R2179" t="inlineStr">
        <is>
          <t>🚫重复</t>
        </is>
      </c>
      <c r="S2179" t="inlineStr">
        <is>
          <t>求职面试/职场</t>
        </is>
      </c>
      <c r="T2179" t="inlineStr">
        <is>
          <t>0.02</t>
        </is>
      </c>
      <c r="U2179" s="3">
        <v>46112.78107638889</v>
      </c>
      <c r="V2179"/>
      <c r="W2179" s="3">
        <v>46094</v>
      </c>
      <c r="X2179" t="inlineStr">
        <is>
          <t>03</t>
        </is>
      </c>
      <c r="Y2179" t="inlineStr">
        <is>
          <t>2026-Q1</t>
        </is>
      </c>
    </row>
    <row r="2180" ht="38.25" customHeight="1">
      <c r="A2180" t="inlineStr">
        <is>
          <t>国家金融监督管理总局2026年面试宝典</t>
        </is>
      </c>
      <c r="B2180" t="inlineStr">
        <is>
          <t>recvdJNf43jt8p.jpg</t>
        </is>
      </c>
      <c r="C2180" s="2" t="str">
        <f>=HYPERLINK("https://xhslink.com/m/OsdBWjPvSn", "https://xhslink.com/m/OsdBWjPvSn")</f>
        <v>https://xhslink.com/m/OsdBWjPvSn</v>
      </c>
      <c r="D2180"/>
      <c r="E2180">
        <v>356</v>
      </c>
      <c r="F2180">
        <v>468</v>
      </c>
      <c r="G2180"/>
      <c r="H2180">
        <v>100</v>
      </c>
      <c r="I2180"/>
      <c r="J2180"/>
      <c r="K2180" t="inlineStr">
        <is>
          <t>面试</t>
        </is>
      </c>
      <c r="L2180"/>
      <c r="M2180" t="inlineStr">
        <is>
          <t>多多学长讲金监的店</t>
        </is>
      </c>
      <c r="N2180">
        <v>10000</v>
      </c>
      <c r="O2180">
        <v>4.49</v>
      </c>
      <c r="P2180">
        <v>1821</v>
      </c>
      <c r="Q2180" t="inlineStr">
        <is>
          <t>695a6b1e08cd900001e88da9</t>
        </is>
      </c>
      <c r="R2180"/>
      <c r="S2180" t="inlineStr">
        <is>
          <t>求职面试/职场</t>
        </is>
      </c>
      <c r="T2180" t="inlineStr">
        <is>
          <t>0.04</t>
        </is>
      </c>
      <c r="U2180" s="3">
        <v>46112.78107638889</v>
      </c>
      <c r="V2180"/>
      <c r="W2180" s="3">
        <v>46094</v>
      </c>
      <c r="X2180" t="inlineStr">
        <is>
          <t>03</t>
        </is>
      </c>
      <c r="Y2180" t="inlineStr">
        <is>
          <t>2026-Q1</t>
        </is>
      </c>
    </row>
    <row r="2181" ht="38.25" customHeight="1">
      <c r="A2181" t="inlineStr">
        <is>
          <t>四海26省考套题班行测申论一期二期笔记（预售半价）</t>
        </is>
      </c>
      <c r="B2181" t="inlineStr">
        <is>
          <t>recvdJNf434oJ9.jpg</t>
        </is>
      </c>
      <c r="C2181" s="2" t="str">
        <f>=HYPERLINK("https://xhslink.com/m/6rI8CPldSst", "https://xhslink.com/m/6rI8CPldSst")</f>
        <v>https://xhslink.com/m/6rI8CPldSst</v>
      </c>
      <c r="D2181"/>
      <c r="E2181">
        <v>476</v>
      </c>
      <c r="F2181">
        <v>66.4</v>
      </c>
      <c r="G2181"/>
      <c r="H2181">
        <v>300</v>
      </c>
      <c r="I2181"/>
      <c r="J2181"/>
      <c r="K2181" t="inlineStr">
        <is>
          <t>公务员行测题库</t>
        </is>
      </c>
      <c r="L2181"/>
      <c r="M2181" t="inlineStr">
        <is>
          <t>洋芋不做小困包（超前完成任务版）的店</t>
        </is>
      </c>
      <c r="N2181">
        <v>62000</v>
      </c>
      <c r="O2181">
        <v>4.54</v>
      </c>
      <c r="P2181">
        <v>39000</v>
      </c>
      <c r="Q2181" t="inlineStr">
        <is>
          <t>695e40c6733c060001b7c097</t>
        </is>
      </c>
      <c r="R2181" t="inlineStr">
        <is>
          <t>🚫重复</t>
        </is>
      </c>
      <c r="S2181" t="inlineStr">
        <is>
          <t>考公资料</t>
        </is>
      </c>
      <c r="T2181" t="inlineStr">
        <is>
          <t>0.01</t>
        </is>
      </c>
      <c r="U2181" s="3">
        <v>46112.78107638889</v>
      </c>
      <c r="V2181"/>
      <c r="W2181" s="3">
        <v>46094</v>
      </c>
      <c r="X2181" t="inlineStr">
        <is>
          <t>03</t>
        </is>
      </c>
      <c r="Y2181" t="inlineStr">
        <is>
          <t>2026-Q1</t>
        </is>
      </c>
    </row>
    <row r="2182" ht="38.25" customHeight="1">
      <c r="A2182" t="inlineStr">
        <is>
          <t>24小时盈利俱乐部 + 10万多字盈利方法论文档 + 我的AI知识库分身</t>
        </is>
      </c>
      <c r="B2182" t="inlineStr">
        <is>
          <t>recvdJNf43Xyxu.jpg</t>
        </is>
      </c>
      <c r="C2182" s="2" t="str">
        <f>=HYPERLINK("https://xhslink.com/m/6petajSZWXm", "https://xhslink.com/m/6petajSZWXm")</f>
        <v>https://xhslink.com/m/6petajSZWXm</v>
      </c>
      <c r="D2182"/>
      <c r="E2182">
        <v>1087</v>
      </c>
      <c r="F2182">
        <v>199</v>
      </c>
      <c r="G2182"/>
      <c r="H2182">
        <v>100</v>
      </c>
      <c r="I2182"/>
      <c r="J2182"/>
      <c r="K2182" t="inlineStr">
        <is>
          <t>知识库</t>
        </is>
      </c>
      <c r="L2182"/>
      <c r="M2182" t="inlineStr">
        <is>
          <t>格物文化的店</t>
        </is>
      </c>
      <c r="N2182">
        <v>877</v>
      </c>
      <c r="O2182">
        <v>4.28</v>
      </c>
      <c r="P2182">
        <v>1482</v>
      </c>
      <c r="Q2182" t="inlineStr">
        <is>
          <t>68c0ff312773df0001ea88f8</t>
        </is>
      </c>
      <c r="R2182"/>
      <c r="S2182" t="inlineStr">
        <is>
          <t>AI</t>
        </is>
      </c>
      <c r="T2182" t="inlineStr">
        <is>
          <t>1.24</t>
        </is>
      </c>
      <c r="U2182" s="3">
        <v>46112.78107638889</v>
      </c>
      <c r="V2182"/>
      <c r="W2182" s="3">
        <v>46094</v>
      </c>
      <c r="X2182" t="inlineStr">
        <is>
          <t>03</t>
        </is>
      </c>
      <c r="Y2182" t="inlineStr">
        <is>
          <t>2026-Q1</t>
        </is>
      </c>
    </row>
    <row r="2183" ht="38.25" customHeight="1">
      <c r="A2183" t="inlineStr">
        <is>
          <t>极简·中英文简历模板英文CV留学生外企求职简历模板-B05</t>
        </is>
      </c>
      <c r="B2183" t="inlineStr">
        <is>
          <t>recvdJNf43rm65.jpg</t>
        </is>
      </c>
      <c r="C2183" s="2" t="str">
        <f>=HYPERLINK("https://xhslink.com/m/7kLanih2NBg", "https://xhslink.com/m/7kLanih2NBg")</f>
        <v>https://xhslink.com/m/7kLanih2NBg</v>
      </c>
      <c r="D2183"/>
      <c r="E2183">
        <v>14000</v>
      </c>
      <c r="F2183">
        <v>3.98</v>
      </c>
      <c r="G2183"/>
      <c r="H2183">
        <v>1000</v>
      </c>
      <c r="I2183"/>
      <c r="J2183"/>
      <c r="K2183" t="inlineStr">
        <is>
          <t>简历</t>
        </is>
      </c>
      <c r="L2183"/>
      <c r="M2183" t="inlineStr">
        <is>
          <t>大学生求职简历模板的店</t>
        </is>
      </c>
      <c r="N2183">
        <v>20000</v>
      </c>
      <c r="O2183">
        <v>4.61</v>
      </c>
      <c r="P2183">
        <v>69000</v>
      </c>
      <c r="Q2183" t="inlineStr">
        <is>
          <t>671ca6f5deb6c200016bc046</t>
        </is>
      </c>
      <c r="R2183" t="inlineStr">
        <is>
          <t>🚫重复</t>
        </is>
      </c>
      <c r="S2183" t="inlineStr">
        <is>
          <t>求职面试/职场</t>
        </is>
      </c>
      <c r="T2183" t="inlineStr">
        <is>
          <t>0.70</t>
        </is>
      </c>
      <c r="U2183" s="3">
        <v>46112.78107638889</v>
      </c>
      <c r="V2183"/>
      <c r="W2183" s="3">
        <v>46094</v>
      </c>
      <c r="X2183" t="inlineStr">
        <is>
          <t>03</t>
        </is>
      </c>
      <c r="Y2183" t="inlineStr">
        <is>
          <t>2026-Q1</t>
        </is>
      </c>
    </row>
    <row r="2184" ht="38.25" customHeight="1">
      <c r="A2184" t="inlineStr">
        <is>
          <t>师范生教师岗有实习简历模版！含校招版和普通版！直接套！</t>
        </is>
      </c>
      <c r="B2184" t="inlineStr">
        <is>
          <t>recvdJNf43rKbP.jpg</t>
        </is>
      </c>
      <c r="C2184" s="2" t="str">
        <f>=HYPERLINK("https://xhslink.com/m/3gabj9EGajY", "https://xhslink.com/m/3gabj9EGajY")</f>
        <v>https://xhslink.com/m/3gabj9EGajY</v>
      </c>
      <c r="D2184"/>
      <c r="E2184">
        <v>5949</v>
      </c>
      <c r="F2184">
        <v>99.99</v>
      </c>
      <c r="G2184"/>
      <c r="H2184">
        <v>100</v>
      </c>
      <c r="I2184"/>
      <c r="J2184"/>
      <c r="K2184" t="inlineStr">
        <is>
          <t>简历</t>
        </is>
      </c>
      <c r="L2184"/>
      <c r="M2184" t="inlineStr">
        <is>
          <t>师姐白同学的店</t>
        </is>
      </c>
      <c r="N2184">
        <v>26000</v>
      </c>
      <c r="O2184">
        <v>4.57</v>
      </c>
      <c r="P2184">
        <v>14000</v>
      </c>
      <c r="Q2184" t="inlineStr">
        <is>
          <t>697a419a06c7230001ebd94a</t>
        </is>
      </c>
      <c r="R2184"/>
      <c r="S2184" t="inlineStr">
        <is>
          <t>求职面试/职场</t>
        </is>
      </c>
      <c r="T2184" t="inlineStr">
        <is>
          <t>0.23</t>
        </is>
      </c>
      <c r="U2184" s="3">
        <v>46112.78107638889</v>
      </c>
      <c r="V2184"/>
      <c r="W2184" s="3">
        <v>46094</v>
      </c>
      <c r="X2184" t="inlineStr">
        <is>
          <t>03</t>
        </is>
      </c>
      <c r="Y2184" t="inlineStr">
        <is>
          <t>2026-Q1</t>
        </is>
      </c>
    </row>
    <row r="2185" ht="38.25" customHeight="1">
      <c r="A2185" t="inlineStr">
        <is>
          <t>Word｜高级精英管理类简历模版，自动发货，虚拟产品不退不换</t>
        </is>
      </c>
      <c r="B2185" t="inlineStr">
        <is>
          <t>recvdJNf43Wo53.jpg</t>
        </is>
      </c>
      <c r="C2185" s="2" t="str">
        <f>=HYPERLINK("https://xhslink.com/m/9j2JWeAaaVe", "https://xhslink.com/m/9j2JWeAaaVe")</f>
        <v>https://xhslink.com/m/9j2JWeAaaVe</v>
      </c>
      <c r="D2185"/>
      <c r="E2185">
        <v>3933</v>
      </c>
      <c r="F2185">
        <v>11.9</v>
      </c>
      <c r="G2185"/>
      <c r="H2185">
        <v>100</v>
      </c>
      <c r="I2185"/>
      <c r="J2185"/>
      <c r="K2185" t="inlineStr">
        <is>
          <t>简历</t>
        </is>
      </c>
      <c r="L2185"/>
      <c r="M2185" t="inlineStr">
        <is>
          <t>番茄简历的店</t>
        </is>
      </c>
      <c r="N2185">
        <v>3920</v>
      </c>
      <c r="O2185">
        <v>4.48</v>
      </c>
      <c r="P2185">
        <v>13000</v>
      </c>
      <c r="Q2185" t="inlineStr">
        <is>
          <t>67f457e404afe30001d396ee</t>
        </is>
      </c>
      <c r="R2185" t="inlineStr">
        <is>
          <t>🚫重复</t>
        </is>
      </c>
      <c r="S2185" t="inlineStr">
        <is>
          <t>求职面试/职场</t>
        </is>
      </c>
      <c r="T2185" t="inlineStr">
        <is>
          <t>1.00</t>
        </is>
      </c>
      <c r="U2185" s="3">
        <v>46112.78107638889</v>
      </c>
      <c r="V2185"/>
      <c r="W2185" s="3">
        <v>46094</v>
      </c>
      <c r="X2185" t="inlineStr">
        <is>
          <t>03</t>
        </is>
      </c>
      <c r="Y2185" t="inlineStr">
        <is>
          <t>2026-Q1</t>
        </is>
      </c>
    </row>
    <row r="2186" ht="38.25" customHeight="1">
      <c r="A2186" t="inlineStr">
        <is>
          <t>Word｜12套中文高端500强简历模版，高效实用，虚拟商品不退不换</t>
        </is>
      </c>
      <c r="B2186" t="inlineStr">
        <is>
          <t>recvdJNf43igE5.jpg</t>
        </is>
      </c>
      <c r="C2186" s="2" t="str">
        <f>=HYPERLINK("https://xhslink.com/m/4RATFhv1KpJ", "https://xhslink.com/m/4RATFhv1KpJ")</f>
        <v>https://xhslink.com/m/4RATFhv1KpJ</v>
      </c>
      <c r="D2186"/>
      <c r="E2186">
        <v>1857</v>
      </c>
      <c r="F2186">
        <v>19.9</v>
      </c>
      <c r="G2186"/>
      <c r="H2186">
        <v>100</v>
      </c>
      <c r="I2186"/>
      <c r="J2186"/>
      <c r="K2186" t="inlineStr">
        <is>
          <t>简历</t>
        </is>
      </c>
      <c r="L2186"/>
      <c r="M2186" t="inlineStr">
        <is>
          <t>番茄简历的店</t>
        </is>
      </c>
      <c r="N2186">
        <v>3920</v>
      </c>
      <c r="O2186">
        <v>4.48</v>
      </c>
      <c r="P2186">
        <v>13000</v>
      </c>
      <c r="Q2186" t="inlineStr">
        <is>
          <t>675030a66e529e0001b6efc4</t>
        </is>
      </c>
      <c r="R2186" t="inlineStr">
        <is>
          <t>🚫重复</t>
        </is>
      </c>
      <c r="S2186" t="inlineStr">
        <is>
          <t>求职面试/职场</t>
        </is>
      </c>
      <c r="T2186" t="inlineStr">
        <is>
          <t>0.47</t>
        </is>
      </c>
      <c r="U2186" s="3">
        <v>46112.78107638889</v>
      </c>
      <c r="V2186"/>
      <c r="W2186" s="3">
        <v>46094</v>
      </c>
      <c r="X2186" t="inlineStr">
        <is>
          <t>03</t>
        </is>
      </c>
      <c r="Y2186" t="inlineStr">
        <is>
          <t>2026-Q1</t>
        </is>
      </c>
    </row>
    <row r="2187" ht="38.25" customHeight="1">
      <c r="A2187" t="inlineStr">
        <is>
          <t>简历优化/简历代制作 —— 先点客服窗口，沟通好后再下单哈！</t>
        </is>
      </c>
      <c r="B2187" t="inlineStr">
        <is>
          <t>recvdJNf43p28x.jpg</t>
        </is>
      </c>
      <c r="C2187" s="2" t="str">
        <f>=HYPERLINK("https://xhslink.com/m/9Mdex0q6X7O", "https://xhslink.com/m/9Mdex0q6X7O")</f>
        <v>https://xhslink.com/m/9Mdex0q6X7O</v>
      </c>
      <c r="D2187"/>
      <c r="E2187">
        <v>1280</v>
      </c>
      <c r="F2187">
        <v>179</v>
      </c>
      <c r="G2187"/>
      <c r="H2187">
        <v>150</v>
      </c>
      <c r="I2187"/>
      <c r="J2187"/>
      <c r="K2187" t="inlineStr">
        <is>
          <t>简历</t>
        </is>
      </c>
      <c r="L2187"/>
      <c r="M2187" t="inlineStr">
        <is>
          <t>专业简历制作优化的店</t>
        </is>
      </c>
      <c r="N2187">
        <v>22000</v>
      </c>
      <c r="O2187">
        <v>4.64</v>
      </c>
      <c r="P2187">
        <v>1281</v>
      </c>
      <c r="Q2187" t="inlineStr">
        <is>
          <t>68c58118c728400001d7f695</t>
        </is>
      </c>
      <c r="R2187" t="inlineStr">
        <is>
          <t>🚫重复</t>
        </is>
      </c>
      <c r="S2187" t="inlineStr">
        <is>
          <t>求职面试/职场</t>
        </is>
      </c>
      <c r="T2187" t="inlineStr">
        <is>
          <t>0.06</t>
        </is>
      </c>
      <c r="U2187" s="3">
        <v>46112.78107638889</v>
      </c>
      <c r="V2187"/>
      <c r="W2187" s="3">
        <v>46094</v>
      </c>
      <c r="X2187" t="inlineStr">
        <is>
          <t>03</t>
        </is>
      </c>
      <c r="Y2187" t="inlineStr">
        <is>
          <t>2026-Q1</t>
        </is>
      </c>
    </row>
    <row r="2188" ht="38.25" customHeight="1">
      <c r="A2188" t="inlineStr">
        <is>
          <t>个人简历模板套装word应届毕业生大学生社会求职简约电子模版通用</t>
        </is>
      </c>
      <c r="B2188" t="inlineStr">
        <is>
          <t>recvdJNf43dZ1E.jpg</t>
        </is>
      </c>
      <c r="C2188" s="2" t="str">
        <f>=HYPERLINK("https://xhslink.com/m/6P5NNcmvK2e", "https://xhslink.com/m/6P5NNcmvK2e")</f>
        <v>https://xhslink.com/m/6P5NNcmvK2e</v>
      </c>
      <c r="D2188"/>
      <c r="E2188">
        <v>874</v>
      </c>
      <c r="F2188">
        <v>9.9</v>
      </c>
      <c r="G2188"/>
      <c r="H2188">
        <v>250</v>
      </c>
      <c r="I2188"/>
      <c r="J2188"/>
      <c r="K2188" t="inlineStr">
        <is>
          <t>简历</t>
        </is>
      </c>
      <c r="L2188" t="inlineStr">
        <is>
          <t>🔥低粉爆款</t>
        </is>
      </c>
      <c r="M2188" t="inlineStr">
        <is>
          <t>婷婷素材馆的店</t>
        </is>
      </c>
      <c r="N2188">
        <v>59</v>
      </c>
      <c r="O2188">
        <v>4.05</v>
      </c>
      <c r="P2188">
        <v>2105</v>
      </c>
      <c r="Q2188" t="inlineStr">
        <is>
          <t>6912a314886bed0001841afb</t>
        </is>
      </c>
      <c r="R2188"/>
      <c r="S2188" t="inlineStr">
        <is>
          <t>求职面试/职场</t>
        </is>
      </c>
      <c r="T2188" t="inlineStr">
        <is>
          <t>14.81</t>
        </is>
      </c>
      <c r="U2188" s="3">
        <v>46112.78107638889</v>
      </c>
      <c r="V2188"/>
      <c r="W2188" s="3">
        <v>46094</v>
      </c>
      <c r="X2188" t="inlineStr">
        <is>
          <t>03</t>
        </is>
      </c>
      <c r="Y2188" t="inlineStr">
        <is>
          <t>2026-Q1</t>
        </is>
      </c>
    </row>
    <row r="2189" ht="38.25" customHeight="1">
      <c r="A2189" t="inlineStr">
        <is>
          <t>BGJL-68 简约清新万能通用大学生表格式个人简历模板酒店前台简历</t>
        </is>
      </c>
      <c r="B2189" t="inlineStr">
        <is>
          <t>recvdJNf430NoX.jpg</t>
        </is>
      </c>
      <c r="C2189" s="2" t="str">
        <f>=HYPERLINK("https://xhslink.com/m/A8u6mOpTXBB", "https://xhslink.com/m/A8u6mOpTXBB")</f>
        <v>https://xhslink.com/m/A8u6mOpTXBB</v>
      </c>
      <c r="D2189"/>
      <c r="E2189">
        <v>640</v>
      </c>
      <c r="F2189">
        <v>4.88</v>
      </c>
      <c r="G2189"/>
      <c r="H2189">
        <v>150</v>
      </c>
      <c r="I2189"/>
      <c r="J2189"/>
      <c r="K2189" t="inlineStr">
        <is>
          <t>简历</t>
        </is>
      </c>
      <c r="L2189"/>
      <c r="M2189" t="inlineStr">
        <is>
          <t>阿飞简历的店</t>
        </is>
      </c>
      <c r="N2189">
        <v>1772</v>
      </c>
      <c r="O2189">
        <v>4.51</v>
      </c>
      <c r="P2189">
        <v>11000</v>
      </c>
      <c r="Q2189" t="inlineStr">
        <is>
          <t>68b838058c33170001f7def6</t>
        </is>
      </c>
      <c r="R2189" t="inlineStr">
        <is>
          <t>🚫重复</t>
        </is>
      </c>
      <c r="S2189" t="inlineStr">
        <is>
          <t>求职面试/职场</t>
        </is>
      </c>
      <c r="T2189" t="inlineStr">
        <is>
          <t>0.36</t>
        </is>
      </c>
      <c r="U2189" s="3">
        <v>46112.78107638889</v>
      </c>
      <c r="V2189"/>
      <c r="W2189" s="3">
        <v>46094</v>
      </c>
      <c r="X2189" t="inlineStr">
        <is>
          <t>03</t>
        </is>
      </c>
      <c r="Y2189" t="inlineStr">
        <is>
          <t>2026-Q1</t>
        </is>
      </c>
    </row>
    <row r="2190" ht="38.25" customHeight="1">
      <c r="A2190" t="inlineStr">
        <is>
          <t>psd+ai+PPT格式设计师简约高级简历模板源文件，请看清格式再拍！</t>
        </is>
      </c>
      <c r="B2190" t="inlineStr">
        <is>
          <t>recvdJNf43LlLe.jpg</t>
        </is>
      </c>
      <c r="C2190" s="2" t="str">
        <f>=HYPERLINK("https://xhslink.com/m/5DtvXkwm51A", "https://xhslink.com/m/5DtvXkwm51A")</f>
        <v>https://xhslink.com/m/5DtvXkwm51A</v>
      </c>
      <c r="D2190"/>
      <c r="E2190">
        <v>794</v>
      </c>
      <c r="F2190">
        <v>4.5</v>
      </c>
      <c r="G2190"/>
      <c r="H2190">
        <v>200</v>
      </c>
      <c r="I2190"/>
      <c r="J2190"/>
      <c r="K2190" t="inlineStr">
        <is>
          <t>简历</t>
        </is>
      </c>
      <c r="L2190"/>
      <c r="M2190" t="inlineStr">
        <is>
          <t>D-Art的店</t>
        </is>
      </c>
      <c r="N2190">
        <v>5129</v>
      </c>
      <c r="O2190">
        <v>4.78</v>
      </c>
      <c r="P2190">
        <v>15000</v>
      </c>
      <c r="Q2190" t="inlineStr">
        <is>
          <t>6929972fb644e40001a0c37a</t>
        </is>
      </c>
      <c r="R2190" t="inlineStr">
        <is>
          <t>🚫重复</t>
        </is>
      </c>
      <c r="S2190" t="inlineStr">
        <is>
          <t>PPT模板</t>
        </is>
      </c>
      <c r="T2190" t="inlineStr">
        <is>
          <t>0.15</t>
        </is>
      </c>
      <c r="U2190" s="3">
        <v>46112.78107638889</v>
      </c>
      <c r="V2190"/>
      <c r="W2190" s="3">
        <v>46094</v>
      </c>
      <c r="X2190" t="inlineStr">
        <is>
          <t>03</t>
        </is>
      </c>
      <c r="Y2190" t="inlineStr">
        <is>
          <t>2026-Q1</t>
        </is>
      </c>
    </row>
    <row r="2191" ht="38.25" customHeight="1">
      <c r="A2191" t="inlineStr">
        <is>
          <t>2026人教部编版小学语文一二三四五六年级上下册教案课件ppt试题</t>
        </is>
      </c>
      <c r="B2191" t="inlineStr">
        <is>
          <t>recvdJNf43m5zt.jpg</t>
        </is>
      </c>
      <c r="C2191" s="2" t="str">
        <f>=HYPERLINK("https://xhslink.com/m/8XDk0b5Nbiw", "https://xhslink.com/m/8XDk0b5Nbiw")</f>
        <v>https://xhslink.com/m/8XDk0b5Nbiw</v>
      </c>
      <c r="D2191"/>
      <c r="E2191">
        <v>4443</v>
      </c>
      <c r="F2191">
        <v>53.6</v>
      </c>
      <c r="G2191"/>
      <c r="H2191">
        <v>250</v>
      </c>
      <c r="I2191"/>
      <c r="J2191"/>
      <c r="K2191" t="inlineStr">
        <is>
          <t>语文课件</t>
        </is>
      </c>
      <c r="L2191"/>
      <c r="M2191" t="inlineStr">
        <is>
          <t>肖老师的店</t>
        </is>
      </c>
      <c r="N2191">
        <v>12000</v>
      </c>
      <c r="O2191">
        <v>4.61</v>
      </c>
      <c r="P2191">
        <v>71000</v>
      </c>
      <c r="Q2191" t="inlineStr">
        <is>
          <t>66e5d31deaae2c0001afda0b</t>
        </is>
      </c>
      <c r="R2191" t="inlineStr">
        <is>
          <t>🚫重复</t>
        </is>
      </c>
      <c r="S2191" t="inlineStr">
        <is>
          <t>中小学教辅/教材</t>
        </is>
      </c>
      <c r="T2191" t="inlineStr">
        <is>
          <t>0.37</t>
        </is>
      </c>
      <c r="U2191" s="3">
        <v>46112.78107638889</v>
      </c>
      <c r="V2191"/>
      <c r="W2191" s="3">
        <v>46094</v>
      </c>
      <c r="X2191" t="inlineStr">
        <is>
          <t>03</t>
        </is>
      </c>
      <c r="Y2191" t="inlineStr">
        <is>
          <t>2026-Q1</t>
        </is>
      </c>
    </row>
    <row r="2192" ht="38.25" customHeight="1">
      <c r="A2192" t="inlineStr">
        <is>
          <t>25秋最新三年级上册语文作文教学课件|单个9.9，里面没有授课视频</t>
        </is>
      </c>
      <c r="B2192" t="inlineStr">
        <is>
          <t>recvdJNf43IsLR.jpg</t>
        </is>
      </c>
      <c r="C2192" s="2" t="str">
        <f>=HYPERLINK("https://xhslink.com/m/AjCPJp1KpVx", "https://xhslink.com/m/AjCPJp1KpVx")</f>
        <v>https://xhslink.com/m/AjCPJp1KpVx</v>
      </c>
      <c r="D2192"/>
      <c r="E2192">
        <v>3065</v>
      </c>
      <c r="F2192">
        <v>269.9</v>
      </c>
      <c r="G2192"/>
      <c r="H2192">
        <v>400</v>
      </c>
      <c r="I2192"/>
      <c r="J2192"/>
      <c r="K2192" t="inlineStr">
        <is>
          <t>语文课件</t>
        </is>
      </c>
      <c r="L2192"/>
      <c r="M2192" t="inlineStr">
        <is>
          <t>吾辈皆是备课人的店</t>
        </is>
      </c>
      <c r="N2192">
        <v>10000</v>
      </c>
      <c r="O2192">
        <v>4.55</v>
      </c>
      <c r="P2192">
        <v>15000</v>
      </c>
      <c r="Q2192" t="inlineStr">
        <is>
          <t>690315b93f37a9000174c290</t>
        </is>
      </c>
      <c r="R2192" t="inlineStr">
        <is>
          <t>🚫重复</t>
        </is>
      </c>
      <c r="S2192" t="inlineStr">
        <is>
          <t>中小学教辅/教材</t>
        </is>
      </c>
      <c r="T2192" t="inlineStr">
        <is>
          <t>0.31</t>
        </is>
      </c>
      <c r="U2192" s="3">
        <v>46112.78107638889</v>
      </c>
      <c r="V2192"/>
      <c r="W2192" s="3">
        <v>46094</v>
      </c>
      <c r="X2192" t="inlineStr">
        <is>
          <t>03</t>
        </is>
      </c>
      <c r="Y2192" t="inlineStr">
        <is>
          <t>2026-Q1</t>
        </is>
      </c>
    </row>
    <row r="2193" ht="38.25" customHeight="1">
      <c r="A2193" t="inlineStr">
        <is>
          <t>其他 · 小升初语文复习资料（课件+教案，部分有配套练习）</t>
        </is>
      </c>
      <c r="B2193" t="inlineStr">
        <is>
          <t>recvdJNf43Ag07.jpg</t>
        </is>
      </c>
      <c r="C2193" s="2" t="str">
        <f>=HYPERLINK("https://xhslink.com/m/6eQRRhkoPTs", "https://xhslink.com/m/6eQRRhkoPTs")</f>
        <v>https://xhslink.com/m/6eQRRhkoPTs</v>
      </c>
      <c r="D2193"/>
      <c r="E2193">
        <v>1784</v>
      </c>
      <c r="F2193">
        <v>59.9</v>
      </c>
      <c r="G2193"/>
      <c r="H2193">
        <v>200</v>
      </c>
      <c r="I2193"/>
      <c r="J2193"/>
      <c r="K2193" t="inlineStr">
        <is>
          <t>语文课件</t>
        </is>
      </c>
      <c r="L2193"/>
      <c r="M2193" t="inlineStr">
        <is>
          <t>灵儿老师的资料库的店</t>
        </is>
      </c>
      <c r="N2193">
        <v>1711</v>
      </c>
      <c r="O2193">
        <v>4.48</v>
      </c>
      <c r="P2193">
        <v>6425</v>
      </c>
      <c r="Q2193" t="inlineStr">
        <is>
          <t>6915dea158a96d0001ee5570</t>
        </is>
      </c>
      <c r="R2193" t="inlineStr">
        <is>
          <t>🚫重复</t>
        </is>
      </c>
      <c r="S2193" t="inlineStr">
        <is>
          <t>中小学教辅/教材</t>
        </is>
      </c>
      <c r="T2193" t="inlineStr">
        <is>
          <t>1.04</t>
        </is>
      </c>
      <c r="U2193" s="3">
        <v>46112.78107638889</v>
      </c>
      <c r="V2193"/>
      <c r="W2193" s="3">
        <v>46094</v>
      </c>
      <c r="X2193" t="inlineStr">
        <is>
          <t>03</t>
        </is>
      </c>
      <c r="Y2193" t="inlineStr">
        <is>
          <t>2026-Q1</t>
        </is>
      </c>
    </row>
    <row r="2194" ht="38.25" customHeight="1">
      <c r="A2194" t="inlineStr">
        <is>
          <t>田心老师自用二上期末复习课件及资料（2025新版）自动发货</t>
        </is>
      </c>
      <c r="B2194" t="inlineStr">
        <is>
          <t>recvdJNf43bPFW.jpg</t>
        </is>
      </c>
      <c r="C2194" s="2" t="str">
        <f>=HYPERLINK("https://xhslink.com/m/gy9QshwYNw", "https://xhslink.com/m/gy9QshwYNw")</f>
        <v>https://xhslink.com/m/gy9QshwYNw</v>
      </c>
      <c r="D2194"/>
      <c r="E2194">
        <v>1361</v>
      </c>
      <c r="F2194">
        <v>43.9</v>
      </c>
      <c r="G2194"/>
      <c r="H2194">
        <v>150</v>
      </c>
      <c r="I2194"/>
      <c r="J2194"/>
      <c r="K2194" t="inlineStr">
        <is>
          <t>语文课件</t>
        </is>
      </c>
      <c r="L2194"/>
      <c r="M2194" t="inlineStr">
        <is>
          <t>田心老师的课堂教学与管理的店</t>
        </is>
      </c>
      <c r="N2194">
        <v>16000</v>
      </c>
      <c r="O2194">
        <v>4.04</v>
      </c>
      <c r="P2194">
        <v>4362</v>
      </c>
      <c r="Q2194" t="inlineStr">
        <is>
          <t>6927c505137a3b0001268fce</t>
        </is>
      </c>
      <c r="R2194" t="inlineStr">
        <is>
          <t>🚫重复</t>
        </is>
      </c>
      <c r="S2194" t="inlineStr">
        <is>
          <t>中小学教辅/教材</t>
        </is>
      </c>
      <c r="T2194" t="inlineStr">
        <is>
          <t>0.09</t>
        </is>
      </c>
      <c r="U2194" s="3">
        <v>46112.78107638889</v>
      </c>
      <c r="V2194"/>
      <c r="W2194" s="3">
        <v>46094</v>
      </c>
      <c r="X2194" t="inlineStr">
        <is>
          <t>03</t>
        </is>
      </c>
      <c r="Y2194" t="inlineStr">
        <is>
          <t>2026-Q1</t>
        </is>
      </c>
    </row>
    <row r="2195" ht="38.25" customHeight="1">
      <c r="A2195" t="inlineStr">
        <is>
          <t>七下4《孙权劝学》（创意课件+情境游戏+教案）</t>
        </is>
      </c>
      <c r="B2195" t="inlineStr">
        <is>
          <t>recvdJNf43cKvM.jpg</t>
        </is>
      </c>
      <c r="C2195" s="2" t="str">
        <f>=HYPERLINK("https://xhslink.com/m/5OiQpzc2IJ7", "https://xhslink.com/m/5OiQpzc2IJ7")</f>
        <v>https://xhslink.com/m/5OiQpzc2IJ7</v>
      </c>
      <c r="D2195"/>
      <c r="E2195">
        <v>932</v>
      </c>
      <c r="F2195">
        <v>8.8</v>
      </c>
      <c r="G2195"/>
      <c r="H2195">
        <v>100</v>
      </c>
      <c r="I2195"/>
      <c r="J2195"/>
      <c r="K2195" t="inlineStr">
        <is>
          <t>语文课件</t>
        </is>
      </c>
      <c r="L2195"/>
      <c r="M2195" t="inlineStr">
        <is>
          <t>毛颖传奇的店</t>
        </is>
      </c>
      <c r="N2195">
        <v>28000</v>
      </c>
      <c r="O2195">
        <v>4.46</v>
      </c>
      <c r="P2195">
        <v>125000</v>
      </c>
      <c r="Q2195" t="inlineStr">
        <is>
          <t>6770e2cbca77f500019331c0</t>
        </is>
      </c>
      <c r="R2195" t="inlineStr">
        <is>
          <t>🚫重复</t>
        </is>
      </c>
      <c r="S2195" t="inlineStr">
        <is>
          <t>中小学教辅/教材</t>
        </is>
      </c>
      <c r="T2195" t="inlineStr">
        <is>
          <t>0.03</t>
        </is>
      </c>
      <c r="U2195" s="3">
        <v>46112.78107638889</v>
      </c>
      <c r="V2195"/>
      <c r="W2195" s="3">
        <v>46094</v>
      </c>
      <c r="X2195" t="inlineStr">
        <is>
          <t>03</t>
        </is>
      </c>
      <c r="Y2195" t="inlineStr">
        <is>
          <t>2026-Q1</t>
        </is>
      </c>
    </row>
    <row r="2196" ht="38.25" customHeight="1">
      <c r="A2196" t="inlineStr">
        <is>
          <t>五上单元复习课件</t>
        </is>
      </c>
      <c r="B2196" t="inlineStr">
        <is>
          <t>recvdJNf433A4C.jpg</t>
        </is>
      </c>
      <c r="C2196" s="2" t="str">
        <f>=HYPERLINK("https://xhslink.com/m/69yyaG5taoU", "https://xhslink.com/m/69yyaG5taoU")</f>
        <v>https://xhslink.com/m/69yyaG5taoU</v>
      </c>
      <c r="D2196"/>
      <c r="E2196">
        <v>595</v>
      </c>
      <c r="F2196">
        <v>72</v>
      </c>
      <c r="G2196"/>
      <c r="H2196">
        <v>100</v>
      </c>
      <c r="I2196"/>
      <c r="J2196"/>
      <c r="K2196" t="inlineStr">
        <is>
          <t>语文课件</t>
        </is>
      </c>
      <c r="L2196"/>
      <c r="M2196" t="inlineStr">
        <is>
          <t>柚子的书柜的店</t>
        </is>
      </c>
      <c r="N2196">
        <v>45000</v>
      </c>
      <c r="O2196">
        <v>4.57</v>
      </c>
      <c r="P2196">
        <v>15000</v>
      </c>
      <c r="Q2196" t="inlineStr">
        <is>
          <t>693f822ad1d80b0001a70cd8</t>
        </is>
      </c>
      <c r="R2196" t="inlineStr">
        <is>
          <t>🚫重复</t>
        </is>
      </c>
      <c r="S2196" t="inlineStr">
        <is>
          <t>中小学教辅/教材</t>
        </is>
      </c>
      <c r="T2196" t="inlineStr">
        <is>
          <t>0.01</t>
        </is>
      </c>
      <c r="U2196" s="3">
        <v>46112.78107638889</v>
      </c>
      <c r="V2196"/>
      <c r="W2196" s="3">
        <v>46094</v>
      </c>
      <c r="X2196" t="inlineStr">
        <is>
          <t>03</t>
        </is>
      </c>
      <c r="Y2196" t="inlineStr">
        <is>
          <t>2026-Q1</t>
        </is>
      </c>
    </row>
    <row r="2197" ht="38.25" customHeight="1">
      <c r="A2197" t="inlineStr">
        <is>
          <t>（预售）2026春季四年级下册语文全册课件+教案（后续找客服要）</t>
        </is>
      </c>
      <c r="B2197" t="inlineStr">
        <is>
          <t>recvdJNf4348Xj.jpg</t>
        </is>
      </c>
      <c r="C2197" s="2" t="str">
        <f>=HYPERLINK("https://xhslink.com/m/A3luS4VLLJ8", "https://xhslink.com/m/A3luS4VLLJ8")</f>
        <v>https://xhslink.com/m/A3luS4VLLJ8</v>
      </c>
      <c r="D2197"/>
      <c r="E2197">
        <v>642</v>
      </c>
      <c r="F2197">
        <v>128</v>
      </c>
      <c r="G2197"/>
      <c r="H2197">
        <v>100</v>
      </c>
      <c r="I2197"/>
      <c r="J2197"/>
      <c r="K2197" t="inlineStr">
        <is>
          <t>语文课件</t>
        </is>
      </c>
      <c r="L2197"/>
      <c r="M2197" t="inlineStr">
        <is>
          <t>想躺平的李老师的店</t>
        </is>
      </c>
      <c r="N2197">
        <v>67000</v>
      </c>
      <c r="O2197">
        <v>4.5</v>
      </c>
      <c r="P2197">
        <v>81000</v>
      </c>
      <c r="Q2197" t="inlineStr">
        <is>
          <t>69683a1968700c0001299263</t>
        </is>
      </c>
      <c r="R2197" t="inlineStr">
        <is>
          <t>🚫重复</t>
        </is>
      </c>
      <c r="S2197" t="inlineStr">
        <is>
          <t>中小学教辅/教材</t>
        </is>
      </c>
      <c r="T2197" t="inlineStr">
        <is>
          <t>0.01</t>
        </is>
      </c>
      <c r="U2197" s="3">
        <v>46112.78107638889</v>
      </c>
      <c r="V2197"/>
      <c r="W2197" s="3">
        <v>46094</v>
      </c>
      <c r="X2197" t="inlineStr">
        <is>
          <t>03</t>
        </is>
      </c>
      <c r="Y2197" t="inlineStr">
        <is>
          <t>2026-Q1</t>
        </is>
      </c>
    </row>
    <row r="2198" ht="38.25" customHeight="1">
      <c r="A2198" t="inlineStr">
        <is>
          <t>习课堂复习课全套 | 课件任务单</t>
        </is>
      </c>
      <c r="B2198" t="inlineStr">
        <is>
          <t>recvdJNf43NfRo.jpg</t>
        </is>
      </c>
      <c r="C2198" s="2" t="str">
        <f>=HYPERLINK("https://xhslink.com/m/5SzoQYFWIGc", "https://xhslink.com/m/5SzoQYFWIGc")</f>
        <v>https://xhslink.com/m/5SzoQYFWIGc</v>
      </c>
      <c r="D2198"/>
      <c r="E2198">
        <v>444</v>
      </c>
      <c r="F2198">
        <v>49.9</v>
      </c>
      <c r="G2198"/>
      <c r="H2198">
        <v>100</v>
      </c>
      <c r="I2198"/>
      <c r="J2198"/>
      <c r="K2198" t="inlineStr">
        <is>
          <t>语文课件</t>
        </is>
      </c>
      <c r="L2198"/>
      <c r="M2198" t="inlineStr">
        <is>
          <t>教语文的小巧匠儿的店</t>
        </is>
      </c>
      <c r="N2198">
        <v>4653</v>
      </c>
      <c r="O2198">
        <v>4.4</v>
      </c>
      <c r="P2198">
        <v>1795</v>
      </c>
      <c r="Q2198" t="inlineStr">
        <is>
          <t>6938c4c74d53380001db32c5</t>
        </is>
      </c>
      <c r="R2198" t="inlineStr">
        <is>
          <t>🚫重复</t>
        </is>
      </c>
      <c r="S2198" t="inlineStr">
        <is>
          <t>中小学教辅/教材</t>
        </is>
      </c>
      <c r="T2198" t="inlineStr">
        <is>
          <t>0.10</t>
        </is>
      </c>
      <c r="U2198" s="3">
        <v>46112.78107638889</v>
      </c>
      <c r="V2198"/>
      <c r="W2198" s="3">
        <v>46094</v>
      </c>
      <c r="X2198" t="inlineStr">
        <is>
          <t>03</t>
        </is>
      </c>
      <c r="Y2198" t="inlineStr">
        <is>
          <t>2026-Q1</t>
        </is>
      </c>
    </row>
    <row r="2199" ht="38.25" customHeight="1">
      <c r="A2199" t="inlineStr">
        <is>
          <t>26春语文五年级下册课件合集PPT教案教学设计新版人教部编版备课</t>
        </is>
      </c>
      <c r="B2199" t="inlineStr">
        <is>
          <t>recvdJNf43bh7f.jpg</t>
        </is>
      </c>
      <c r="C2199" s="2" t="str">
        <f>=HYPERLINK("https://xhslink.com/m/8UUVeH0NLtA", "https://xhslink.com/m/8UUVeH0NLtA")</f>
        <v>https://xhslink.com/m/8UUVeH0NLtA</v>
      </c>
      <c r="D2199"/>
      <c r="E2199">
        <v>423</v>
      </c>
      <c r="F2199">
        <v>49.9</v>
      </c>
      <c r="G2199"/>
      <c r="H2199">
        <v>100</v>
      </c>
      <c r="I2199"/>
      <c r="J2199"/>
      <c r="K2199" t="inlineStr">
        <is>
          <t>语文课件</t>
        </is>
      </c>
      <c r="L2199"/>
      <c r="M2199" t="inlineStr">
        <is>
          <t>好好去备课的店</t>
        </is>
      </c>
      <c r="N2199">
        <v>1838</v>
      </c>
      <c r="O2199">
        <v>4.58</v>
      </c>
      <c r="P2199">
        <v>4884</v>
      </c>
      <c r="Q2199" t="inlineStr">
        <is>
          <t>688056e7e019f20001a068ff</t>
        </is>
      </c>
      <c r="R2199" t="inlineStr">
        <is>
          <t>🚫重复</t>
        </is>
      </c>
      <c r="S2199" t="inlineStr">
        <is>
          <t>中小学教辅/教材</t>
        </is>
      </c>
      <c r="T2199" t="inlineStr">
        <is>
          <t>0.23</t>
        </is>
      </c>
      <c r="U2199" s="3">
        <v>46112.78107638889</v>
      </c>
      <c r="V2199"/>
      <c r="W2199" s="3">
        <v>46094</v>
      </c>
      <c r="X2199" t="inlineStr">
        <is>
          <t>03</t>
        </is>
      </c>
      <c r="Y2199" t="inlineStr">
        <is>
          <t>2026-Q1</t>
        </is>
      </c>
    </row>
    <row r="2200" ht="38.25" customHeight="1">
      <c r="A2200" t="inlineStr">
        <is>
          <t>人力资源实操百科（人力资源知识库，HR人事课程+文档，1年会员）</t>
        </is>
      </c>
      <c r="B2200" t="inlineStr">
        <is>
          <t>recvdJNf43ANBJ.jpg</t>
        </is>
      </c>
      <c r="C2200" s="2" t="str">
        <f>=HYPERLINK("https://xhslink.com/m/NMmB1XeWKR", "https://xhslink.com/m/NMmB1XeWKR")</f>
        <v>https://xhslink.com/m/NMmB1XeWKR</v>
      </c>
      <c r="D2200"/>
      <c r="E2200">
        <v>7907</v>
      </c>
      <c r="F2200">
        <v>299</v>
      </c>
      <c r="G2200"/>
      <c r="H2200">
        <v>250</v>
      </c>
      <c r="I2200"/>
      <c r="J2200"/>
      <c r="K2200" t="inlineStr">
        <is>
          <t>知识库</t>
        </is>
      </c>
      <c r="L2200"/>
      <c r="M2200" t="inlineStr">
        <is>
          <t>HR导师徐博士的店</t>
        </is>
      </c>
      <c r="N2200">
        <v>75000</v>
      </c>
      <c r="O2200">
        <v>4.54</v>
      </c>
      <c r="P2200">
        <v>7907</v>
      </c>
      <c r="Q2200" t="inlineStr">
        <is>
          <t>65748a785c95510001de2269</t>
        </is>
      </c>
      <c r="R2200" t="inlineStr">
        <is>
          <t>🚫重复</t>
        </is>
      </c>
      <c r="S2200" t="inlineStr">
        <is>
          <t>求职面试/职场</t>
        </is>
      </c>
      <c r="T2200" t="inlineStr">
        <is>
          <t>0.11</t>
        </is>
      </c>
      <c r="U2200" s="3">
        <v>46112.78107638889</v>
      </c>
      <c r="V2200"/>
      <c r="W2200" s="3">
        <v>46094</v>
      </c>
      <c r="X2200" t="inlineStr">
        <is>
          <t>03</t>
        </is>
      </c>
      <c r="Y2200" t="inlineStr">
        <is>
          <t>2026-Q1</t>
        </is>
      </c>
    </row>
    <row r="2201" ht="38.25" customHeight="1">
      <c r="A2201" t="inlineStr">
        <is>
          <t>人工线上云监督促学习考研计划减肥运动叫提醒自律陪学自习室服务</t>
        </is>
      </c>
      <c r="B2201" t="inlineStr">
        <is>
          <t>recvdJNf43NfRU.jpg</t>
        </is>
      </c>
      <c r="C2201" s="2" t="str">
        <f>=HYPERLINK("https://xhslink.com/m/66ftgJ4PLR7", "https://xhslink.com/m/66ftgJ4PLR7")</f>
        <v>https://xhslink.com/m/66ftgJ4PLR7</v>
      </c>
      <c r="D2201"/>
      <c r="E2201">
        <v>5681</v>
      </c>
      <c r="F2201">
        <v>15</v>
      </c>
      <c r="G2201"/>
      <c r="H2201">
        <v>250</v>
      </c>
      <c r="I2201"/>
      <c r="J2201"/>
      <c r="K2201" t="inlineStr">
        <is>
          <t>自习</t>
        </is>
      </c>
      <c r="L2201" t="inlineStr">
        <is>
          <t>🔥低粉爆款</t>
        </is>
      </c>
      <c r="M2201" t="inlineStr">
        <is>
          <t>内卷王就是我的店</t>
        </is>
      </c>
      <c r="N2201">
        <v>813</v>
      </c>
      <c r="O2201">
        <v>4.63</v>
      </c>
      <c r="P2201">
        <v>5746</v>
      </c>
      <c r="Q2201" t="inlineStr">
        <is>
          <t>67fbcd058c174700012209d3</t>
        </is>
      </c>
      <c r="R2201" t="inlineStr">
        <is>
          <t>🚫重复</t>
        </is>
      </c>
      <c r="S2201" t="inlineStr">
        <is>
          <t>考研资料</t>
        </is>
      </c>
      <c r="T2201" t="inlineStr">
        <is>
          <t>6.99</t>
        </is>
      </c>
      <c r="U2201" s="3">
        <v>46112.78107638889</v>
      </c>
      <c r="V2201"/>
      <c r="W2201" s="3">
        <v>46094</v>
      </c>
      <c r="X2201" t="inlineStr">
        <is>
          <t>03</t>
        </is>
      </c>
      <c r="Y2201" t="inlineStr">
        <is>
          <t>2026-Q1</t>
        </is>
      </c>
    </row>
    <row r="2202" ht="38.25" customHeight="1">
      <c r="A2202" t="inlineStr">
        <is>
          <t>24h腾讯会议线上自习室考公考研考编高考雅思有提醒无监督</t>
        </is>
      </c>
      <c r="B2202" t="inlineStr">
        <is>
          <t>recvdJNf430ybM.jpg</t>
        </is>
      </c>
      <c r="C2202" s="2" t="str">
        <f>=HYPERLINK("https://xhslink.com/m/2QXziI2mkYw", "https://xhslink.com/m/2QXziI2mkYw")</f>
        <v>https://xhslink.com/m/2QXziI2mkYw</v>
      </c>
      <c r="D2202"/>
      <c r="E2202">
        <v>1865</v>
      </c>
      <c r="F2202">
        <v>12.8</v>
      </c>
      <c r="G2202"/>
      <c r="H2202">
        <v>600</v>
      </c>
      <c r="I2202"/>
      <c r="J2202"/>
      <c r="K2202" t="inlineStr">
        <is>
          <t>自习</t>
        </is>
      </c>
      <c r="L2202" t="inlineStr">
        <is>
          <t>🔥低粉爆款</t>
        </is>
      </c>
      <c r="M2202" t="inlineStr">
        <is>
          <t>土豆自习室的店</t>
        </is>
      </c>
      <c r="N2202">
        <v>527</v>
      </c>
      <c r="O2202">
        <v>3.97</v>
      </c>
      <c r="P2202">
        <v>1867</v>
      </c>
      <c r="Q2202" t="inlineStr">
        <is>
          <t>6900c42d3f37a90001256972</t>
        </is>
      </c>
      <c r="R2202" t="inlineStr">
        <is>
          <t>🚫重复</t>
        </is>
      </c>
      <c r="S2202" t="inlineStr">
        <is>
          <t>无匹配类别</t>
        </is>
      </c>
      <c r="T2202" t="inlineStr">
        <is>
          <t>3.54</t>
        </is>
      </c>
      <c r="U2202" s="3">
        <v>46112.78107638889</v>
      </c>
      <c r="V2202"/>
      <c r="W2202" s="3">
        <v>46094</v>
      </c>
      <c r="X2202" t="inlineStr">
        <is>
          <t>03</t>
        </is>
      </c>
      <c r="Y2202" t="inlineStr">
        <is>
          <t>2026-Q1</t>
        </is>
      </c>
    </row>
    <row r="2203" ht="38.25" customHeight="1">
      <c r="A2203" t="inlineStr">
        <is>
          <t>24h腾讯会议线上自习室考研考公考编雅思托福高考有提醒无监督</t>
        </is>
      </c>
      <c r="B2203" t="inlineStr">
        <is>
          <t>recvdJNf43MDBp.jpg</t>
        </is>
      </c>
      <c r="C2203" s="2" t="str">
        <f>=HYPERLINK("https://xhslink.com/m/2vsA2gLxpJ3", "https://xhslink.com/m/2vsA2gLxpJ3")</f>
        <v>https://xhslink.com/m/2vsA2gLxpJ3</v>
      </c>
      <c r="D2203"/>
      <c r="E2203">
        <v>800</v>
      </c>
      <c r="F2203">
        <v>12.8</v>
      </c>
      <c r="G2203"/>
      <c r="H2203">
        <v>450</v>
      </c>
      <c r="I2203"/>
      <c r="J2203"/>
      <c r="K2203" t="inlineStr">
        <is>
          <t>自习</t>
        </is>
      </c>
      <c r="L2203" t="inlineStr">
        <is>
          <t>🔥低粉爆款</t>
        </is>
      </c>
      <c r="M2203" t="inlineStr">
        <is>
          <t>桃子自习室的店</t>
        </is>
      </c>
      <c r="N2203">
        <v>238</v>
      </c>
      <c r="O2203">
        <v>4.3</v>
      </c>
      <c r="P2203">
        <v>799</v>
      </c>
      <c r="Q2203" t="inlineStr">
        <is>
          <t>696909635c204c000190cd65</t>
        </is>
      </c>
      <c r="R2203" t="inlineStr">
        <is>
          <t>🚫重复</t>
        </is>
      </c>
      <c r="S2203" t="inlineStr">
        <is>
          <t>英语资料</t>
        </is>
      </c>
      <c r="T2203" t="inlineStr">
        <is>
          <t>3.36</t>
        </is>
      </c>
      <c r="U2203" s="3">
        <v>46112.78107638889</v>
      </c>
      <c r="V2203"/>
      <c r="W2203" s="3">
        <v>46094</v>
      </c>
      <c r="X2203" t="inlineStr">
        <is>
          <t>03</t>
        </is>
      </c>
      <c r="Y2203" t="inlineStr">
        <is>
          <t>2026-Q1</t>
        </is>
      </c>
    </row>
    <row r="2204" ht="38.25" customHeight="1">
      <c r="A2204" t="inlineStr">
        <is>
          <t>26上教资笔试科三简答题主观题汇总/科三教资简答题/上岸熊正版</t>
        </is>
      </c>
      <c r="B2204" t="inlineStr">
        <is>
          <t>recvdJNf43WXLX.jpg</t>
        </is>
      </c>
      <c r="C2204" s="2" t="str">
        <f>=HYPERLINK("https://xhslink.com/m/AoSWmk01ygd", "https://xhslink.com/m/AoSWmk01ygd")</f>
        <v>https://xhslink.com/m/AoSWmk01ygd</v>
      </c>
      <c r="D2204"/>
      <c r="E2204">
        <v>6169</v>
      </c>
      <c r="F2204">
        <v>99</v>
      </c>
      <c r="G2204"/>
      <c r="H2204">
        <v>400</v>
      </c>
      <c r="I2204"/>
      <c r="J2204"/>
      <c r="K2204" t="inlineStr">
        <is>
          <t>学科资料</t>
        </is>
      </c>
      <c r="L2204" t="inlineStr">
        <is>
          <t>🔥低粉爆款</t>
        </is>
      </c>
      <c r="M2204" t="inlineStr">
        <is>
          <t>漫福学姐的店</t>
        </is>
      </c>
      <c r="N2204">
        <v>1089</v>
      </c>
      <c r="O2204">
        <v>4.43</v>
      </c>
      <c r="P2204">
        <v>15000</v>
      </c>
      <c r="Q2204" t="inlineStr">
        <is>
          <t>68a7b891acb11600015e44c3</t>
        </is>
      </c>
      <c r="R2204" t="inlineStr">
        <is>
          <t>🚫重复</t>
        </is>
      </c>
      <c r="S2204" t="inlineStr">
        <is>
          <t>教资资料</t>
        </is>
      </c>
      <c r="T2204" t="inlineStr">
        <is>
          <t>5.66</t>
        </is>
      </c>
      <c r="U2204" s="3">
        <v>46112.78107638889</v>
      </c>
      <c r="V2204"/>
      <c r="W2204" s="3">
        <v>46094</v>
      </c>
      <c r="X2204" t="inlineStr">
        <is>
          <t>03</t>
        </is>
      </c>
      <c r="Y2204" t="inlineStr">
        <is>
          <t>2026-Q1</t>
        </is>
      </c>
    </row>
    <row r="2205" ht="38.25" customHeight="1">
      <c r="A2205" t="inlineStr">
        <is>
          <t>复核添加一级学科/二级学科</t>
        </is>
      </c>
      <c r="B2205" t="inlineStr">
        <is>
          <t>recvdJNf43KhlA.jpg</t>
        </is>
      </c>
      <c r="C2205" s="2" t="str">
        <f>=HYPERLINK("https://xhslink.com/m/6wU4zlwk44p", "https://xhslink.com/m/6wU4zlwk44p")</f>
        <v>https://xhslink.com/m/6wU4zlwk44p</v>
      </c>
      <c r="D2205"/>
      <c r="E2205">
        <v>6994</v>
      </c>
      <c r="F2205">
        <v>100</v>
      </c>
      <c r="G2205"/>
      <c r="H2205">
        <v>100</v>
      </c>
      <c r="I2205"/>
      <c r="J2205"/>
      <c r="K2205" t="inlineStr">
        <is>
          <t>学科资料</t>
        </is>
      </c>
      <c r="L2205" t="inlineStr">
        <is>
          <t>🔥低粉爆款</t>
        </is>
      </c>
      <c r="M2205" t="inlineStr">
        <is>
          <t>启智咨询的店</t>
        </is>
      </c>
      <c r="N2205">
        <v>1480</v>
      </c>
      <c r="O2205">
        <v>4.55</v>
      </c>
      <c r="P2205">
        <v>7976</v>
      </c>
      <c r="Q2205" t="inlineStr">
        <is>
          <t>676631f7b1267e0001b1e9ca</t>
        </is>
      </c>
      <c r="R2205"/>
      <c r="S2205" t="inlineStr">
        <is>
          <t>头像壁纸</t>
        </is>
      </c>
      <c r="T2205" t="inlineStr">
        <is>
          <t>4.73</t>
        </is>
      </c>
      <c r="U2205" s="3">
        <v>46112.78107638889</v>
      </c>
      <c r="V2205"/>
      <c r="W2205" s="3">
        <v>46094</v>
      </c>
      <c r="X2205" t="inlineStr">
        <is>
          <t>03</t>
        </is>
      </c>
      <c r="Y2205" t="inlineStr">
        <is>
          <t>2026-Q1</t>
        </is>
      </c>
    </row>
    <row r="2206" ht="38.25" customHeight="1">
      <c r="A2206" t="inlineStr">
        <is>
          <t>2026新版于总ceo初中物理八九年级高清视频课程习题课件完整资料</t>
        </is>
      </c>
      <c r="B2206" t="inlineStr">
        <is>
          <t>recvdJNf43Syn5.jpg</t>
        </is>
      </c>
      <c r="C2206" s="2" t="str">
        <f>=HYPERLINK("https://xhslink.com/m/2T3Dv5cNMVS", "https://xhslink.com/m/2T3Dv5cNMVS")</f>
        <v>https://xhslink.com/m/2T3Dv5cNMVS</v>
      </c>
      <c r="D2206"/>
      <c r="E2206">
        <v>2761</v>
      </c>
      <c r="F2206">
        <v>99.9</v>
      </c>
      <c r="G2206"/>
      <c r="H2206">
        <v>700</v>
      </c>
      <c r="I2206"/>
      <c r="J2206"/>
      <c r="K2206" t="inlineStr">
        <is>
          <t>学科资料</t>
        </is>
      </c>
      <c r="L2206"/>
      <c r="M2206" t="inlineStr">
        <is>
          <t>渔sir的店</t>
        </is>
      </c>
      <c r="N2206">
        <v>1314</v>
      </c>
      <c r="O2206">
        <v>4.43</v>
      </c>
      <c r="P2206">
        <v>4946</v>
      </c>
      <c r="Q2206" t="inlineStr">
        <is>
          <t>6926ca8901312b00015a4b87</t>
        </is>
      </c>
      <c r="R2206" t="inlineStr">
        <is>
          <t>🚫重复</t>
        </is>
      </c>
      <c r="S2206" t="inlineStr">
        <is>
          <t>中小学教辅/教材</t>
        </is>
      </c>
      <c r="T2206" t="inlineStr">
        <is>
          <t>2.10</t>
        </is>
      </c>
      <c r="U2206" s="3">
        <v>46112.78107638889</v>
      </c>
      <c r="V2206"/>
      <c r="W2206" s="3">
        <v>46094</v>
      </c>
      <c r="X2206" t="inlineStr">
        <is>
          <t>03</t>
        </is>
      </c>
      <c r="Y2206" t="inlineStr">
        <is>
          <t>2026-Q1</t>
        </is>
      </c>
    </row>
    <row r="2207" ht="38.25" customHeight="1">
      <c r="A2207" t="inlineStr">
        <is>
          <t>2026法考柏浪涛刑法思维导图推背图精华汇总主客观题学霸笔记</t>
        </is>
      </c>
      <c r="B2207" t="inlineStr">
        <is>
          <t>recvdJNf43UR0O.jpg</t>
        </is>
      </c>
      <c r="C2207" s="2" t="str">
        <f>=HYPERLINK("https://xhslink.com/m/Av39RDQGukV", "https://xhslink.com/m/Av39RDQGukV")</f>
        <v>https://xhslink.com/m/Av39RDQGukV</v>
      </c>
      <c r="D2207"/>
      <c r="E2207">
        <v>2342</v>
      </c>
      <c r="F2207">
        <v>335</v>
      </c>
      <c r="G2207"/>
      <c r="H2207">
        <v>100</v>
      </c>
      <c r="I2207"/>
      <c r="J2207"/>
      <c r="K2207" t="inlineStr">
        <is>
          <t>学科资料</t>
        </is>
      </c>
      <c r="L2207"/>
      <c r="M2207" t="inlineStr">
        <is>
          <t>法考思维导图的店</t>
        </is>
      </c>
      <c r="N2207">
        <v>4628</v>
      </c>
      <c r="O2207">
        <v>4.65</v>
      </c>
      <c r="P2207">
        <v>5481</v>
      </c>
      <c r="Q2207" t="inlineStr">
        <is>
          <t>6961b7b48510c000010ceca7</t>
        </is>
      </c>
      <c r="R2207"/>
      <c r="S2207" t="inlineStr">
        <is>
          <t>司法考试</t>
        </is>
      </c>
      <c r="T2207" t="inlineStr">
        <is>
          <t>0.51</t>
        </is>
      </c>
      <c r="U2207" s="3">
        <v>46112.78107638889</v>
      </c>
      <c r="V2207"/>
      <c r="W2207" s="3">
        <v>46094</v>
      </c>
      <c r="X2207" t="inlineStr">
        <is>
          <t>03</t>
        </is>
      </c>
      <c r="Y2207" t="inlineStr">
        <is>
          <t>2026-Q1</t>
        </is>
      </c>
    </row>
    <row r="2208" ht="38.25" customHeight="1">
      <c r="A2208" t="inlineStr">
        <is>
          <t>高中议论文写作指南</t>
        </is>
      </c>
      <c r="B2208" t="inlineStr">
        <is>
          <t>recvdJNf43AJrv.jpg</t>
        </is>
      </c>
      <c r="C2208" s="2" t="str">
        <f>=HYPERLINK("https://xhslink.com/m/87M41ZTafCF", "https://xhslink.com/m/87M41ZTafCF")</f>
        <v>https://xhslink.com/m/87M41ZTafCF</v>
      </c>
      <c r="D2208"/>
      <c r="E2208">
        <v>2494</v>
      </c>
      <c r="F2208">
        <v>129</v>
      </c>
      <c r="G2208"/>
      <c r="H2208">
        <v>200</v>
      </c>
      <c r="I2208"/>
      <c r="J2208"/>
      <c r="K2208" t="inlineStr">
        <is>
          <t>学科资料</t>
        </is>
      </c>
      <c r="L2208"/>
      <c r="M2208" t="inlineStr">
        <is>
          <t>上上签高中语文的店</t>
        </is>
      </c>
      <c r="N2208">
        <v>22000</v>
      </c>
      <c r="O2208">
        <v>4.57</v>
      </c>
      <c r="P2208">
        <v>32000</v>
      </c>
      <c r="Q2208" t="inlineStr">
        <is>
          <t>6703bcb04cd2890001f426c9</t>
        </is>
      </c>
      <c r="R2208" t="inlineStr">
        <is>
          <t>🚫重复</t>
        </is>
      </c>
      <c r="S2208" t="inlineStr">
        <is>
          <t>高中/高考资料</t>
        </is>
      </c>
      <c r="T2208" t="inlineStr">
        <is>
          <t>0.11</t>
        </is>
      </c>
      <c r="U2208" s="3">
        <v>46112.78107638889</v>
      </c>
      <c r="V2208"/>
      <c r="W2208" s="3">
        <v>46094</v>
      </c>
      <c r="X2208" t="inlineStr">
        <is>
          <t>03</t>
        </is>
      </c>
      <c r="Y2208" t="inlineStr">
        <is>
          <t>2026-Q1</t>
        </is>
      </c>
    </row>
    <row r="2209" ht="38.25" customHeight="1">
      <c r="A2209" t="inlineStr">
        <is>
          <t>【院士推荐】《看得见摸得着的数学》 讲述初中数学的发生和发展</t>
        </is>
      </c>
      <c r="B2209" t="inlineStr">
        <is>
          <t>recvdJNf43sXrs.jpg</t>
        </is>
      </c>
      <c r="C2209" s="2" t="str">
        <f>=HYPERLINK("https://xhslink.com/m/9mB6X7NKUd2", "https://xhslink.com/m/9mB6X7NKUd2")</f>
        <v>https://xhslink.com/m/9mB6X7NKUd2</v>
      </c>
      <c r="D2209"/>
      <c r="E2209">
        <v>648</v>
      </c>
      <c r="F2209">
        <v>328</v>
      </c>
      <c r="G2209"/>
      <c r="H2209">
        <v>250</v>
      </c>
      <c r="I2209"/>
      <c r="J2209"/>
      <c r="K2209" t="inlineStr">
        <is>
          <t>学科资料</t>
        </is>
      </c>
      <c r="L2209"/>
      <c r="M2209" t="inlineStr">
        <is>
          <t>包老师数学的店</t>
        </is>
      </c>
      <c r="N2209">
        <v>8045</v>
      </c>
      <c r="O2209">
        <v>4.3</v>
      </c>
      <c r="P2209">
        <v>660</v>
      </c>
      <c r="Q2209" t="inlineStr">
        <is>
          <t>685cf45cb93d410001f9e355</t>
        </is>
      </c>
      <c r="R2209"/>
      <c r="S2209" t="inlineStr">
        <is>
          <t>中小学教辅/教材</t>
        </is>
      </c>
      <c r="T2209" t="inlineStr">
        <is>
          <t>0.08</t>
        </is>
      </c>
      <c r="U2209" s="3">
        <v>46112.78107638889</v>
      </c>
      <c r="V2209"/>
      <c r="W2209" s="3">
        <v>46094</v>
      </c>
      <c r="X2209" t="inlineStr">
        <is>
          <t>03</t>
        </is>
      </c>
      <c r="Y2209" t="inlineStr">
        <is>
          <t>2026-Q1</t>
        </is>
      </c>
    </row>
    <row r="2210" ht="38.25" customHeight="1">
      <c r="A2210" t="inlineStr">
        <is>
          <t>2026年湖南FJ基础学习包</t>
        </is>
      </c>
      <c r="B2210" t="inlineStr">
        <is>
          <t>recvdJNf432NqG.jpg</t>
        </is>
      </c>
      <c r="C2210" s="2" t="str">
        <f>=HYPERLINK("https://xhslink.com/m/1dwZyzsCijx", "https://xhslink.com/m/1dwZyzsCijx")</f>
        <v>https://xhslink.com/m/1dwZyzsCijx</v>
      </c>
      <c r="D2210"/>
      <c r="E2210">
        <v>461</v>
      </c>
      <c r="F2210">
        <v>359</v>
      </c>
      <c r="G2210"/>
      <c r="H2210">
        <v>100</v>
      </c>
      <c r="I2210"/>
      <c r="J2210"/>
      <c r="K2210" t="inlineStr">
        <is>
          <t>学科资料</t>
        </is>
      </c>
      <c r="L2210"/>
      <c r="M2210" t="inlineStr">
        <is>
          <t>旌 旗 法 源的店</t>
        </is>
      </c>
      <c r="N2210">
        <v>1507</v>
      </c>
      <c r="O2210">
        <v>4.66</v>
      </c>
      <c r="P2210">
        <v>1508</v>
      </c>
      <c r="Q2210" t="inlineStr">
        <is>
          <t>68c8265855f59b000107ac3c</t>
        </is>
      </c>
      <c r="R2210"/>
      <c r="S2210" t="inlineStr">
        <is>
          <t>无匹配类别</t>
        </is>
      </c>
      <c r="T2210" t="inlineStr">
        <is>
          <t>0.31</t>
        </is>
      </c>
      <c r="U2210" s="3">
        <v>46112.78107638889</v>
      </c>
      <c r="V2210"/>
      <c r="W2210" s="3">
        <v>46094</v>
      </c>
      <c r="X2210" t="inlineStr">
        <is>
          <t>03</t>
        </is>
      </c>
      <c r="Y2210" t="inlineStr">
        <is>
          <t>2026-Q1</t>
        </is>
      </c>
    </row>
    <row r="2211" ht="38.25" customHeight="1">
      <c r="A2211" t="inlineStr">
        <is>
          <t>创意美术绘画少儿美术课件美术课程体系PPT课件+课程大纲/可编辑</t>
        </is>
      </c>
      <c r="B2211" t="inlineStr">
        <is>
          <t>recvdJNf43TFw8.jpg</t>
        </is>
      </c>
      <c r="C2211" s="2" t="str">
        <f>=HYPERLINK("https://xhslink.com/m/9KxPrQIIPnH", "https://xhslink.com/m/9KxPrQIIPnH")</f>
        <v>https://xhslink.com/m/9KxPrQIIPnH</v>
      </c>
      <c r="D2211"/>
      <c r="E2211">
        <v>6454</v>
      </c>
      <c r="F2211">
        <v>36</v>
      </c>
      <c r="G2211"/>
      <c r="H2211">
        <v>100</v>
      </c>
      <c r="I2211"/>
      <c r="J2211"/>
      <c r="K2211" t="inlineStr">
        <is>
          <t>课件</t>
        </is>
      </c>
      <c r="L2211"/>
      <c r="M2211" t="inlineStr">
        <is>
          <t>好牛课件的店</t>
        </is>
      </c>
      <c r="N2211">
        <v>7955</v>
      </c>
      <c r="O2211">
        <v>4.55</v>
      </c>
      <c r="P2211">
        <v>11000</v>
      </c>
      <c r="Q2211" t="inlineStr">
        <is>
          <t>6655bddfc33ca80001d88b23</t>
        </is>
      </c>
      <c r="R2211" t="inlineStr">
        <is>
          <t>🚫重复</t>
        </is>
      </c>
      <c r="S2211" t="inlineStr">
        <is>
          <t>中小学教辅/教材</t>
        </is>
      </c>
      <c r="T2211" t="inlineStr">
        <is>
          <t>0.81</t>
        </is>
      </c>
      <c r="U2211" s="3">
        <v>46112.78107638889</v>
      </c>
      <c r="V2211"/>
      <c r="W2211" s="3">
        <v>46094</v>
      </c>
      <c r="X2211" t="inlineStr">
        <is>
          <t>03</t>
        </is>
      </c>
      <c r="Y2211" t="inlineStr">
        <is>
          <t>2026-Q1</t>
        </is>
      </c>
    </row>
    <row r="2212" ht="38.25" customHeight="1">
      <c r="A2212" t="inlineStr">
        <is>
          <t>幼儿园游戏案例课件文稿可修改</t>
        </is>
      </c>
      <c r="B2212" t="inlineStr">
        <is>
          <t>recvdJNf43URL0.jpg</t>
        </is>
      </c>
      <c r="C2212" s="2" t="str">
        <f>=HYPERLINK("https://xhslink.com/m/49Wa4YjK3Ko", "https://xhslink.com/m/49Wa4YjK3Ko")</f>
        <v>https://xhslink.com/m/49Wa4YjK3Ko</v>
      </c>
      <c r="D2212"/>
      <c r="E2212">
        <v>4353</v>
      </c>
      <c r="F2212">
        <v>69.9</v>
      </c>
      <c r="G2212"/>
      <c r="H2212">
        <v>250</v>
      </c>
      <c r="I2212"/>
      <c r="J2212"/>
      <c r="K2212" t="inlineStr">
        <is>
          <t>课件</t>
        </is>
      </c>
      <c r="L2212"/>
      <c r="M2212" t="inlineStr">
        <is>
          <t>幼儿园游戏案例呀的店</t>
        </is>
      </c>
      <c r="N2212">
        <v>4060</v>
      </c>
      <c r="O2212">
        <v>4.45</v>
      </c>
      <c r="P2212">
        <v>14000</v>
      </c>
      <c r="Q2212" t="inlineStr">
        <is>
          <t>665fbef85294b30001a3b068</t>
        </is>
      </c>
      <c r="R2212" t="inlineStr">
        <is>
          <t>🚫重复</t>
        </is>
      </c>
      <c r="S2212" t="inlineStr">
        <is>
          <t>幼教资料</t>
        </is>
      </c>
      <c r="T2212" t="inlineStr">
        <is>
          <t>1.07</t>
        </is>
      </c>
      <c r="U2212" s="3">
        <v>46112.78107638889</v>
      </c>
      <c r="V2212"/>
      <c r="W2212" s="3">
        <v>46094</v>
      </c>
      <c r="X2212" t="inlineStr">
        <is>
          <t>03</t>
        </is>
      </c>
      <c r="Y2212" t="inlineStr">
        <is>
          <t>2026-Q1</t>
        </is>
      </c>
    </row>
    <row r="2213" ht="38.25" customHeight="1">
      <c r="A2213" t="inlineStr">
        <is>
          <t>六年级家长会PPT（含课件+逐字稿）：山水一程三生有幸</t>
        </is>
      </c>
      <c r="B2213" t="inlineStr">
        <is>
          <t>recvdJNf43cCW6.jpg</t>
        </is>
      </c>
      <c r="C2213" s="2" t="str">
        <f>=HYPERLINK("https://xhslink.com/m/8ZYQxm7CS8", "https://xhslink.com/m/8ZYQxm7CS8")</f>
        <v>https://xhslink.com/m/8ZYQxm7CS8</v>
      </c>
      <c r="D2213"/>
      <c r="E2213">
        <v>3188</v>
      </c>
      <c r="F2213">
        <v>99</v>
      </c>
      <c r="G2213"/>
      <c r="H2213">
        <v>150</v>
      </c>
      <c r="I2213"/>
      <c r="J2213"/>
      <c r="K2213" t="inlineStr">
        <is>
          <t>课件</t>
        </is>
      </c>
      <c r="L2213"/>
      <c r="M2213" t="inlineStr">
        <is>
          <t>班主任林老师的店</t>
        </is>
      </c>
      <c r="N2213">
        <v>3595</v>
      </c>
      <c r="O2213">
        <v>4.41</v>
      </c>
      <c r="P2213">
        <v>12000</v>
      </c>
      <c r="Q2213" t="inlineStr">
        <is>
          <t>67f4d919b2c30c0001b677a9</t>
        </is>
      </c>
      <c r="R2213" t="inlineStr">
        <is>
          <t>🚫重复</t>
        </is>
      </c>
      <c r="S2213" t="inlineStr">
        <is>
          <t>PPT模板</t>
        </is>
      </c>
      <c r="T2213" t="inlineStr">
        <is>
          <t>0.89</t>
        </is>
      </c>
      <c r="U2213" s="3">
        <v>46112.78107638889</v>
      </c>
      <c r="V2213"/>
      <c r="W2213" s="3">
        <v>46094</v>
      </c>
      <c r="X2213" t="inlineStr">
        <is>
          <t>03</t>
        </is>
      </c>
      <c r="Y2213" t="inlineStr">
        <is>
          <t>2026-Q1</t>
        </is>
      </c>
    </row>
    <row r="2214" ht="38.25" customHeight="1">
      <c r="A2214" t="inlineStr">
        <is>
          <t>AE动态课-动态大入门</t>
        </is>
      </c>
      <c r="B2214" t="inlineStr">
        <is>
          <t>recvdJNf43NgEO.jpg</t>
        </is>
      </c>
      <c r="C2214" s="2" t="str">
        <f>=HYPERLINK("https://xhslink.com/m/1otP3lyMWVn", "https://xhslink.com/m/1otP3lyMWVn")</f>
        <v>https://xhslink.com/m/1otP3lyMWVn</v>
      </c>
      <c r="D2214"/>
      <c r="E2214">
        <v>2013</v>
      </c>
      <c r="F2214">
        <v>139</v>
      </c>
      <c r="G2214"/>
      <c r="H2214">
        <v>150</v>
      </c>
      <c r="I2214"/>
      <c r="J2214"/>
      <c r="K2214" t="inlineStr">
        <is>
          <t>课件</t>
        </is>
      </c>
      <c r="L2214" t="inlineStr">
        <is>
          <t>🔥低粉爆款</t>
        </is>
      </c>
      <c r="M2214" t="inlineStr">
        <is>
          <t>大象转身艺术设计的店</t>
        </is>
      </c>
      <c r="N2214">
        <v>264</v>
      </c>
      <c r="O2214">
        <v>4.34</v>
      </c>
      <c r="P2214">
        <v>2056</v>
      </c>
      <c r="Q2214" t="inlineStr">
        <is>
          <t>65b76ea1201b8700016546ce</t>
        </is>
      </c>
      <c r="R2214"/>
      <c r="S2214" t="inlineStr">
        <is>
          <t>无匹配类别</t>
        </is>
      </c>
      <c r="T2214" t="inlineStr">
        <is>
          <t>7.62</t>
        </is>
      </c>
      <c r="U2214" s="3">
        <v>46112.78107638889</v>
      </c>
      <c r="V2214"/>
      <c r="W2214" s="3">
        <v>46094</v>
      </c>
      <c r="X2214" t="inlineStr">
        <is>
          <t>03</t>
        </is>
      </c>
      <c r="Y2214" t="inlineStr">
        <is>
          <t>2026-Q1</t>
        </is>
      </c>
    </row>
    <row r="2215" ht="38.25" customHeight="1">
      <c r="A2215" t="inlineStr">
        <is>
          <t>小学体育室内活动视频课件｜不出教室也能充分运动｜孩子超喜欢</t>
        </is>
      </c>
      <c r="B2215" t="inlineStr">
        <is>
          <t>recvdJNf434IPF.jpg</t>
        </is>
      </c>
      <c r="C2215" s="2" t="str">
        <f>=HYPERLINK("https://xhslink.com/m/50Plipolrbl", "https://xhslink.com/m/50Plipolrbl")</f>
        <v>https://xhslink.com/m/50Plipolrbl</v>
      </c>
      <c r="D2215"/>
      <c r="E2215">
        <v>1095</v>
      </c>
      <c r="F2215">
        <v>99.9</v>
      </c>
      <c r="G2215"/>
      <c r="H2215">
        <v>150</v>
      </c>
      <c r="I2215"/>
      <c r="J2215"/>
      <c r="K2215" t="inlineStr">
        <is>
          <t>课件</t>
        </is>
      </c>
      <c r="L2215"/>
      <c r="M2215" t="inlineStr">
        <is>
          <t>飞悦远方的店</t>
        </is>
      </c>
      <c r="N2215">
        <v>1211</v>
      </c>
      <c r="O2215">
        <v>4.55</v>
      </c>
      <c r="P2215">
        <v>2758</v>
      </c>
      <c r="Q2215" t="inlineStr">
        <is>
          <t>695b6ab4bd92f50001987161</t>
        </is>
      </c>
      <c r="R2215"/>
      <c r="S2215" t="inlineStr">
        <is>
          <t>中小学教辅/教材</t>
        </is>
      </c>
      <c r="T2215" t="inlineStr">
        <is>
          <t>0.90</t>
        </is>
      </c>
      <c r="U2215" s="3">
        <v>46112.78107638889</v>
      </c>
      <c r="V2215"/>
      <c r="W2215" s="3">
        <v>46094</v>
      </c>
      <c r="X2215" t="inlineStr">
        <is>
          <t>03</t>
        </is>
      </c>
      <c r="Y2215" t="inlineStr">
        <is>
          <t>2026-Q1</t>
        </is>
      </c>
    </row>
    <row r="2216" ht="38.25" customHeight="1">
      <c r="A2216" t="inlineStr">
        <is>
          <t>初中物理网课B站于总CEO八九年级视频课课件习题讲义完结版全集</t>
        </is>
      </c>
      <c r="B2216" t="inlineStr">
        <is>
          <t>recvdJNf43tipG.jpg</t>
        </is>
      </c>
      <c r="C2216" s="2" t="str">
        <f>=HYPERLINK("https://xhslink.com/m/9BuNNiklVar", "https://xhslink.com/m/9BuNNiklVar")</f>
        <v>https://xhslink.com/m/9BuNNiklVar</v>
      </c>
      <c r="D2216"/>
      <c r="E2216">
        <v>796</v>
      </c>
      <c r="F2216">
        <v>88.8</v>
      </c>
      <c r="G2216"/>
      <c r="H2216">
        <v>250</v>
      </c>
      <c r="I2216"/>
      <c r="J2216"/>
      <c r="K2216" t="inlineStr">
        <is>
          <t>课件</t>
        </is>
      </c>
      <c r="L2216"/>
      <c r="M2216" t="inlineStr">
        <is>
          <t>零点的店</t>
        </is>
      </c>
      <c r="N2216">
        <v>337</v>
      </c>
      <c r="O2216">
        <v>4.4</v>
      </c>
      <c r="P2216">
        <v>1362</v>
      </c>
      <c r="Q2216" t="inlineStr">
        <is>
          <t>68f0f65553446d000139792d</t>
        </is>
      </c>
      <c r="R2216" t="inlineStr">
        <is>
          <t>🚫重复</t>
        </is>
      </c>
      <c r="S2216" t="inlineStr">
        <is>
          <t>中小学教辅/教材</t>
        </is>
      </c>
      <c r="T2216" t="inlineStr">
        <is>
          <t>2.36</t>
        </is>
      </c>
      <c r="U2216" s="3">
        <v>46112.78107638889</v>
      </c>
      <c r="V2216"/>
      <c r="W2216" s="3">
        <v>46094</v>
      </c>
      <c r="X2216" t="inlineStr">
        <is>
          <t>03</t>
        </is>
      </c>
      <c r="Y2216" t="inlineStr">
        <is>
          <t>2026-Q1</t>
        </is>
      </c>
    </row>
    <row r="2217" ht="38.25" customHeight="1">
      <c r="A2217" t="inlineStr">
        <is>
          <t>笔记同款【NO:1-25】主题班会PPT课件+讲稿+教案中小学主题班队会</t>
        </is>
      </c>
      <c r="B2217" t="inlineStr">
        <is>
          <t>recvdJNf43j2Pc.jpg</t>
        </is>
      </c>
      <c r="C2217" s="2" t="str">
        <f>=HYPERLINK("https://xhslink.com/m/7qTJgWCbB2M", "https://xhslink.com/m/7qTJgWCbB2M")</f>
        <v>https://xhslink.com/m/7qTJgWCbB2M</v>
      </c>
      <c r="D2217"/>
      <c r="E2217">
        <v>4768</v>
      </c>
      <c r="F2217">
        <v>8.9</v>
      </c>
      <c r="G2217"/>
      <c r="H2217">
        <v>100</v>
      </c>
      <c r="I2217">
        <v>4000</v>
      </c>
      <c r="J2217"/>
      <c r="K2217" t="inlineStr">
        <is>
          <t>主题班会PPT</t>
        </is>
      </c>
      <c r="L2217" t="inlineStr">
        <is>
          <t>🔥低粉爆款</t>
        </is>
      </c>
      <c r="M2217" t="inlineStr">
        <is>
          <t>米老师PPT的店</t>
        </is>
      </c>
      <c r="N2217">
        <v>1370</v>
      </c>
      <c r="O2217">
        <v>4.56</v>
      </c>
      <c r="P2217">
        <v>13000</v>
      </c>
      <c r="Q2217" t="inlineStr">
        <is>
          <t>68bfe10d5e5b2f0001392952</t>
        </is>
      </c>
      <c r="R2217" t="inlineStr">
        <is>
          <t>🚫重复</t>
        </is>
      </c>
      <c r="S2217" t="inlineStr">
        <is>
          <t>中小学教辅/教材</t>
        </is>
      </c>
      <c r="T2217" t="inlineStr">
        <is>
          <t>3.48</t>
        </is>
      </c>
      <c r="U2217" s="3">
        <v>46112.78107638889</v>
      </c>
      <c r="V2217"/>
      <c r="W2217" s="3">
        <v>46094</v>
      </c>
      <c r="X2217" t="inlineStr">
        <is>
          <t>03</t>
        </is>
      </c>
      <c r="Y2217" t="inlineStr">
        <is>
          <t>2026-Q1</t>
        </is>
      </c>
    </row>
    <row r="2218" ht="38.25" customHeight="1">
      <c r="A2218" t="inlineStr">
        <is>
          <t>【限时8.8】中小学主题班会通用PPT模板 · 含各年级班会课件合集~</t>
        </is>
      </c>
      <c r="B2218" t="inlineStr">
        <is>
          <t>recvdJNf43YV6f.jpg</t>
        </is>
      </c>
      <c r="C2218" s="2" t="str">
        <f>=HYPERLINK("https://xhslink.com/m/VhwfM7Hsm1", "https://xhslink.com/m/VhwfM7Hsm1")</f>
        <v>https://xhslink.com/m/VhwfM7Hsm1</v>
      </c>
      <c r="D2218"/>
      <c r="E2218">
        <v>389</v>
      </c>
      <c r="F2218">
        <v>29.9</v>
      </c>
      <c r="G2218"/>
      <c r="H2218">
        <v>150</v>
      </c>
      <c r="I2218"/>
      <c r="J2218"/>
      <c r="K2218" t="inlineStr">
        <is>
          <t>主题班会PPT</t>
        </is>
      </c>
      <c r="L2218"/>
      <c r="M2218" t="inlineStr">
        <is>
          <t>小月老师吖的店</t>
        </is>
      </c>
      <c r="N2218">
        <v>312</v>
      </c>
      <c r="O2218">
        <v>4.39</v>
      </c>
      <c r="P2218">
        <v>2535</v>
      </c>
      <c r="Q2218" t="inlineStr">
        <is>
          <t>6932d2f16911000001621ea6</t>
        </is>
      </c>
      <c r="R2218" t="inlineStr">
        <is>
          <t>🚫重复</t>
        </is>
      </c>
      <c r="S2218" t="inlineStr">
        <is>
          <t>PPT模板</t>
        </is>
      </c>
      <c r="T2218" t="inlineStr">
        <is>
          <t>1.25</t>
        </is>
      </c>
      <c r="U2218" s="3">
        <v>46112.78107638889</v>
      </c>
      <c r="V2218"/>
      <c r="W2218" s="3">
        <v>46094</v>
      </c>
      <c r="X2218" t="inlineStr">
        <is>
          <t>03</t>
        </is>
      </c>
      <c r="Y2218" t="inlineStr">
        <is>
          <t>2026-Q1</t>
        </is>
      </c>
    </row>
    <row r="2219" ht="38.25" customHeight="1">
      <c r="A2219" t="inlineStr">
        <is>
          <t>PPT模板 多风格多用途定制级 打包20套 支持Win/Mac 无水印</t>
        </is>
      </c>
      <c r="B2219" t="inlineStr">
        <is>
          <t>recvdJNf43ZVwD.jpg</t>
        </is>
      </c>
      <c r="C2219" s="2" t="str">
        <f>=HYPERLINK("https://xhslink.com/m/AwjQMdOP5L4", "https://xhslink.com/m/AwjQMdOP5L4")</f>
        <v>https://xhslink.com/m/AwjQMdOP5L4</v>
      </c>
      <c r="D2219"/>
      <c r="E2219">
        <v>1799</v>
      </c>
      <c r="F2219">
        <v>189.99</v>
      </c>
      <c r="G2219"/>
      <c r="H2219">
        <v>200</v>
      </c>
      <c r="I2219">
        <v>1000</v>
      </c>
      <c r="J2219"/>
      <c r="K2219" t="inlineStr">
        <is>
          <t>PPT定制</t>
        </is>
      </c>
      <c r="L2219"/>
      <c r="M2219" t="inlineStr">
        <is>
          <t>毛球PPT模板的店</t>
        </is>
      </c>
      <c r="N2219">
        <v>1023</v>
      </c>
      <c r="O2219">
        <v>4.52</v>
      </c>
      <c r="P2219">
        <v>10000</v>
      </c>
      <c r="Q2219" t="inlineStr">
        <is>
          <t>678551c4fb6ac00001a66f4a</t>
        </is>
      </c>
      <c r="R2219" t="inlineStr">
        <is>
          <t>🚫重复</t>
        </is>
      </c>
      <c r="S2219" t="inlineStr">
        <is>
          <t>PPT模板</t>
        </is>
      </c>
      <c r="T2219" t="inlineStr">
        <is>
          <t>1.76</t>
        </is>
      </c>
      <c r="U2219" s="3">
        <v>46112.78107638889</v>
      </c>
      <c r="V2219"/>
      <c r="W2219" s="3">
        <v>46094</v>
      </c>
      <c r="X2219" t="inlineStr">
        <is>
          <t>03</t>
        </is>
      </c>
      <c r="Y2219" t="inlineStr">
        <is>
          <t>2026-Q1</t>
        </is>
      </c>
    </row>
    <row r="2220" ht="38.25" customHeight="1">
      <c r="A2220" t="inlineStr">
        <is>
          <t>300部BBC推荐英语启蒙动画分级学习磨耳朵跟读练口语听力</t>
        </is>
      </c>
      <c r="B2220" t="inlineStr">
        <is>
          <t>recvdJNf43ita7.jpg</t>
        </is>
      </c>
      <c r="C2220" s="2" t="str">
        <f>=HYPERLINK("https://xhslink.com/m/2vOozlS2gu3", "https://xhslink.com/m/2vOozlS2gu3")</f>
        <v>https://xhslink.com/m/2vOozlS2gu3</v>
      </c>
      <c r="D2220"/>
      <c r="E2220">
        <v>673</v>
      </c>
      <c r="F2220">
        <v>49.9</v>
      </c>
      <c r="G2220">
        <v>39.9</v>
      </c>
      <c r="H2220">
        <v>100</v>
      </c>
      <c r="I2220"/>
      <c r="J2220"/>
      <c r="K2220" t="inlineStr">
        <is>
          <t>听力磨耳朵</t>
        </is>
      </c>
      <c r="L2220"/>
      <c r="M2220" t="inlineStr">
        <is>
          <t>英语动画ToonTalk English的店</t>
        </is>
      </c>
      <c r="N2220">
        <v>45000</v>
      </c>
      <c r="O2220">
        <v>4.05</v>
      </c>
      <c r="P2220">
        <v>351</v>
      </c>
      <c r="Q2220" t="inlineStr">
        <is>
          <t>69397c9933f9b300014fc777</t>
        </is>
      </c>
      <c r="R2220"/>
      <c r="S2220" t="inlineStr">
        <is>
          <t>英语资料</t>
        </is>
      </c>
      <c r="T2220" t="inlineStr">
        <is>
          <t>0.01</t>
        </is>
      </c>
      <c r="U2220" s="3">
        <v>46112.78107638889</v>
      </c>
      <c r="V2220"/>
      <c r="W2220" s="3">
        <v>46094</v>
      </c>
      <c r="X2220" t="inlineStr">
        <is>
          <t>03</t>
        </is>
      </c>
      <c r="Y2220" t="inlineStr">
        <is>
          <t>2026-Q1</t>
        </is>
      </c>
    </row>
    <row r="2221" ht="38.25" customHeight="1">
      <c r="A2221" t="inlineStr">
        <is>
          <t>英语小短文|长期更新|音频+PDF文档+点读|英语慢速跟读|电子版</t>
        </is>
      </c>
      <c r="B2221" t="inlineStr">
        <is>
          <t>recvdJNf43YWI6.jpg</t>
        </is>
      </c>
      <c r="C2221" s="2" t="str">
        <f>=HYPERLINK("https://xhslink.com/m/5i7WfmEhzzr", "https://xhslink.com/m/5i7WfmEhzzr")</f>
        <v>https://xhslink.com/m/5i7WfmEhzzr</v>
      </c>
      <c r="D2221"/>
      <c r="E2221">
        <v>12000</v>
      </c>
      <c r="F2221">
        <v>29.9</v>
      </c>
      <c r="G2221"/>
      <c r="H2221">
        <v>100</v>
      </c>
      <c r="I2221"/>
      <c r="J2221"/>
      <c r="K2221" t="inlineStr">
        <is>
          <t>英语小短文</t>
        </is>
      </c>
      <c r="L2221"/>
      <c r="M2221" t="inlineStr">
        <is>
          <t>萌趣英语慢速跟读的店</t>
        </is>
      </c>
      <c r="N2221">
        <v>176000</v>
      </c>
      <c r="O2221">
        <v>4.59</v>
      </c>
      <c r="P2221">
        <v>41000</v>
      </c>
      <c r="Q2221" t="inlineStr">
        <is>
          <t>666edb72a9c8b7000131c01d</t>
        </is>
      </c>
      <c r="R2221"/>
      <c r="S2221" t="inlineStr">
        <is>
          <t>英语资料</t>
        </is>
      </c>
      <c r="T2221" t="inlineStr">
        <is>
          <t>0.07</t>
        </is>
      </c>
      <c r="U2221" s="3">
        <v>46112.78107638889</v>
      </c>
      <c r="V2221"/>
      <c r="W2221" s="3">
        <v>46094</v>
      </c>
      <c r="X2221" t="inlineStr">
        <is>
          <t>03</t>
        </is>
      </c>
      <c r="Y2221" t="inlineStr">
        <is>
          <t>2026-Q1</t>
        </is>
      </c>
    </row>
    <row r="2222" ht="38.25" customHeight="1">
      <c r="A2222" t="inlineStr">
        <is>
          <t>教师/班主任学习指南</t>
        </is>
      </c>
      <c r="B2222" t="inlineStr">
        <is>
          <t>recvdJNf43jL4b.jpg</t>
        </is>
      </c>
      <c r="C2222" s="2" t="str">
        <f>=HYPERLINK("https://xhslink.com/m/8SikLE3O5Cw", "https://xhslink.com/m/8SikLE3O5Cw")</f>
        <v>https://xhslink.com/m/8SikLE3O5Cw</v>
      </c>
      <c r="D2222"/>
      <c r="E2222">
        <v>743</v>
      </c>
      <c r="F2222">
        <v>9.9</v>
      </c>
      <c r="G2222"/>
      <c r="H2222">
        <v>100</v>
      </c>
      <c r="I2222"/>
      <c r="J2222"/>
      <c r="K2222" t="inlineStr">
        <is>
          <t>班主任</t>
        </is>
      </c>
      <c r="L2222"/>
      <c r="M2222" t="inlineStr">
        <is>
          <t>朱～～的店</t>
        </is>
      </c>
      <c r="N2222">
        <v>1151</v>
      </c>
      <c r="O2222">
        <v>3.94</v>
      </c>
      <c r="P2222">
        <v>1382</v>
      </c>
      <c r="Q2222" t="inlineStr">
        <is>
          <t>68907b2179bc4700013e3b8d</t>
        </is>
      </c>
      <c r="R2222"/>
      <c r="S2222" t="inlineStr">
        <is>
          <t>老师资料</t>
        </is>
      </c>
      <c r="T2222" t="inlineStr">
        <is>
          <t>0.65</t>
        </is>
      </c>
      <c r="U2222" s="3">
        <v>46112.78107638889</v>
      </c>
      <c r="V2222"/>
      <c r="W2222" s="3">
        <v>46094</v>
      </c>
      <c r="X2222" t="inlineStr">
        <is>
          <t>03</t>
        </is>
      </c>
      <c r="Y2222" t="inlineStr">
        <is>
          <t>2026-Q1</t>
        </is>
      </c>
    </row>
    <row r="2223" ht="38.25" customHeight="1">
      <c r="A2223" t="inlineStr">
        <is>
          <t>【限时8.8】中小学 教师培训经验分享PPT</t>
        </is>
      </c>
      <c r="B2223" t="inlineStr">
        <is>
          <t>recvdJNf43SWXo.jpg</t>
        </is>
      </c>
      <c r="C2223" s="2" t="str">
        <f>=HYPERLINK("https://xhslink.com/m/56ZoE78SPBb", "https://xhslink.com/m/56ZoE78SPBb")</f>
        <v>https://xhslink.com/m/56ZoE78SPBb</v>
      </c>
      <c r="D2223"/>
      <c r="E2223">
        <v>655</v>
      </c>
      <c r="F2223">
        <v>8.8</v>
      </c>
      <c r="G2223"/>
      <c r="H2223">
        <v>200</v>
      </c>
      <c r="I2223"/>
      <c r="J2223"/>
      <c r="K2223" t="inlineStr">
        <is>
          <t>班主任</t>
        </is>
      </c>
      <c r="L2223"/>
      <c r="M2223" t="inlineStr">
        <is>
          <t>嘉嘉超努力的店</t>
        </is>
      </c>
      <c r="N2223">
        <v>1225</v>
      </c>
      <c r="O2223">
        <v>4.54</v>
      </c>
      <c r="P2223">
        <v>6572</v>
      </c>
      <c r="Q2223" t="inlineStr">
        <is>
          <t>69045f2d5b9deb00015966ad</t>
        </is>
      </c>
      <c r="R2223" t="inlineStr">
        <is>
          <t>🚫重复</t>
        </is>
      </c>
      <c r="S2223" t="inlineStr">
        <is>
          <t>PPT模板</t>
        </is>
      </c>
      <c r="T2223" t="inlineStr">
        <is>
          <t>0.53</t>
        </is>
      </c>
      <c r="U2223" s="3">
        <v>46112.78107638889</v>
      </c>
      <c r="V2223"/>
      <c r="W2223" s="3">
        <v>46094</v>
      </c>
      <c r="X2223" t="inlineStr">
        <is>
          <t>03</t>
        </is>
      </c>
      <c r="Y2223" t="inlineStr">
        <is>
          <t>2026-Q1</t>
        </is>
      </c>
    </row>
    <row r="2224" ht="38.25" customHeight="1">
      <c r="A2224" t="inlineStr">
        <is>
          <t>AI赋能的知识通道（赠送幸运兑换码）</t>
        </is>
      </c>
      <c r="B2224" t="inlineStr">
        <is>
          <t>recvdJNf434eUy.jpg</t>
        </is>
      </c>
      <c r="C2224" s="2" t="str">
        <f>=HYPERLINK("https://xhslink.com/m/2kL1fNspRv0", "https://xhslink.com/m/2kL1fNspRv0")</f>
        <v>https://xhslink.com/m/2kL1fNspRv0</v>
      </c>
      <c r="D2224"/>
      <c r="E2224">
        <v>511</v>
      </c>
      <c r="F2224">
        <v>500</v>
      </c>
      <c r="G2224"/>
      <c r="H2224">
        <v>250</v>
      </c>
      <c r="I2224"/>
      <c r="J2224"/>
      <c r="K2224" t="inlineStr">
        <is>
          <t>ai赋能</t>
        </is>
      </c>
      <c r="L2224"/>
      <c r="M2224" t="inlineStr">
        <is>
          <t>AGI的店</t>
        </is>
      </c>
      <c r="N2224">
        <v>238</v>
      </c>
      <c r="O2224">
        <v>4.24</v>
      </c>
      <c r="P2224">
        <v>529</v>
      </c>
      <c r="Q2224" t="inlineStr">
        <is>
          <t>696f2f19eb2ffb0001fb2865</t>
        </is>
      </c>
      <c r="R2224" t="inlineStr">
        <is>
          <t>🚫重复</t>
        </is>
      </c>
      <c r="S2224" t="inlineStr">
        <is>
          <t>AI</t>
        </is>
      </c>
      <c r="T2224" t="inlineStr">
        <is>
          <t>2.15</t>
        </is>
      </c>
      <c r="U2224" s="3">
        <v>46112.78107638889</v>
      </c>
      <c r="V2224"/>
      <c r="W2224" s="3">
        <v>46094</v>
      </c>
      <c r="X2224" t="inlineStr">
        <is>
          <t>03</t>
        </is>
      </c>
      <c r="Y2224" t="inlineStr">
        <is>
          <t>2026-Q1</t>
        </is>
      </c>
    </row>
    <row r="2225" ht="38.25" customHeight="1">
      <c r="A2225" t="inlineStr">
        <is>
          <t>2026事业单位网课ABCDE分类综合应用能力公基职测网课</t>
        </is>
      </c>
      <c r="B2225" t="inlineStr">
        <is>
          <t>recvdJNf43bO9h.jpg</t>
        </is>
      </c>
      <c r="C2225" s="2" t="str">
        <f>=HYPERLINK("https://xhslink.com/m/7q5pG3vxBcn", "https://xhslink.com/m/7q5pG3vxBcn")</f>
        <v>https://xhslink.com/m/7q5pG3vxBcn</v>
      </c>
      <c r="D2225"/>
      <c r="E2225">
        <v>3102</v>
      </c>
      <c r="F2225">
        <v>9.9</v>
      </c>
      <c r="G2225"/>
      <c r="H2225">
        <v>200</v>
      </c>
      <c r="I2225">
        <v>1000</v>
      </c>
      <c r="J2225"/>
      <c r="K2225" t="inlineStr">
        <is>
          <t>事业编</t>
        </is>
      </c>
      <c r="L2225" t="inlineStr">
        <is>
          <t>🔥低粉爆款</t>
        </is>
      </c>
      <c r="M2225" t="inlineStr">
        <is>
          <t>华文书阁资讯的店</t>
        </is>
      </c>
      <c r="N2225">
        <v>732</v>
      </c>
      <c r="O2225">
        <v>4.36</v>
      </c>
      <c r="P2225">
        <v>6740</v>
      </c>
      <c r="Q2225" t="inlineStr">
        <is>
          <t>67b623a5fb962200016a64aa</t>
        </is>
      </c>
      <c r="R2225"/>
      <c r="S2225" t="inlineStr">
        <is>
          <t>考公资料</t>
        </is>
      </c>
      <c r="T2225" t="inlineStr">
        <is>
          <t>4.24</t>
        </is>
      </c>
      <c r="U2225" s="3">
        <v>46112.78107638889</v>
      </c>
      <c r="V2225"/>
      <c r="W2225" s="3">
        <v>46094</v>
      </c>
      <c r="X2225" t="inlineStr">
        <is>
          <t>03</t>
        </is>
      </c>
      <c r="Y2225" t="inlineStr">
        <is>
          <t>2026-Q1</t>
        </is>
      </c>
    </row>
    <row r="2226" ht="38.25" customHeight="1">
      <c r="A2226" t="inlineStr">
        <is>
          <t>26事业单位招聘考试题库APP/公基/职测/综合应用</t>
        </is>
      </c>
      <c r="B2226" t="inlineStr">
        <is>
          <t>recvdJNf43GNzf.jpg</t>
        </is>
      </c>
      <c r="C2226" s="2" t="str">
        <f>=HYPERLINK("https://xhslink.com/m/89XlJpJJMq4", "https://xhslink.com/m/89XlJpJJMq4")</f>
        <v>https://xhslink.com/m/89XlJpJJMq4</v>
      </c>
      <c r="D2226"/>
      <c r="E2226">
        <v>2677</v>
      </c>
      <c r="F2226">
        <v>16.8</v>
      </c>
      <c r="G2226"/>
      <c r="H2226">
        <v>1000</v>
      </c>
      <c r="I2226">
        <v>1000</v>
      </c>
      <c r="J2226"/>
      <c r="K2226" t="inlineStr">
        <is>
          <t>事业编</t>
        </is>
      </c>
      <c r="L2226"/>
      <c r="M2226" t="inlineStr">
        <is>
          <t>土耳其的灯光的店</t>
        </is>
      </c>
      <c r="N2226">
        <v>910</v>
      </c>
      <c r="O2226">
        <v>4.57</v>
      </c>
      <c r="P2226">
        <v>4514</v>
      </c>
      <c r="Q2226" t="inlineStr">
        <is>
          <t>682196aa15cfd20001216981</t>
        </is>
      </c>
      <c r="R2226"/>
      <c r="S2226" t="inlineStr">
        <is>
          <t>软件应用</t>
        </is>
      </c>
      <c r="T2226" t="inlineStr">
        <is>
          <t>2.94</t>
        </is>
      </c>
      <c r="U2226" s="3">
        <v>46112.78107638889</v>
      </c>
      <c r="V2226"/>
      <c r="W2226" s="3">
        <v>46094</v>
      </c>
      <c r="X2226" t="inlineStr">
        <is>
          <t>03</t>
        </is>
      </c>
      <c r="Y2226" t="inlineStr">
        <is>
          <t>2026-Q1</t>
        </is>
      </c>
    </row>
    <row r="2227" ht="38.25" customHeight="1">
      <c r="A2227" t="inlineStr">
        <is>
          <t>2026全国事业编联考网课资料</t>
        </is>
      </c>
      <c r="B2227" t="inlineStr">
        <is>
          <t>recvdJNf43n8ag.jpg</t>
        </is>
      </c>
      <c r="C2227" s="2" t="str">
        <f>=HYPERLINK("https://xhslink.com/m/5cIXX8e6e29", "https://xhslink.com/m/5cIXX8e6e29")</f>
        <v>https://xhslink.com/m/5cIXX8e6e29</v>
      </c>
      <c r="D2227"/>
      <c r="E2227">
        <v>650</v>
      </c>
      <c r="F2227">
        <v>20.9</v>
      </c>
      <c r="G2227"/>
      <c r="H2227">
        <v>500</v>
      </c>
      <c r="I2227"/>
      <c r="J2227"/>
      <c r="K2227" t="inlineStr">
        <is>
          <t>事业编</t>
        </is>
      </c>
      <c r="L2227" t="inlineStr">
        <is>
          <t>🔥低粉爆款</t>
        </is>
      </c>
      <c r="M2227" t="inlineStr">
        <is>
          <t>诺诺资料小铺的店</t>
        </is>
      </c>
      <c r="N2227">
        <v>106</v>
      </c>
      <c r="O2227">
        <v>4.46</v>
      </c>
      <c r="P2227">
        <v>874</v>
      </c>
      <c r="Q2227" t="inlineStr">
        <is>
          <t>694acd38ed00c400013cd014</t>
        </is>
      </c>
      <c r="R2227"/>
      <c r="S2227" t="inlineStr">
        <is>
          <t>无匹配类别</t>
        </is>
      </c>
      <c r="T2227" t="inlineStr">
        <is>
          <t>6.13</t>
        </is>
      </c>
      <c r="U2227" s="3">
        <v>46112.78107638889</v>
      </c>
      <c r="V2227"/>
      <c r="W2227" s="3">
        <v>46094</v>
      </c>
      <c r="X2227" t="inlineStr">
        <is>
          <t>03</t>
        </is>
      </c>
      <c r="Y2227" t="inlineStr">
        <is>
          <t>2026-Q1</t>
        </is>
      </c>
    </row>
    <row r="2228" ht="38.25" customHeight="1">
      <c r="A2228" t="inlineStr">
        <is>
          <t>常识应用｜思维技巧｜广东事业单位统考</t>
        </is>
      </c>
      <c r="B2228" t="inlineStr">
        <is>
          <t>recvdJNf43Wk03.jpg</t>
        </is>
      </c>
      <c r="C2228" s="2" t="str">
        <f>=HYPERLINK("https://xhslink.com/m/16fHCfaJBAw", "https://xhslink.com/m/16fHCfaJBAw")</f>
        <v>https://xhslink.com/m/16fHCfaJBAw</v>
      </c>
      <c r="D2228"/>
      <c r="E2228">
        <v>524</v>
      </c>
      <c r="F2228">
        <v>98</v>
      </c>
      <c r="G2228"/>
      <c r="H2228">
        <v>150</v>
      </c>
      <c r="I2228"/>
      <c r="J2228"/>
      <c r="K2228" t="inlineStr">
        <is>
          <t>事业编</t>
        </is>
      </c>
      <c r="L2228"/>
      <c r="M2228" t="inlineStr">
        <is>
          <t>大耳朵何图图的店</t>
        </is>
      </c>
      <c r="N2228">
        <v>20000</v>
      </c>
      <c r="O2228">
        <v>3.97</v>
      </c>
      <c r="P2228">
        <v>1093</v>
      </c>
      <c r="Q2228" t="inlineStr">
        <is>
          <t>693c561fd1d80b000167a48b</t>
        </is>
      </c>
      <c r="R2228"/>
      <c r="S2228" t="inlineStr">
        <is>
          <t>考公资料</t>
        </is>
      </c>
      <c r="T2228" t="inlineStr">
        <is>
          <t>0.03</t>
        </is>
      </c>
      <c r="U2228" s="3">
        <v>46112.78107638889</v>
      </c>
      <c r="V2228"/>
      <c r="W2228" s="3">
        <v>46094</v>
      </c>
      <c r="X2228" t="inlineStr">
        <is>
          <t>03</t>
        </is>
      </c>
      <c r="Y2228" t="inlineStr">
        <is>
          <t>2026-Q1</t>
        </is>
      </c>
    </row>
    <row r="2229" ht="38.25" customHeight="1">
      <c r="A2229" t="inlineStr">
        <is>
          <t>2026浙江事业编资料包职测综应笔记考点真题省情时政电子版资料</t>
        </is>
      </c>
      <c r="B2229" t="inlineStr">
        <is>
          <t>recvdJNf43FL5Q.jpg</t>
        </is>
      </c>
      <c r="C2229" s="2" t="str">
        <f>=HYPERLINK("https://xhslink.com/m/Y324A1SfFc", "https://xhslink.com/m/Y324A1SfFc")</f>
        <v>https://xhslink.com/m/Y324A1SfFc</v>
      </c>
      <c r="D2229"/>
      <c r="E2229">
        <v>418</v>
      </c>
      <c r="F2229">
        <v>12.88</v>
      </c>
      <c r="G2229"/>
      <c r="H2229">
        <v>150</v>
      </c>
      <c r="I2229"/>
      <c r="J2229"/>
      <c r="K2229" t="inlineStr">
        <is>
          <t>事业编</t>
        </is>
      </c>
      <c r="L2229"/>
      <c r="M2229" t="inlineStr">
        <is>
          <t>悠悠可爱的店</t>
        </is>
      </c>
      <c r="N2229">
        <v>1205</v>
      </c>
      <c r="O2229">
        <v>4.79</v>
      </c>
      <c r="P2229">
        <v>14000</v>
      </c>
      <c r="Q2229" t="inlineStr">
        <is>
          <t>69496cbabd92f500012c139b</t>
        </is>
      </c>
      <c r="R2229" t="inlineStr">
        <is>
          <t>🚫重复</t>
        </is>
      </c>
      <c r="S2229" t="inlineStr">
        <is>
          <t>考公资料</t>
        </is>
      </c>
      <c r="T2229" t="inlineStr">
        <is>
          <t>0.35</t>
        </is>
      </c>
      <c r="U2229" s="3">
        <v>46112.78107638889</v>
      </c>
      <c r="V2229"/>
      <c r="W2229" s="3">
        <v>46094</v>
      </c>
      <c r="X2229" t="inlineStr">
        <is>
          <t>03</t>
        </is>
      </c>
      <c r="Y2229" t="inlineStr">
        <is>
          <t>2026-Q1</t>
        </is>
      </c>
    </row>
    <row r="2230" ht="38.25" customHeight="1">
      <c r="A2230" t="inlineStr">
        <is>
          <t>26国考省考事业单位课程【多机构名师网课】百度网盘群•持续更新</t>
        </is>
      </c>
      <c r="B2230" t="inlineStr">
        <is>
          <t>recvdJNf43PtLr.jpg</t>
        </is>
      </c>
      <c r="C2230" s="2" t="str">
        <f>=HYPERLINK("https://xhslink.com/m/7iXul7r2C7R", "https://xhslink.com/m/7iXul7r2C7R")</f>
        <v>https://xhslink.com/m/7iXul7r2C7R</v>
      </c>
      <c r="D2230"/>
      <c r="E2230">
        <v>375</v>
      </c>
      <c r="F2230">
        <v>3.99</v>
      </c>
      <c r="G2230"/>
      <c r="H2230">
        <v>300</v>
      </c>
      <c r="I2230"/>
      <c r="J2230"/>
      <c r="K2230" t="inlineStr">
        <is>
          <t>事业编</t>
        </is>
      </c>
      <c r="L2230"/>
      <c r="M2230" t="inlineStr">
        <is>
          <t>考试锦鲤资料站的店</t>
        </is>
      </c>
      <c r="N2230">
        <v>158</v>
      </c>
      <c r="O2230">
        <v>4.46</v>
      </c>
      <c r="P2230">
        <v>1147</v>
      </c>
      <c r="Q2230" t="inlineStr">
        <is>
          <t>696e56a7b1cba40001e7a544</t>
        </is>
      </c>
      <c r="R2230"/>
      <c r="S2230" t="inlineStr">
        <is>
          <t>考公资料</t>
        </is>
      </c>
      <c r="T2230" t="inlineStr">
        <is>
          <t>2.37</t>
        </is>
      </c>
      <c r="U2230" s="3">
        <v>46112.78107638889</v>
      </c>
      <c r="V2230"/>
      <c r="W2230" s="3">
        <v>46094</v>
      </c>
      <c r="X2230" t="inlineStr">
        <is>
          <t>03</t>
        </is>
      </c>
      <c r="Y2230" t="inlineStr">
        <is>
          <t>2026-Q1</t>
        </is>
      </c>
    </row>
    <row r="2231" ht="38.25" customHeight="1">
      <c r="A2231" t="inlineStr">
        <is>
          <t>26广东事业编备考资料</t>
        </is>
      </c>
      <c r="B2231" t="inlineStr">
        <is>
          <t>recvdJNf43QTew.jpg</t>
        </is>
      </c>
      <c r="C2231" s="2" t="str">
        <f>=HYPERLINK("https://xhslink.com/m/7rpcmz1z32v", "https://xhslink.com/m/7rpcmz1z32v")</f>
        <v>https://xhslink.com/m/7rpcmz1z32v</v>
      </c>
      <c r="D2231"/>
      <c r="E2231">
        <v>352</v>
      </c>
      <c r="F2231">
        <v>0.99</v>
      </c>
      <c r="G2231"/>
      <c r="H2231">
        <v>100</v>
      </c>
      <c r="I2231"/>
      <c r="J2231"/>
      <c r="K2231" t="inlineStr">
        <is>
          <t>事业编</t>
        </is>
      </c>
      <c r="L2231"/>
      <c r="M2231" t="inlineStr">
        <is>
          <t>肉肉要努力哦的店</t>
        </is>
      </c>
      <c r="N2231">
        <v>325</v>
      </c>
      <c r="O2231">
        <v>3.94</v>
      </c>
      <c r="P2231">
        <v>935</v>
      </c>
      <c r="Q2231" t="inlineStr">
        <is>
          <t>695d121c44a502000103e5f3</t>
        </is>
      </c>
      <c r="R2231"/>
      <c r="S2231" t="inlineStr">
        <is>
          <t>考公资料</t>
        </is>
      </c>
      <c r="T2231" t="inlineStr">
        <is>
          <t>1.08</t>
        </is>
      </c>
      <c r="U2231" s="3">
        <v>46112.78107638889</v>
      </c>
      <c r="V2231"/>
      <c r="W2231" s="3">
        <v>46094</v>
      </c>
      <c r="X2231" t="inlineStr">
        <is>
          <t>03</t>
        </is>
      </c>
      <c r="Y2231" t="inlineStr">
        <is>
          <t>2026-Q1</t>
        </is>
      </c>
    </row>
    <row r="2232" ht="38.25" customHeight="1">
      <c r="A2232" t="inlineStr">
        <is>
          <t>含25年浙江事业单位统考笔试历年真题PDF版含答案电子版资料</t>
        </is>
      </c>
      <c r="B2232" t="inlineStr">
        <is>
          <t>recvdJNf43kv7u.jpg</t>
        </is>
      </c>
      <c r="C2232" s="2" t="str">
        <f>=HYPERLINK("https://xhslink.com/m/1UXnN6aa7bS", "https://xhslink.com/m/1UXnN6aa7bS")</f>
        <v>https://xhslink.com/m/1UXnN6aa7bS</v>
      </c>
      <c r="D2232"/>
      <c r="E2232">
        <v>374</v>
      </c>
      <c r="F2232">
        <v>3.99</v>
      </c>
      <c r="G2232"/>
      <c r="H2232">
        <v>100</v>
      </c>
      <c r="I2232"/>
      <c r="J2232"/>
      <c r="K2232" t="inlineStr">
        <is>
          <t>事业编</t>
        </is>
      </c>
      <c r="L2232"/>
      <c r="M2232" t="inlineStr">
        <is>
          <t>上岸的墨仔的店</t>
        </is>
      </c>
      <c r="N2232">
        <v>1026</v>
      </c>
      <c r="O2232">
        <v>4.52</v>
      </c>
      <c r="P2232">
        <v>10000</v>
      </c>
      <c r="Q2232" t="inlineStr">
        <is>
          <t>68cacd619c4f880001d80b61</t>
        </is>
      </c>
      <c r="R2232" t="inlineStr">
        <is>
          <t>🚫重复</t>
        </is>
      </c>
      <c r="S2232" t="inlineStr">
        <is>
          <t>无匹配类别</t>
        </is>
      </c>
      <c r="T2232" t="inlineStr">
        <is>
          <t>0.36</t>
        </is>
      </c>
      <c r="U2232" s="3">
        <v>46112.78107638889</v>
      </c>
      <c r="V2232"/>
      <c r="W2232" s="3">
        <v>46094</v>
      </c>
      <c r="X2232" t="inlineStr">
        <is>
          <t>03</t>
        </is>
      </c>
      <c r="Y2232" t="inlineStr">
        <is>
          <t>2026-Q1</t>
        </is>
      </c>
    </row>
    <row r="2233" ht="38.25" customHeight="1">
      <c r="A2233" t="inlineStr">
        <is>
          <t>江苏事业编计算机专技岗｜备考咨询+资料包</t>
        </is>
      </c>
      <c r="B2233" t="inlineStr">
        <is>
          <t>recvdJNf43FPKk.jpg</t>
        </is>
      </c>
      <c r="C2233" s="2" t="str">
        <f>=HYPERLINK("https://xhslink.com/m/2oBSdMjWhzZ", "https://xhslink.com/m/2oBSdMjWhzZ")</f>
        <v>https://xhslink.com/m/2oBSdMjWhzZ</v>
      </c>
      <c r="D2233"/>
      <c r="E2233">
        <v>307</v>
      </c>
      <c r="F2233">
        <v>158</v>
      </c>
      <c r="G2233"/>
      <c r="H2233">
        <v>150</v>
      </c>
      <c r="I2233"/>
      <c r="J2233"/>
      <c r="K2233" t="inlineStr">
        <is>
          <t>事业编</t>
        </is>
      </c>
      <c r="L2233"/>
      <c r="M2233" t="inlineStr">
        <is>
          <t>sparkyaaaa的店</t>
        </is>
      </c>
      <c r="N2233">
        <v>1637</v>
      </c>
      <c r="O2233">
        <v>4.23</v>
      </c>
      <c r="P2233">
        <v>357</v>
      </c>
      <c r="Q2233" t="inlineStr">
        <is>
          <t>6954f0ddb8f0bb00013f50fd</t>
        </is>
      </c>
      <c r="R2233"/>
      <c r="S2233" t="inlineStr">
        <is>
          <t>咨询服务</t>
        </is>
      </c>
      <c r="T2233" t="inlineStr">
        <is>
          <t>0.19</t>
        </is>
      </c>
      <c r="U2233" s="3">
        <v>46112.78107638889</v>
      </c>
      <c r="V2233"/>
      <c r="W2233" s="3">
        <v>46094</v>
      </c>
      <c r="X2233" t="inlineStr">
        <is>
          <t>03</t>
        </is>
      </c>
      <c r="Y2233" t="inlineStr">
        <is>
          <t>2026-Q1</t>
        </is>
      </c>
    </row>
    <row r="2234" ht="38.25" customHeight="1">
      <c r="A2234" t="inlineStr">
        <is>
          <t>雅思大小作文冲刺6.5分（保命文档）已帮助上千宝子成功上岸！</t>
        </is>
      </c>
      <c r="B2234" t="inlineStr">
        <is>
          <t>recvdJNf43BxNt.jpg</t>
        </is>
      </c>
      <c r="C2234" s="2" t="str">
        <f>=HYPERLINK("https://xhslink.com/m/1IOhVn6rxtU", "https://xhslink.com/m/1IOhVn6rxtU")</f>
        <v>https://xhslink.com/m/1IOhVn6rxtU</v>
      </c>
      <c r="D2234"/>
      <c r="E2234">
        <v>16000</v>
      </c>
      <c r="F2234">
        <v>69</v>
      </c>
      <c r="G2234"/>
      <c r="H2234">
        <v>300</v>
      </c>
      <c r="I2234"/>
      <c r="J2234"/>
      <c r="K2234" t="inlineStr">
        <is>
          <t>雅思</t>
        </is>
      </c>
      <c r="L2234"/>
      <c r="M2234" t="inlineStr">
        <is>
          <t>考雅过过过的店</t>
        </is>
      </c>
      <c r="N2234">
        <v>21000</v>
      </c>
      <c r="O2234">
        <v>4.53</v>
      </c>
      <c r="P2234">
        <v>40000</v>
      </c>
      <c r="Q2234" t="inlineStr">
        <is>
          <t>66d5eea90cfd4b000148eb1e</t>
        </is>
      </c>
      <c r="R2234" t="inlineStr">
        <is>
          <t>🚫重复</t>
        </is>
      </c>
      <c r="S2234" t="inlineStr">
        <is>
          <t>英语资料</t>
        </is>
      </c>
      <c r="T2234" t="inlineStr">
        <is>
          <t>0.76</t>
        </is>
      </c>
      <c r="U2234" s="3">
        <v>46112.78107638889</v>
      </c>
      <c r="V2234"/>
      <c r="W2234" s="3">
        <v>46094</v>
      </c>
      <c r="X2234" t="inlineStr">
        <is>
          <t>03</t>
        </is>
      </c>
      <c r="Y2234" t="inlineStr">
        <is>
          <t>2026-Q1</t>
        </is>
      </c>
    </row>
    <row r="2235" ht="38.25" customHeight="1">
      <c r="A2235" t="inlineStr">
        <is>
          <t>对外汉语小白训练营手册</t>
        </is>
      </c>
      <c r="B2235" t="inlineStr">
        <is>
          <t>recvdJNf43QtSt.jpg</t>
        </is>
      </c>
      <c r="C2235" s="2" t="str">
        <f>=HYPERLINK("https://xhslink.com/m/37WtLECbXWU", "https://xhslink.com/m/37WtLECbXWU")</f>
        <v>https://xhslink.com/m/37WtLECbXWU</v>
      </c>
      <c r="D2235"/>
      <c r="E2235">
        <v>8557</v>
      </c>
      <c r="F2235">
        <v>199</v>
      </c>
      <c r="G2235"/>
      <c r="H2235">
        <v>300</v>
      </c>
      <c r="I2235"/>
      <c r="J2235"/>
      <c r="K2235" t="inlineStr">
        <is>
          <t>手册</t>
        </is>
      </c>
      <c r="L2235"/>
      <c r="M2235" t="inlineStr">
        <is>
          <t>MsYe的店</t>
        </is>
      </c>
      <c r="N2235">
        <v>6249</v>
      </c>
      <c r="O2235">
        <v>4.45</v>
      </c>
      <c r="P2235">
        <v>8559</v>
      </c>
      <c r="Q2235" t="inlineStr">
        <is>
          <t>6448843b43a36c00010c0d09</t>
        </is>
      </c>
      <c r="R2235"/>
      <c r="S2235" t="inlineStr">
        <is>
          <t>老师资料</t>
        </is>
      </c>
      <c r="T2235" t="inlineStr">
        <is>
          <t>1.37</t>
        </is>
      </c>
      <c r="U2235" s="3">
        <v>46112.78107638889</v>
      </c>
      <c r="V2235"/>
      <c r="W2235" s="3">
        <v>46094</v>
      </c>
      <c r="X2235" t="inlineStr">
        <is>
          <t>03</t>
        </is>
      </c>
      <c r="Y2235" t="inlineStr">
        <is>
          <t>2026-Q1</t>
        </is>
      </c>
    </row>
    <row r="2236" ht="38.25" customHeight="1">
      <c r="A2236" t="inlineStr">
        <is>
          <t>爱光遇弹琴，光遇联琴模板/15键辅助练琴工具模板/50000+首歌曲</t>
        </is>
      </c>
      <c r="B2236" t="inlineStr">
        <is>
          <t>recvdJNf43WOcS.jpg</t>
        </is>
      </c>
      <c r="C2236" s="2" t="str">
        <f>=HYPERLINK("https://xhslink.com/m/ATH7tWMlRzp", "https://xhslink.com/m/ATH7tWMlRzp")</f>
        <v>https://xhslink.com/m/ATH7tWMlRzp</v>
      </c>
      <c r="D2236"/>
      <c r="E2236">
        <v>14000</v>
      </c>
      <c r="F2236">
        <v>128</v>
      </c>
      <c r="G2236"/>
      <c r="H2236">
        <v>550</v>
      </c>
      <c r="I2236"/>
      <c r="J2236"/>
      <c r="K2236" t="inlineStr">
        <is>
          <t>模板</t>
        </is>
      </c>
      <c r="L2236" t="inlineStr">
        <is>
          <t>🔥低粉爆款</t>
        </is>
      </c>
      <c r="M2236" t="inlineStr">
        <is>
          <t>爱光遇弹琴的店</t>
        </is>
      </c>
      <c r="N2236">
        <v>2570</v>
      </c>
      <c r="O2236">
        <v>4.05</v>
      </c>
      <c r="P2236">
        <v>14000</v>
      </c>
      <c r="Q2236" t="inlineStr">
        <is>
          <t>6752fa02bdb5900001adfe5a</t>
        </is>
      </c>
      <c r="R2236" t="inlineStr">
        <is>
          <t>🚫重复</t>
        </is>
      </c>
      <c r="S2236" t="inlineStr">
        <is>
          <t>无匹配类别</t>
        </is>
      </c>
      <c r="T2236" t="inlineStr">
        <is>
          <t>5.45</t>
        </is>
      </c>
      <c r="U2236" s="3">
        <v>46112.78107638889</v>
      </c>
      <c r="V2236"/>
      <c r="W2236" s="3">
        <v>46094</v>
      </c>
      <c r="X2236" t="inlineStr">
        <is>
          <t>03</t>
        </is>
      </c>
      <c r="Y2236" t="inlineStr">
        <is>
          <t>2026-Q1</t>
        </is>
      </c>
    </row>
    <row r="2237" ht="38.25" customHeight="1">
      <c r="A2237" t="inlineStr">
        <is>
          <t>DOU DOU SHU WU · 2026新版小豆同学秒记政史地物化生语数英高中答题模板知识点复习</t>
        </is>
      </c>
      <c r="B2237" t="inlineStr">
        <is>
          <t>__upload_recvdJNf43XfW6.jpg</t>
        </is>
      </c>
      <c r="C2237" s="2" t="str">
        <f>=HYPERLINK("https://xhslink.com/m/9w4ZqI8p5hT", "https://xhslink.com/m/9w4ZqI8p5hT")</f>
        <v>https://xhslink.com/m/9w4ZqI8p5hT</v>
      </c>
      <c r="D2237"/>
      <c r="E2237">
        <v>6891</v>
      </c>
      <c r="F2237">
        <v>72.8</v>
      </c>
      <c r="G2237"/>
      <c r="H2237">
        <v>800</v>
      </c>
      <c r="I2237"/>
      <c r="J2237">
        <v>100</v>
      </c>
      <c r="K2237" t="inlineStr">
        <is>
          <t>模板</t>
        </is>
      </c>
      <c r="L2237"/>
      <c r="M2237" t="inlineStr">
        <is>
          <t>豆豆书屋图书旗舰店</t>
        </is>
      </c>
      <c r="N2237">
        <v>5863</v>
      </c>
      <c r="O2237">
        <v>4.75</v>
      </c>
      <c r="P2237">
        <v>17000</v>
      </c>
      <c r="Q2237" t="inlineStr">
        <is>
          <t>68dfa3c853446d0001ce73f6</t>
        </is>
      </c>
      <c r="R2237" t="inlineStr">
        <is>
          <t>🚫重复</t>
        </is>
      </c>
      <c r="S2237" t="inlineStr">
        <is>
          <t>高中/高考资料</t>
        </is>
      </c>
      <c r="T2237" t="inlineStr">
        <is>
          <t>1.18</t>
        </is>
      </c>
      <c r="U2237" s="3">
        <v>46112.78107638889</v>
      </c>
      <c r="V2237"/>
      <c r="W2237" s="3">
        <v>46094</v>
      </c>
      <c r="X2237" t="inlineStr">
        <is>
          <t>03</t>
        </is>
      </c>
      <c r="Y2237" t="inlineStr">
        <is>
          <t>2026-Q1</t>
        </is>
      </c>
    </row>
    <row r="2238" ht="38.25" customHeight="1">
      <c r="A2238" t="inlineStr">
        <is>
          <t>【春节不打烊】2026马年儿童拓印画元旦diy手工新年福字图案材包</t>
        </is>
      </c>
      <c r="B2238" t="inlineStr">
        <is>
          <t>recvdJNf43ZYHQ.jpg</t>
        </is>
      </c>
      <c r="C2238" s="2" t="str">
        <f>=HYPERLINK("https://xhslink.com/m/3n86hZlLd2a", "https://xhslink.com/m/3n86hZlLd2a")</f>
        <v>https://xhslink.com/m/3n86hZlLd2a</v>
      </c>
      <c r="D2238"/>
      <c r="E2238">
        <v>3811</v>
      </c>
      <c r="F2238">
        <v>119</v>
      </c>
      <c r="G2238"/>
      <c r="H2238">
        <v>3000</v>
      </c>
      <c r="I2238"/>
      <c r="J2238"/>
      <c r="K2238" t="inlineStr">
        <is>
          <t>模板</t>
        </is>
      </c>
      <c r="L2238" t="inlineStr">
        <is>
          <t>🔥低粉爆款</t>
        </is>
      </c>
      <c r="M2238" t="inlineStr">
        <is>
          <t>白熊仓库的店</t>
        </is>
      </c>
      <c r="N2238">
        <v>715</v>
      </c>
      <c r="O2238">
        <v>4.58</v>
      </c>
      <c r="P2238">
        <v>3963</v>
      </c>
      <c r="Q2238" t="inlineStr">
        <is>
          <t>69732ad13067f400013706bf</t>
        </is>
      </c>
      <c r="R2238"/>
      <c r="S2238" t="inlineStr">
        <is>
          <t>中小学教辅/教材</t>
        </is>
      </c>
      <c r="T2238" t="inlineStr">
        <is>
          <t>5.33</t>
        </is>
      </c>
      <c r="U2238" s="3">
        <v>46112.78107638889</v>
      </c>
      <c r="V2238"/>
      <c r="W2238" s="3">
        <v>46094</v>
      </c>
      <c r="X2238" t="inlineStr">
        <is>
          <t>03</t>
        </is>
      </c>
      <c r="Y2238" t="inlineStr">
        <is>
          <t>2026-Q1</t>
        </is>
      </c>
    </row>
    <row r="2239" ht="38.25" customHeight="1">
      <c r="A2239" t="inlineStr">
        <is>
          <t>【汐汐牌】美梦随身听（模板源文件）（不是接稿！）</t>
        </is>
      </c>
      <c r="B2239" t="inlineStr">
        <is>
          <t>recvdJNf43h1ZU.jpg</t>
        </is>
      </c>
      <c r="C2239" s="2" t="str">
        <f>=HYPERLINK("https://xhslink.com/m/3FCRtP52UiZ", "https://xhslink.com/m/3FCRtP52UiZ")</f>
        <v>https://xhslink.com/m/3FCRtP52UiZ</v>
      </c>
      <c r="D2239"/>
      <c r="E2239">
        <v>3387</v>
      </c>
      <c r="F2239">
        <v>8</v>
      </c>
      <c r="G2239"/>
      <c r="H2239">
        <v>1500</v>
      </c>
      <c r="I2239"/>
      <c r="J2239"/>
      <c r="K2239" t="inlineStr">
        <is>
          <t>模板</t>
        </is>
      </c>
      <c r="L2239"/>
      <c r="M2239" t="inlineStr">
        <is>
          <t>汐汐子不接稿只卖模板的店</t>
        </is>
      </c>
      <c r="N2239">
        <v>7925</v>
      </c>
      <c r="O2239">
        <v>4.5</v>
      </c>
      <c r="P2239">
        <v>12000</v>
      </c>
      <c r="Q2239" t="inlineStr">
        <is>
          <t>69568c2e4e15d60001ec2156</t>
        </is>
      </c>
      <c r="R2239" t="inlineStr">
        <is>
          <t>🚫重复</t>
        </is>
      </c>
      <c r="S2239" t="inlineStr">
        <is>
          <t>无匹配类别</t>
        </is>
      </c>
      <c r="T2239" t="inlineStr">
        <is>
          <t>0.43</t>
        </is>
      </c>
      <c r="U2239" s="3">
        <v>46112.78107638889</v>
      </c>
      <c r="V2239"/>
      <c r="W2239" s="3">
        <v>46094</v>
      </c>
      <c r="X2239" t="inlineStr">
        <is>
          <t>03</t>
        </is>
      </c>
      <c r="Y2239" t="inlineStr">
        <is>
          <t>2026-Q1</t>
        </is>
      </c>
    </row>
    <row r="2240" ht="38.25" customHeight="1">
      <c r="A2240" t="inlineStr">
        <is>
          <t>开芽 · 2026马年儿童拓印画元旦diy手工新年福字图案材料包镂空工具模板</t>
        </is>
      </c>
      <c r="B2240" t="inlineStr">
        <is>
          <t>recvdJNf43GcW6.jpg</t>
        </is>
      </c>
      <c r="C2240" s="2" t="str">
        <f>=HYPERLINK("https://xhslink.com/m/6afwfjXRYsh", "https://xhslink.com/m/6afwfjXRYsh")</f>
        <v>https://xhslink.com/m/6afwfjXRYsh</v>
      </c>
      <c r="D2240"/>
      <c r="E2240">
        <v>3081</v>
      </c>
      <c r="F2240">
        <v>79</v>
      </c>
      <c r="G2240"/>
      <c r="H2240">
        <v>1000</v>
      </c>
      <c r="I2240">
        <v>2000</v>
      </c>
      <c r="J2240"/>
      <c r="K2240" t="inlineStr">
        <is>
          <t>模板</t>
        </is>
      </c>
      <c r="L2240"/>
      <c r="M2240" t="inlineStr">
        <is>
          <t>开芽旗舰店</t>
        </is>
      </c>
      <c r="N2240">
        <v>1693</v>
      </c>
      <c r="O2240">
        <v>4.58</v>
      </c>
      <c r="P2240">
        <v>9899</v>
      </c>
      <c r="Q2240" t="inlineStr">
        <is>
          <t>6971f67ad07ba00001914bca</t>
        </is>
      </c>
      <c r="R2240"/>
      <c r="S2240" t="inlineStr">
        <is>
          <t>中小学教辅/教材</t>
        </is>
      </c>
      <c r="T2240" t="inlineStr">
        <is>
          <t>1.82</t>
        </is>
      </c>
      <c r="U2240" s="3">
        <v>46112.78107638889</v>
      </c>
      <c r="V2240"/>
      <c r="W2240" s="3">
        <v>46094</v>
      </c>
      <c r="X2240" t="inlineStr">
        <is>
          <t>03</t>
        </is>
      </c>
      <c r="Y2240" t="inlineStr">
        <is>
          <t>2026-Q1</t>
        </is>
      </c>
    </row>
    <row r="2241" ht="38.25" customHeight="1">
      <c r="A2241" t="inlineStr">
        <is>
          <t>3D-JP · 凛牌【恭喜发财】双人模板商用权 不是约稿！购买请看详情页</t>
        </is>
      </c>
      <c r="B2241" t="inlineStr">
        <is>
          <t>recvdJNf43l580.jpg</t>
        </is>
      </c>
      <c r="C2241" s="2" t="str">
        <f>=HYPERLINK("https://xhslink.com/m/A1PilN8dcHv", "https://xhslink.com/m/A1PilN8dcHv")</f>
        <v>https://xhslink.com/m/A1PilN8dcHv</v>
      </c>
      <c r="D2241"/>
      <c r="E2241">
        <v>1687</v>
      </c>
      <c r="F2241">
        <v>7</v>
      </c>
      <c r="G2241"/>
      <c r="H2241">
        <v>650</v>
      </c>
      <c r="I2241"/>
      <c r="J2241"/>
      <c r="K2241" t="inlineStr">
        <is>
          <t>模板</t>
        </is>
      </c>
      <c r="L2241"/>
      <c r="M2241" t="inlineStr">
        <is>
          <t>凛呱呱的店</t>
        </is>
      </c>
      <c r="N2241">
        <v>18000</v>
      </c>
      <c r="O2241">
        <v>4.52</v>
      </c>
      <c r="P2241">
        <v>1821</v>
      </c>
      <c r="Q2241" t="inlineStr">
        <is>
          <t>6921ce9bce3eb500019de3b6</t>
        </is>
      </c>
      <c r="R2241"/>
      <c r="S2241" t="inlineStr">
        <is>
          <t>无匹配类别</t>
        </is>
      </c>
      <c r="T2241" t="inlineStr">
        <is>
          <t>0.09</t>
        </is>
      </c>
      <c r="U2241" s="3">
        <v>46112.78107638889</v>
      </c>
      <c r="V2241"/>
      <c r="W2241" s="3">
        <v>46094</v>
      </c>
      <c r="X2241" t="inlineStr">
        <is>
          <t>03</t>
        </is>
      </c>
      <c r="Y2241" t="inlineStr">
        <is>
          <t>2026-Q1</t>
        </is>
      </c>
    </row>
    <row r="2242" ht="38.25" customHeight="1">
      <c r="A2242" t="inlineStr">
        <is>
          <t>想与你一起看日照金山丨情侣头像丨高清原图丨62</t>
        </is>
      </c>
      <c r="B2242" t="inlineStr">
        <is>
          <t>recvdJNf43ey1j.jpg</t>
        </is>
      </c>
      <c r="C2242" s="2" t="str">
        <f>=HYPERLINK("https://xhslink.com/m/6ncvKT5HXXk", "https://xhslink.com/m/6ncvKT5HXXk")</f>
        <v>https://xhslink.com/m/6ncvKT5HXXk</v>
      </c>
      <c r="D2242"/>
      <c r="E2242">
        <v>1115</v>
      </c>
      <c r="F2242">
        <v>49.9</v>
      </c>
      <c r="G2242"/>
      <c r="H2242">
        <v>450</v>
      </c>
      <c r="I2242"/>
      <c r="J2242"/>
      <c r="K2242" t="inlineStr">
        <is>
          <t>头像壁纸</t>
        </is>
      </c>
      <c r="L2242"/>
      <c r="M2242" t="inlineStr">
        <is>
          <t>Mindfulnessmessage的店</t>
        </is>
      </c>
      <c r="N2242">
        <v>6591</v>
      </c>
      <c r="O2242">
        <v>4.56</v>
      </c>
      <c r="P2242">
        <v>7521</v>
      </c>
      <c r="Q2242" t="inlineStr">
        <is>
          <t>69414d3eb049690001c1d540</t>
        </is>
      </c>
      <c r="R2242" t="inlineStr">
        <is>
          <t>🚫重复</t>
        </is>
      </c>
      <c r="S2242" t="inlineStr">
        <is>
          <t>头像壁纸</t>
        </is>
      </c>
      <c r="T2242" t="inlineStr">
        <is>
          <t>0.17</t>
        </is>
      </c>
      <c r="U2242" s="3">
        <v>46112.78107638889</v>
      </c>
      <c r="V2242"/>
      <c r="W2242" s="3">
        <v>46094</v>
      </c>
      <c r="X2242" t="inlineStr">
        <is>
          <t>03</t>
        </is>
      </c>
      <c r="Y2242" t="inlineStr">
        <is>
          <t>2026-Q1</t>
        </is>
      </c>
    </row>
    <row r="2243" ht="38.25" customHeight="1">
      <c r="A2243" t="inlineStr">
        <is>
          <t>自然感修图单人一张36H返图 还原美貌真诚待人可修到满意</t>
        </is>
      </c>
      <c r="B2243" t="inlineStr">
        <is>
          <t>recvdJNf4380St.jpg</t>
        </is>
      </c>
      <c r="C2243" s="2" t="str">
        <f>=HYPERLINK("https://xhslink.com/m/1G9yyA2NPrq", "https://xhslink.com/m/1G9yyA2NPrq")</f>
        <v>https://xhslink.com/m/1G9yyA2NPrq</v>
      </c>
      <c r="D2243"/>
      <c r="E2243">
        <v>44000</v>
      </c>
      <c r="F2243">
        <v>8</v>
      </c>
      <c r="G2243"/>
      <c r="H2243">
        <v>600</v>
      </c>
      <c r="I2243"/>
      <c r="J2243"/>
      <c r="K2243" t="inlineStr">
        <is>
          <t>修图服务</t>
        </is>
      </c>
      <c r="L2243" t="inlineStr">
        <is>
          <t>🔥低粉爆款</t>
        </is>
      </c>
      <c r="M2243" t="inlineStr">
        <is>
          <t>懂你修图的店</t>
        </is>
      </c>
      <c r="N2243">
        <v>5613</v>
      </c>
      <c r="O2243">
        <v>4.63</v>
      </c>
      <c r="P2243">
        <v>50000</v>
      </c>
      <c r="Q2243" t="inlineStr">
        <is>
          <t>66d976252117020001c184f5</t>
        </is>
      </c>
      <c r="R2243"/>
      <c r="S2243" t="inlineStr">
        <is>
          <t>无匹配类别</t>
        </is>
      </c>
      <c r="T2243" t="inlineStr">
        <is>
          <t>7.84</t>
        </is>
      </c>
      <c r="U2243" s="3">
        <v>46112.78107638889</v>
      </c>
      <c r="V2243"/>
      <c r="W2243" s="3">
        <v>46094</v>
      </c>
      <c r="X2243" t="inlineStr">
        <is>
          <t>03</t>
        </is>
      </c>
      <c r="Y2243" t="inlineStr">
        <is>
          <t>2026-Q1</t>
        </is>
      </c>
    </row>
    <row r="2244" ht="38.25" customHeight="1">
      <c r="A2244" t="inlineStr">
        <is>
          <t>婚纱照旅拍写真生活照精修ps修图专业修图</t>
        </is>
      </c>
      <c r="B2244" t="inlineStr">
        <is>
          <t>recvdJNf43veTn.jpg</t>
        </is>
      </c>
      <c r="C2244" s="2" t="str">
        <f>=HYPERLINK("https://xhslink.com/m/7EOfE04ehNq", "https://xhslink.com/m/7EOfE04ehNq")</f>
        <v>https://xhslink.com/m/7EOfE04ehNq</v>
      </c>
      <c r="D2244"/>
      <c r="E2244">
        <v>44000</v>
      </c>
      <c r="F2244">
        <v>8</v>
      </c>
      <c r="G2244"/>
      <c r="H2244">
        <v>2500</v>
      </c>
      <c r="I2244"/>
      <c r="J2244"/>
      <c r="K2244" t="inlineStr">
        <is>
          <t>修图服务</t>
        </is>
      </c>
      <c r="L2244" t="inlineStr">
        <is>
          <t>🔥低粉爆款</t>
        </is>
      </c>
      <c r="M2244" t="inlineStr">
        <is>
          <t>小温Photos的店</t>
        </is>
      </c>
      <c r="N2244">
        <v>5221</v>
      </c>
      <c r="O2244">
        <v>4.65</v>
      </c>
      <c r="P2244">
        <v>51000</v>
      </c>
      <c r="Q2244" t="inlineStr">
        <is>
          <t>6885e745417c3f00016c7a58</t>
        </is>
      </c>
      <c r="R2244" t="inlineStr">
        <is>
          <t>🚫重复</t>
        </is>
      </c>
      <c r="S2244" t="inlineStr">
        <is>
          <t>设计素材</t>
        </is>
      </c>
      <c r="T2244" t="inlineStr">
        <is>
          <t>8.43</t>
        </is>
      </c>
      <c r="U2244" s="3">
        <v>46112.78107638889</v>
      </c>
      <c r="V2244"/>
      <c r="W2244" s="3">
        <v>46094</v>
      </c>
      <c r="X2244" t="inlineStr">
        <is>
          <t>03</t>
        </is>
      </c>
      <c r="Y2244" t="inlineStr">
        <is>
          <t>2026-Q1</t>
        </is>
      </c>
    </row>
    <row r="2245" ht="38.25" customHeight="1">
      <c r="A2245" t="inlineStr">
        <is>
          <t>主图详情页设计网店店铺装修首页PS美工做图建模LOGO设计艺术定制</t>
        </is>
      </c>
      <c r="B2245" t="inlineStr">
        <is>
          <t>recvdJNf43k4DH.jpg</t>
        </is>
      </c>
      <c r="C2245" s="2" t="str">
        <f>=HYPERLINK("https://xhslink.com/m/8NxPyv28qgT", "https://xhslink.com/m/8NxPyv28qgT")</f>
        <v>https://xhslink.com/m/8NxPyv28qgT</v>
      </c>
      <c r="D2245"/>
      <c r="E2245">
        <v>15000</v>
      </c>
      <c r="F2245">
        <v>10</v>
      </c>
      <c r="G2245"/>
      <c r="H2245">
        <v>450</v>
      </c>
      <c r="I2245">
        <v>1000</v>
      </c>
      <c r="J2245"/>
      <c r="K2245" t="inlineStr">
        <is>
          <t>修图服务</t>
        </is>
      </c>
      <c r="L2245"/>
      <c r="M2245" t="inlineStr">
        <is>
          <t>熊熊视觉设计的店</t>
        </is>
      </c>
      <c r="N2245">
        <v>5215</v>
      </c>
      <c r="O2245">
        <v>4.25</v>
      </c>
      <c r="P2245">
        <v>27000</v>
      </c>
      <c r="Q2245" t="inlineStr">
        <is>
          <t>68b011dc6f3f720001a7db59</t>
        </is>
      </c>
      <c r="R2245"/>
      <c r="S2245" t="inlineStr">
        <is>
          <t>设计素材</t>
        </is>
      </c>
      <c r="T2245" t="inlineStr">
        <is>
          <t>2.88</t>
        </is>
      </c>
      <c r="U2245" s="3">
        <v>46112.78107638889</v>
      </c>
      <c r="V2245"/>
      <c r="W2245" s="3">
        <v>46094</v>
      </c>
      <c r="X2245" t="inlineStr">
        <is>
          <t>03</t>
        </is>
      </c>
      <c r="Y2245" t="inlineStr">
        <is>
          <t>2026-Q1</t>
        </is>
      </c>
    </row>
    <row r="2246" ht="38.25" customHeight="1">
      <c r="A2246" t="inlineStr">
        <is>
          <t>修图p图 婚纱照精修人像写真生活照旅游照全家福婚礼跟拍修图A03</t>
        </is>
      </c>
      <c r="B2246" t="inlineStr">
        <is>
          <t>recvdJNf43PNGS.jpg</t>
        </is>
      </c>
      <c r="C2246" s="2" t="str">
        <f>=HYPERLINK("https://xhslink.com/m/1L3OeZaMWYf", "https://xhslink.com/m/1L3OeZaMWYf")</f>
        <v>https://xhslink.com/m/1L3OeZaMWYf</v>
      </c>
      <c r="D2246"/>
      <c r="E2246">
        <v>14000</v>
      </c>
      <c r="F2246">
        <v>5</v>
      </c>
      <c r="G2246"/>
      <c r="H2246">
        <v>400</v>
      </c>
      <c r="I2246"/>
      <c r="J2246"/>
      <c r="K2246" t="inlineStr">
        <is>
          <t>修图服务</t>
        </is>
      </c>
      <c r="L2246" t="inlineStr">
        <is>
          <t>🔥低粉爆款</t>
        </is>
      </c>
      <c r="M2246" t="inlineStr">
        <is>
          <t>修图嘞大掌柜的店</t>
        </is>
      </c>
      <c r="N2246">
        <v>1998</v>
      </c>
      <c r="O2246">
        <v>4.62</v>
      </c>
      <c r="P2246">
        <v>46000</v>
      </c>
      <c r="Q2246" t="inlineStr">
        <is>
          <t>681f535315cfd200011637c1</t>
        </is>
      </c>
      <c r="R2246"/>
      <c r="S2246" t="inlineStr">
        <is>
          <t>设计素材</t>
        </is>
      </c>
      <c r="T2246" t="inlineStr">
        <is>
          <t>7.01</t>
        </is>
      </c>
      <c r="U2246" s="3">
        <v>46112.78107638889</v>
      </c>
      <c r="V2246"/>
      <c r="W2246" s="3">
        <v>46094</v>
      </c>
      <c r="X2246" t="inlineStr">
        <is>
          <t>03</t>
        </is>
      </c>
      <c r="Y2246" t="inlineStr">
        <is>
          <t>2026-Q1</t>
        </is>
      </c>
    </row>
    <row r="2247" ht="38.25" customHeight="1">
      <c r="A2247" t="inlineStr">
        <is>
          <t>p图修图，人像精修定制一对一服务</t>
        </is>
      </c>
      <c r="B2247" t="inlineStr">
        <is>
          <t>recvdJNf43YhHK.jpg</t>
        </is>
      </c>
      <c r="C2247" s="2" t="str">
        <f>=HYPERLINK("https://xhslink.com/m/6Al2N0LG2g6", "https://xhslink.com/m/6Al2N0LG2g6")</f>
        <v>https://xhslink.com/m/6Al2N0LG2g6</v>
      </c>
      <c r="D2247"/>
      <c r="E2247">
        <v>11000</v>
      </c>
      <c r="F2247">
        <v>5</v>
      </c>
      <c r="G2247"/>
      <c r="H2247">
        <v>350</v>
      </c>
      <c r="I2247"/>
      <c r="J2247"/>
      <c r="K2247" t="inlineStr">
        <is>
          <t>修图服务</t>
        </is>
      </c>
      <c r="L2247" t="inlineStr">
        <is>
          <t>🔥低粉爆款</t>
        </is>
      </c>
      <c r="M2247" t="inlineStr">
        <is>
          <t>123p图的店</t>
        </is>
      </c>
      <c r="N2247">
        <v>1880</v>
      </c>
      <c r="O2247">
        <v>4.61</v>
      </c>
      <c r="P2247">
        <v>14000</v>
      </c>
      <c r="Q2247" t="inlineStr">
        <is>
          <t>66ce897b0eae590001c7d935</t>
        </is>
      </c>
      <c r="R2247"/>
      <c r="S2247" t="inlineStr">
        <is>
          <t>咨询服务</t>
        </is>
      </c>
      <c r="T2247" t="inlineStr">
        <is>
          <t>5.85</t>
        </is>
      </c>
      <c r="U2247" s="3">
        <v>46112.78107638889</v>
      </c>
      <c r="V2247"/>
      <c r="W2247" s="3">
        <v>46094</v>
      </c>
      <c r="X2247" t="inlineStr">
        <is>
          <t>03</t>
        </is>
      </c>
      <c r="Y2247" t="inlineStr">
        <is>
          <t>2026-Q1</t>
        </is>
      </c>
    </row>
    <row r="2248" ht="38.25" customHeight="1">
      <c r="A2248" t="inlineStr">
        <is>
          <t>修图p图电脑PS专业人像精修写真婚纱照p图专业P图</t>
        </is>
      </c>
      <c r="B2248" t="inlineStr">
        <is>
          <t>recvdJNf43VWRd.jpg</t>
        </is>
      </c>
      <c r="C2248" s="2" t="str">
        <f>=HYPERLINK("https://xhslink.com/m/8exCja0x4c3", "https://xhslink.com/m/8exCja0x4c3")</f>
        <v>https://xhslink.com/m/8exCja0x4c3</v>
      </c>
      <c r="D2248"/>
      <c r="E2248">
        <v>6233</v>
      </c>
      <c r="F2248">
        <v>5</v>
      </c>
      <c r="G2248"/>
      <c r="H2248">
        <v>400</v>
      </c>
      <c r="I2248">
        <v>1000</v>
      </c>
      <c r="J2248"/>
      <c r="K2248" t="inlineStr">
        <is>
          <t>修图服务</t>
        </is>
      </c>
      <c r="L2248"/>
      <c r="M2248" t="inlineStr">
        <is>
          <t>小温Photos的店</t>
        </is>
      </c>
      <c r="N2248">
        <v>5221</v>
      </c>
      <c r="O2248">
        <v>4.65</v>
      </c>
      <c r="P2248">
        <v>51000</v>
      </c>
      <c r="Q2248" t="inlineStr">
        <is>
          <t>688253eeeab7930001c34fb0</t>
        </is>
      </c>
      <c r="R2248" t="inlineStr">
        <is>
          <t>🚫重复</t>
        </is>
      </c>
      <c r="S2248" t="inlineStr">
        <is>
          <t>设计素材</t>
        </is>
      </c>
      <c r="T2248" t="inlineStr">
        <is>
          <t>1.19</t>
        </is>
      </c>
      <c r="U2248" s="3">
        <v>46112.78107638889</v>
      </c>
      <c r="V2248"/>
      <c r="W2248" s="3">
        <v>46094</v>
      </c>
      <c r="X2248" t="inlineStr">
        <is>
          <t>03</t>
        </is>
      </c>
      <c r="Y2248" t="inlineStr">
        <is>
          <t>2026-Q1</t>
        </is>
      </c>
    </row>
    <row r="2249" ht="38.25" customHeight="1">
      <c r="A2249" t="inlineStr">
        <is>
          <t>2026春季新版苏教版小学数学一二三四五六年级上下册PPT课件教案</t>
        </is>
      </c>
      <c r="B2249" t="inlineStr">
        <is>
          <t>recvdJNf43jRGF.jpg</t>
        </is>
      </c>
      <c r="C2249" s="2" t="str">
        <f>=HYPERLINK("https://xhslink.com/m/4v8jRZE18hY", "https://xhslink.com/m/4v8jRZE18hY")</f>
        <v>https://xhslink.com/m/4v8jRZE18hY</v>
      </c>
      <c r="D2249"/>
      <c r="E2249">
        <v>1591</v>
      </c>
      <c r="F2249">
        <v>53.8</v>
      </c>
      <c r="G2249"/>
      <c r="H2249">
        <v>300</v>
      </c>
      <c r="I2249"/>
      <c r="J2249"/>
      <c r="K2249" t="inlineStr">
        <is>
          <t>小学数学课件</t>
        </is>
      </c>
      <c r="L2249"/>
      <c r="M2249" t="inlineStr">
        <is>
          <t>爱学习的小红帽的店</t>
        </is>
      </c>
      <c r="N2249">
        <v>4388</v>
      </c>
      <c r="O2249">
        <v>4.58</v>
      </c>
      <c r="P2249">
        <v>23000</v>
      </c>
      <c r="Q2249" t="inlineStr">
        <is>
          <t>67aa2d2917cfa000016e3c25</t>
        </is>
      </c>
      <c r="R2249" t="inlineStr">
        <is>
          <t>🚫重复</t>
        </is>
      </c>
      <c r="S2249" t="inlineStr">
        <is>
          <t>中小学教辅/教材</t>
        </is>
      </c>
      <c r="T2249" t="inlineStr">
        <is>
          <t>0.36</t>
        </is>
      </c>
      <c r="U2249" s="3">
        <v>46112.78107638889</v>
      </c>
      <c r="V2249"/>
      <c r="W2249" s="3">
        <v>46094</v>
      </c>
      <c r="X2249" t="inlineStr">
        <is>
          <t>03</t>
        </is>
      </c>
      <c r="Y2249" t="inlineStr">
        <is>
          <t>2026-Q1</t>
        </is>
      </c>
    </row>
    <row r="2250" ht="38.25" customHeight="1">
      <c r="A2250" t="inlineStr">
        <is>
          <t>【无动画】255页笔记同款实用职场汇报PPT常规16：9持续更新中</t>
        </is>
      </c>
      <c r="B2250" t="inlineStr">
        <is>
          <t>recvdJNf43N0J5.jpg</t>
        </is>
      </c>
      <c r="C2250" s="2" t="str">
        <f>=HYPERLINK("https://xhslink.com/m/3DJd57wa4Pq", "https://xhslink.com/m/3DJd57wa4Pq")</f>
        <v>https://xhslink.com/m/3DJd57wa4Pq</v>
      </c>
      <c r="D2250"/>
      <c r="E2250">
        <v>14000</v>
      </c>
      <c r="F2250">
        <v>45.8</v>
      </c>
      <c r="G2250"/>
      <c r="H2250">
        <v>450</v>
      </c>
      <c r="I2250">
        <v>1000</v>
      </c>
      <c r="J2250"/>
      <c r="K2250" t="inlineStr">
        <is>
          <t>工作汇报PPT模板</t>
        </is>
      </c>
      <c r="L2250"/>
      <c r="M2250" t="inlineStr">
        <is>
          <t>紫荆的职场Point～晚晚的店</t>
        </is>
      </c>
      <c r="N2250">
        <v>8140</v>
      </c>
      <c r="O2250">
        <v>4.55</v>
      </c>
      <c r="P2250">
        <v>17000</v>
      </c>
      <c r="Q2250" t="inlineStr">
        <is>
          <t>663dc4526f797f0001c2b2cd</t>
        </is>
      </c>
      <c r="R2250"/>
      <c r="S2250" t="inlineStr">
        <is>
          <t>PPT模板</t>
        </is>
      </c>
      <c r="T2250" t="inlineStr">
        <is>
          <t>1.72</t>
        </is>
      </c>
      <c r="U2250" s="3">
        <v>46112.78107638889</v>
      </c>
      <c r="V2250"/>
      <c r="W2250" s="3">
        <v>46094</v>
      </c>
      <c r="X2250" t="inlineStr">
        <is>
          <t>03</t>
        </is>
      </c>
      <c r="Y2250" t="inlineStr">
        <is>
          <t>2026-Q1</t>
        </is>
      </c>
    </row>
    <row r="2251" ht="38.25" customHeight="1">
      <c r="A2251" t="inlineStr">
        <is>
          <t>超实用！年终总结汇报PPT（内容完整 ）</t>
        </is>
      </c>
      <c r="B2251" t="inlineStr">
        <is>
          <t>recvdJNf43z4ih.jpg</t>
        </is>
      </c>
      <c r="C2251" s="2" t="str">
        <f>=HYPERLINK("https://xhslink.com/m/6wHq0eS6Vgw", "https://xhslink.com/m/6wHq0eS6Vgw")</f>
        <v>https://xhslink.com/m/6wHq0eS6Vgw</v>
      </c>
      <c r="D2251"/>
      <c r="E2251">
        <v>1934</v>
      </c>
      <c r="F2251">
        <v>19.99</v>
      </c>
      <c r="G2251"/>
      <c r="H2251">
        <v>300</v>
      </c>
      <c r="I2251"/>
      <c r="J2251"/>
      <c r="K2251" t="inlineStr">
        <is>
          <t>年终总结</t>
        </is>
      </c>
      <c r="L2251"/>
      <c r="M2251" t="inlineStr">
        <is>
          <t>榴小莲PPT的店</t>
        </is>
      </c>
      <c r="N2251">
        <v>4263</v>
      </c>
      <c r="O2251">
        <v>4</v>
      </c>
      <c r="P2251">
        <v>3940</v>
      </c>
      <c r="Q2251" t="inlineStr">
        <is>
          <t>67792c45f8eb750001588255</t>
        </is>
      </c>
      <c r="R2251"/>
      <c r="S2251" t="inlineStr">
        <is>
          <t>PPT模板</t>
        </is>
      </c>
      <c r="T2251" t="inlineStr">
        <is>
          <t>0.45</t>
        </is>
      </c>
      <c r="U2251" s="3">
        <v>46112.78107638889</v>
      </c>
      <c r="V2251"/>
      <c r="W2251" s="3">
        <v>46094</v>
      </c>
      <c r="X2251" t="inlineStr">
        <is>
          <t>03</t>
        </is>
      </c>
      <c r="Y2251" t="inlineStr">
        <is>
          <t>2026-Q1</t>
        </is>
      </c>
    </row>
    <row r="2252" ht="38.25" customHeight="1">
      <c r="A2252" t="inlineStr">
        <is>
          <t>【马年】晚会年会搞笑开场快闪PPT模板/emoji猜成语/谐音等游戏</t>
        </is>
      </c>
      <c r="B2252" t="inlineStr">
        <is>
          <t>recvdJNf43KBD8.jpg</t>
        </is>
      </c>
      <c r="C2252" s="2" t="str">
        <f>=HYPERLINK("https://xhslink.com/m/7VU138INNgt", "https://xhslink.com/m/7VU138INNgt")</f>
        <v>https://xhslink.com/m/7VU138INNgt</v>
      </c>
      <c r="D2252"/>
      <c r="E2252">
        <v>3688</v>
      </c>
      <c r="F2252">
        <v>7.68</v>
      </c>
      <c r="G2252"/>
      <c r="H2252">
        <v>2000</v>
      </c>
      <c r="I2252"/>
      <c r="J2252"/>
      <c r="K2252" t="inlineStr">
        <is>
          <t>年会素材</t>
        </is>
      </c>
      <c r="L2252"/>
      <c r="M2252" t="inlineStr">
        <is>
          <t>金老师PPT的店</t>
        </is>
      </c>
      <c r="N2252">
        <v>11000</v>
      </c>
      <c r="O2252">
        <v>4.62</v>
      </c>
      <c r="P2252">
        <v>54000</v>
      </c>
      <c r="Q2252" t="inlineStr">
        <is>
          <t>69426f094d53380001c3f528</t>
        </is>
      </c>
      <c r="R2252" t="inlineStr">
        <is>
          <t>🚫重复</t>
        </is>
      </c>
      <c r="S2252" t="inlineStr">
        <is>
          <t>PPT模板</t>
        </is>
      </c>
      <c r="T2252" t="inlineStr">
        <is>
          <t>0.34</t>
        </is>
      </c>
      <c r="U2252" s="3">
        <v>46112.78107638889</v>
      </c>
      <c r="V2252"/>
      <c r="W2252" s="3">
        <v>46094</v>
      </c>
      <c r="X2252" t="inlineStr">
        <is>
          <t>03</t>
        </is>
      </c>
      <c r="Y2252" t="inlineStr">
        <is>
          <t>2026-Q1</t>
        </is>
      </c>
    </row>
    <row r="2253" ht="38.25" customHeight="1">
      <c r="A2253" t="inlineStr">
        <is>
          <t>2026年会热门舞蹈视频歌马年style一直顺开场视频素材</t>
        </is>
      </c>
      <c r="B2253" t="inlineStr">
        <is>
          <t>recvdJNf43hmNP.jpg</t>
        </is>
      </c>
      <c r="C2253" s="2" t="str">
        <f>=HYPERLINK("https://xhslink.com/m/4Ul08PZYddn", "https://xhslink.com/m/4Ul08PZYddn")</f>
        <v>https://xhslink.com/m/4Ul08PZYddn</v>
      </c>
      <c r="D2253"/>
      <c r="E2253">
        <v>3452</v>
      </c>
      <c r="F2253">
        <v>19.9</v>
      </c>
      <c r="G2253"/>
      <c r="H2253">
        <v>2500</v>
      </c>
      <c r="I2253"/>
      <c r="J2253"/>
      <c r="K2253" t="inlineStr">
        <is>
          <t>年会素材</t>
        </is>
      </c>
      <c r="L2253"/>
      <c r="M2253" t="inlineStr">
        <is>
          <t>萌baby的店</t>
        </is>
      </c>
      <c r="N2253">
        <v>8663</v>
      </c>
      <c r="O2253">
        <v>4.83</v>
      </c>
      <c r="P2253">
        <v>20000</v>
      </c>
      <c r="Q2253" t="inlineStr">
        <is>
          <t>6960902bf7aaae0001589dea</t>
        </is>
      </c>
      <c r="R2253" t="inlineStr">
        <is>
          <t>🚫重复</t>
        </is>
      </c>
      <c r="S2253" t="inlineStr">
        <is>
          <t>求职面试/职场</t>
        </is>
      </c>
      <c r="T2253" t="inlineStr">
        <is>
          <t>0.40</t>
        </is>
      </c>
      <c r="U2253" s="3">
        <v>46112.78107638889</v>
      </c>
      <c r="V2253"/>
      <c r="W2253" s="3">
        <v>46094</v>
      </c>
      <c r="X2253" t="inlineStr">
        <is>
          <t>03</t>
        </is>
      </c>
      <c r="Y2253" t="inlineStr">
        <is>
          <t>2026-Q1</t>
        </is>
      </c>
    </row>
    <row r="2254" ht="38.25" customHeight="1">
      <c r="A2254" t="inlineStr">
        <is>
          <t>2026年马年公司年会团拜会电子背景图片资源高级背景红色背景设计</t>
        </is>
      </c>
      <c r="B2254" t="inlineStr">
        <is>
          <t>recvdJNf43MQEj.jpg</t>
        </is>
      </c>
      <c r="C2254" s="2" t="str">
        <f>=HYPERLINK("https://xhslink.com/m/9dBYaE0TDS", "https://xhslink.com/m/9dBYaE0TDS")</f>
        <v>https://xhslink.com/m/9dBYaE0TDS</v>
      </c>
      <c r="D2254"/>
      <c r="E2254">
        <v>710</v>
      </c>
      <c r="F2254">
        <v>1.9</v>
      </c>
      <c r="G2254"/>
      <c r="H2254">
        <v>350</v>
      </c>
      <c r="I2254"/>
      <c r="J2254"/>
      <c r="K2254" t="inlineStr">
        <is>
          <t>年会素材</t>
        </is>
      </c>
      <c r="L2254"/>
      <c r="M2254" t="inlineStr">
        <is>
          <t>即刻印社的店</t>
        </is>
      </c>
      <c r="N2254">
        <v>424</v>
      </c>
      <c r="O2254">
        <v>4.53</v>
      </c>
      <c r="P2254">
        <v>1378</v>
      </c>
      <c r="Q2254" t="inlineStr">
        <is>
          <t>696dd2325d15630001504a57</t>
        </is>
      </c>
      <c r="R2254"/>
      <c r="S2254" t="inlineStr">
        <is>
          <t>设计素材</t>
        </is>
      </c>
      <c r="T2254" t="inlineStr">
        <is>
          <t>1.67</t>
        </is>
      </c>
      <c r="U2254" s="3">
        <v>46112.78107638889</v>
      </c>
      <c r="V2254"/>
      <c r="W2254" s="3">
        <v>46094</v>
      </c>
      <c r="X2254" t="inlineStr">
        <is>
          <t>03</t>
        </is>
      </c>
      <c r="Y2254" t="inlineStr">
        <is>
          <t>2026-Q1</t>
        </is>
      </c>
    </row>
    <row r="2255" ht="38.25" customHeight="1">
      <c r="A2255" t="inlineStr">
        <is>
          <t>活动暖场音乐年会背景音乐主持颁奖抽奖游戏互动歌单音效素材MP3</t>
        </is>
      </c>
      <c r="B2255" t="inlineStr">
        <is>
          <t>recvdJNf43KdM5.jpg</t>
        </is>
      </c>
      <c r="C2255" s="2" t="str">
        <f>=HYPERLINK("https://xhslink.com/m/7LQHP5cToyE", "https://xhslink.com/m/7LQHP5cToyE")</f>
        <v>https://xhslink.com/m/7LQHP5cToyE</v>
      </c>
      <c r="D2255"/>
      <c r="E2255">
        <v>522</v>
      </c>
      <c r="F2255">
        <v>2.9</v>
      </c>
      <c r="G2255"/>
      <c r="H2255">
        <v>400</v>
      </c>
      <c r="I2255"/>
      <c r="J2255"/>
      <c r="K2255" t="inlineStr">
        <is>
          <t>年会素材</t>
        </is>
      </c>
      <c r="L2255" t="inlineStr">
        <is>
          <t>🔥低粉爆款</t>
        </is>
      </c>
      <c r="M2255" t="inlineStr">
        <is>
          <t>北山南风的店</t>
        </is>
      </c>
      <c r="N2255">
        <v>76</v>
      </c>
      <c r="O2255">
        <v>4.39</v>
      </c>
      <c r="P2255">
        <v>610</v>
      </c>
      <c r="Q2255" t="inlineStr">
        <is>
          <t>693eae9d7a38a6000126777a</t>
        </is>
      </c>
      <c r="R2255"/>
      <c r="S2255" t="inlineStr">
        <is>
          <t>无匹配类别</t>
        </is>
      </c>
      <c r="T2255" t="inlineStr">
        <is>
          <t>6.87</t>
        </is>
      </c>
      <c r="U2255" s="3">
        <v>46112.78107638889</v>
      </c>
      <c r="V2255"/>
      <c r="W2255" s="3">
        <v>46094</v>
      </c>
      <c r="X2255" t="inlineStr">
        <is>
          <t>03</t>
        </is>
      </c>
      <c r="Y2255" t="inlineStr">
        <is>
          <t>2026-Q1</t>
        </is>
      </c>
    </row>
    <row r="2256" ht="38.25" customHeight="1">
      <c r="A2256" t="inlineStr">
        <is>
          <t>2026年企业年会策划方案表彰盛典定制PPT模板</t>
        </is>
      </c>
      <c r="B2256" t="inlineStr">
        <is>
          <t>recvdJNf438mRP.jpg</t>
        </is>
      </c>
      <c r="C2256" s="2" t="str">
        <f>=HYPERLINK("https://xhslink.com/m/96pGVGr0gQr", "https://xhslink.com/m/96pGVGr0gQr")</f>
        <v>https://xhslink.com/m/96pGVGr0gQr</v>
      </c>
      <c r="D2256"/>
      <c r="E2256">
        <v>1023</v>
      </c>
      <c r="F2256">
        <v>0.9</v>
      </c>
      <c r="G2256"/>
      <c r="H2256">
        <v>900</v>
      </c>
      <c r="I2256">
        <v>1000</v>
      </c>
      <c r="J2256"/>
      <c r="K2256" t="inlineStr">
        <is>
          <t>企业年会活动方案</t>
        </is>
      </c>
      <c r="L2256" t="inlineStr">
        <is>
          <t>🔥低粉爆款</t>
        </is>
      </c>
      <c r="M2256" t="inlineStr">
        <is>
          <t>小颜PPT的店</t>
        </is>
      </c>
      <c r="N2256">
        <v>229</v>
      </c>
      <c r="O2256">
        <v>4.48</v>
      </c>
      <c r="P2256">
        <v>3199</v>
      </c>
      <c r="Q2256" t="inlineStr">
        <is>
          <t>695fc77511e59500016d2cb1</t>
        </is>
      </c>
      <c r="R2256"/>
      <c r="S2256" t="inlineStr">
        <is>
          <t>PPT模板</t>
        </is>
      </c>
      <c r="T2256" t="inlineStr">
        <is>
          <t>4.47</t>
        </is>
      </c>
      <c r="U2256" s="3">
        <v>46112.78107638889</v>
      </c>
      <c r="V2256"/>
      <c r="W2256" s="3">
        <v>46094</v>
      </c>
      <c r="X2256" t="inlineStr">
        <is>
          <t>03</t>
        </is>
      </c>
      <c r="Y2256" t="inlineStr">
        <is>
          <t>2026-Q1</t>
        </is>
      </c>
    </row>
    <row r="2257" ht="38.25" customHeight="1">
      <c r="A2257" t="inlineStr">
        <is>
          <t>马年年会游戏合集PPT</t>
        </is>
      </c>
      <c r="B2257" t="inlineStr">
        <is>
          <t>recvdJNf43YlRz.jpg</t>
        </is>
      </c>
      <c r="C2257" s="2" t="str">
        <f>=HYPERLINK("https://xhslink.com/m/1Twkgpq6nEb", "https://xhslink.com/m/1Twkgpq6nEb")</f>
        <v>https://xhslink.com/m/1Twkgpq6nEb</v>
      </c>
      <c r="D2257"/>
      <c r="E2257">
        <v>5908</v>
      </c>
      <c r="F2257">
        <v>9.9</v>
      </c>
      <c r="G2257"/>
      <c r="H2257">
        <v>4500</v>
      </c>
      <c r="I2257"/>
      <c r="J2257"/>
      <c r="K2257" t="inlineStr">
        <is>
          <t>马年年会策划PPT</t>
        </is>
      </c>
      <c r="L2257"/>
      <c r="M2257" t="inlineStr">
        <is>
          <t>美了个美的店</t>
        </is>
      </c>
      <c r="N2257">
        <v>2904</v>
      </c>
      <c r="O2257">
        <v>4.62</v>
      </c>
      <c r="P2257">
        <v>23000</v>
      </c>
      <c r="Q2257" t="inlineStr">
        <is>
          <t>694377584d11d7000156e5c1</t>
        </is>
      </c>
      <c r="R2257" t="inlineStr">
        <is>
          <t>🚫重复</t>
        </is>
      </c>
      <c r="S2257" t="inlineStr">
        <is>
          <t>PPT模板</t>
        </is>
      </c>
      <c r="T2257" t="inlineStr">
        <is>
          <t>2.03</t>
        </is>
      </c>
      <c r="U2257" s="3">
        <v>46112.78107638889</v>
      </c>
      <c r="V2257"/>
      <c r="W2257" s="3">
        <v>46094</v>
      </c>
      <c r="X2257" t="inlineStr">
        <is>
          <t>03</t>
        </is>
      </c>
      <c r="Y2257" t="inlineStr">
        <is>
          <t>2026-Q1</t>
        </is>
      </c>
    </row>
    <row r="2258" ht="38.25" customHeight="1">
      <c r="A2258" t="inlineStr">
        <is>
          <t>马年趣味游戏PPT 班会/年会/团建/聚会</t>
        </is>
      </c>
      <c r="B2258" t="inlineStr">
        <is>
          <t>recvdJNf43a851.jpg</t>
        </is>
      </c>
      <c r="C2258" s="2" t="str">
        <f>=HYPERLINK("https://xhslink.com/m/ANsRMBLX2NK", "https://xhslink.com/m/ANsRMBLX2NK")</f>
        <v>https://xhslink.com/m/ANsRMBLX2NK</v>
      </c>
      <c r="D2258"/>
      <c r="E2258">
        <v>4196</v>
      </c>
      <c r="F2258">
        <v>6.9</v>
      </c>
      <c r="G2258"/>
      <c r="H2258">
        <v>3000</v>
      </c>
      <c r="I2258"/>
      <c r="J2258"/>
      <c r="K2258" t="inlineStr">
        <is>
          <t>年会PPT</t>
        </is>
      </c>
      <c r="L2258"/>
      <c r="M2258" t="inlineStr">
        <is>
          <t>欣欣老师PPT的店</t>
        </is>
      </c>
      <c r="N2258">
        <v>2503</v>
      </c>
      <c r="O2258">
        <v>4.58</v>
      </c>
      <c r="P2258">
        <v>4755</v>
      </c>
      <c r="Q2258" t="inlineStr">
        <is>
          <t>6962250d7d284600014ea22b</t>
        </is>
      </c>
      <c r="R2258"/>
      <c r="S2258" t="inlineStr">
        <is>
          <t>PPT模板</t>
        </is>
      </c>
      <c r="T2258" t="inlineStr">
        <is>
          <t>1.68</t>
        </is>
      </c>
      <c r="U2258" s="3">
        <v>46112.78107638889</v>
      </c>
      <c r="V2258"/>
      <c r="W2258" s="3">
        <v>46094</v>
      </c>
      <c r="X2258" t="inlineStr">
        <is>
          <t>03</t>
        </is>
      </c>
      <c r="Y2258" t="inlineStr">
        <is>
          <t>2026-Q1</t>
        </is>
      </c>
    </row>
    <row r="2259" ht="38.25" customHeight="1">
      <c r="A2259" t="inlineStr">
        <is>
          <t>年会颁奖典礼ppt模板-含黑金/红金两个版本，需使用Windows系统</t>
        </is>
      </c>
      <c r="B2259" t="inlineStr">
        <is>
          <t>recvdJNf43JpQX.jpg</t>
        </is>
      </c>
      <c r="C2259" s="2" t="str">
        <f>=HYPERLINK("https://xhslink.com/m/3lM5GCO7gN6", "https://xhslink.com/m/3lM5GCO7gN6")</f>
        <v>https://xhslink.com/m/3lM5GCO7gN6</v>
      </c>
      <c r="D2259"/>
      <c r="E2259">
        <v>1977</v>
      </c>
      <c r="F2259">
        <v>19.9</v>
      </c>
      <c r="G2259"/>
      <c r="H2259">
        <v>1000</v>
      </c>
      <c r="I2259">
        <v>1000</v>
      </c>
      <c r="J2259"/>
      <c r="K2259" t="inlineStr">
        <is>
          <t>年会PPT</t>
        </is>
      </c>
      <c r="L2259"/>
      <c r="M2259" t="inlineStr">
        <is>
          <t>莲小蓬PPT的店</t>
        </is>
      </c>
      <c r="N2259">
        <v>12000</v>
      </c>
      <c r="O2259">
        <v>4.58</v>
      </c>
      <c r="P2259">
        <v>19000</v>
      </c>
      <c r="Q2259" t="inlineStr">
        <is>
          <t>6944d2b8e935e9000134e42c</t>
        </is>
      </c>
      <c r="R2259" t="inlineStr">
        <is>
          <t>🚫重复</t>
        </is>
      </c>
      <c r="S2259" t="inlineStr">
        <is>
          <t>PPT模板</t>
        </is>
      </c>
      <c r="T2259" t="inlineStr">
        <is>
          <t>0.16</t>
        </is>
      </c>
      <c r="U2259" s="3">
        <v>46112.78107638889</v>
      </c>
      <c r="V2259"/>
      <c r="W2259" s="3">
        <v>46094</v>
      </c>
      <c r="X2259" t="inlineStr">
        <is>
          <t>03</t>
        </is>
      </c>
      <c r="Y2259" t="inlineStr">
        <is>
          <t>2026-Q1</t>
        </is>
      </c>
    </row>
    <row r="2260" ht="38.25" customHeight="1">
      <c r="A2260" t="inlineStr">
        <is>
          <t>编号043-2026红色大气一马当先年会表彰PPT模板</t>
        </is>
      </c>
      <c r="B2260" t="inlineStr">
        <is>
          <t>recvdJNf432rVQ.jpg</t>
        </is>
      </c>
      <c r="C2260" s="2" t="str">
        <f>=HYPERLINK("https://xhslink.com/m/85NPkuMluj0", "https://xhslink.com/m/85NPkuMluj0")</f>
        <v>https://xhslink.com/m/85NPkuMluj0</v>
      </c>
      <c r="D2260"/>
      <c r="E2260">
        <v>1581</v>
      </c>
      <c r="F2260">
        <v>9.9</v>
      </c>
      <c r="G2260"/>
      <c r="H2260">
        <v>700</v>
      </c>
      <c r="I2260">
        <v>1000</v>
      </c>
      <c r="J2260"/>
      <c r="K2260" t="inlineStr">
        <is>
          <t>年会PPT</t>
        </is>
      </c>
      <c r="L2260"/>
      <c r="M2260" t="inlineStr">
        <is>
          <t>小威凉凉的店</t>
        </is>
      </c>
      <c r="N2260">
        <v>4490</v>
      </c>
      <c r="O2260">
        <v>4.56</v>
      </c>
      <c r="P2260">
        <v>5179</v>
      </c>
      <c r="Q2260" t="inlineStr">
        <is>
          <t>6901e459c4f8910001397a98</t>
        </is>
      </c>
      <c r="R2260"/>
      <c r="S2260" t="inlineStr">
        <is>
          <t>PPT模板</t>
        </is>
      </c>
      <c r="T2260" t="inlineStr">
        <is>
          <t>0.35</t>
        </is>
      </c>
      <c r="U2260" s="3">
        <v>46112.78107638889</v>
      </c>
      <c r="V2260"/>
      <c r="W2260" s="3">
        <v>46094</v>
      </c>
      <c r="X2260" t="inlineStr">
        <is>
          <t>03</t>
        </is>
      </c>
      <c r="Y2260" t="inlineStr">
        <is>
          <t>2026-Q1</t>
        </is>
      </c>
    </row>
    <row r="2261" ht="38.25" customHeight="1">
      <c r="A2261" t="inlineStr">
        <is>
          <t>Li老师·精品PPT课件模板（按照笔记对应编号下单）</t>
        </is>
      </c>
      <c r="B2261" t="inlineStr">
        <is>
          <t>recvdJNf43xXtz.jpg</t>
        </is>
      </c>
      <c r="C2261" s="2" t="str">
        <f>=HYPERLINK("https://xhslink.com/m/17DwX3xtguQ", "https://xhslink.com/m/17DwX3xtguQ")</f>
        <v>https://xhslink.com/m/17DwX3xtguQ</v>
      </c>
      <c r="D2261"/>
      <c r="E2261">
        <v>921</v>
      </c>
      <c r="F2261">
        <v>6.88</v>
      </c>
      <c r="G2261"/>
      <c r="H2261">
        <v>350</v>
      </c>
      <c r="I2261"/>
      <c r="J2261"/>
      <c r="K2261" t="inlineStr">
        <is>
          <t>年会PPT</t>
        </is>
      </c>
      <c r="L2261"/>
      <c r="M2261" t="inlineStr">
        <is>
          <t>Li老师素材宝藏库的店</t>
        </is>
      </c>
      <c r="N2261">
        <v>407</v>
      </c>
      <c r="O2261">
        <v>4.46</v>
      </c>
      <c r="P2261">
        <v>2623</v>
      </c>
      <c r="Q2261" t="inlineStr">
        <is>
          <t>693bd3639373f20001b8128a</t>
        </is>
      </c>
      <c r="R2261"/>
      <c r="S2261" t="inlineStr">
        <is>
          <t>PPT模板</t>
        </is>
      </c>
      <c r="T2261" t="inlineStr">
        <is>
          <t>2.26</t>
        </is>
      </c>
      <c r="U2261" s="3">
        <v>46112.78107638889</v>
      </c>
      <c r="V2261"/>
      <c r="W2261" s="3">
        <v>46094</v>
      </c>
      <c r="X2261" t="inlineStr">
        <is>
          <t>03</t>
        </is>
      </c>
      <c r="Y2261" t="inlineStr">
        <is>
          <t>2026-Q1</t>
        </is>
      </c>
    </row>
    <row r="2262" ht="38.25" customHeight="1">
      <c r="A2262" t="inlineStr">
        <is>
          <t>晚会年会搞笑开场快闪PPT模板</t>
        </is>
      </c>
      <c r="B2262" t="inlineStr">
        <is>
          <t>recvdJNf43krzI.jpg</t>
        </is>
      </c>
      <c r="C2262" s="2" t="str">
        <f>=HYPERLINK("https://xhslink.com/m/8n15BFWwdSf", "https://xhslink.com/m/8n15BFWwdSf")</f>
        <v>https://xhslink.com/m/8n15BFWwdSf</v>
      </c>
      <c r="D2262"/>
      <c r="E2262">
        <v>709</v>
      </c>
      <c r="F2262">
        <v>5.99</v>
      </c>
      <c r="G2262"/>
      <c r="H2262">
        <v>450</v>
      </c>
      <c r="I2262"/>
      <c r="J2262"/>
      <c r="K2262" t="inlineStr">
        <is>
          <t>年会PPT</t>
        </is>
      </c>
      <c r="L2262"/>
      <c r="M2262" t="inlineStr">
        <is>
          <t>黑豆豆PPT素材的店</t>
        </is>
      </c>
      <c r="N2262">
        <v>8416</v>
      </c>
      <c r="O2262">
        <v>4.55</v>
      </c>
      <c r="P2262">
        <v>32000</v>
      </c>
      <c r="Q2262" t="inlineStr">
        <is>
          <t>693b6c4051b8c00001424179</t>
        </is>
      </c>
      <c r="R2262"/>
      <c r="S2262" t="inlineStr">
        <is>
          <t>PPT模板</t>
        </is>
      </c>
      <c r="T2262" t="inlineStr">
        <is>
          <t>0.08</t>
        </is>
      </c>
      <c r="U2262" s="3">
        <v>46112.78107638889</v>
      </c>
      <c r="V2262"/>
      <c r="W2262" s="3">
        <v>46094</v>
      </c>
      <c r="X2262" t="inlineStr">
        <is>
          <t>03</t>
        </is>
      </c>
      <c r="Y2262" t="inlineStr">
        <is>
          <t>2026-Q1</t>
        </is>
      </c>
    </row>
    <row r="2263" ht="38.25" customHeight="1">
      <c r="A2263" t="inlineStr">
        <is>
          <t>购买前请认真阅读详情说明｜21:9比例企业年会ppt-共6P</t>
        </is>
      </c>
      <c r="B2263" t="inlineStr">
        <is>
          <t>recvdJNf43Rvci.jpg</t>
        </is>
      </c>
      <c r="C2263" s="2" t="str">
        <f>=HYPERLINK("https://xhslink.com/m/IOa0M6X7rD", "https://xhslink.com/m/IOa0M6X7rD")</f>
        <v>https://xhslink.com/m/IOa0M6X7rD</v>
      </c>
      <c r="D2263"/>
      <c r="E2263">
        <v>382</v>
      </c>
      <c r="F2263">
        <v>15.9</v>
      </c>
      <c r="G2263"/>
      <c r="H2263">
        <v>300</v>
      </c>
      <c r="I2263"/>
      <c r="J2263"/>
      <c r="K2263" t="inlineStr">
        <is>
          <t>年会PPT</t>
        </is>
      </c>
      <c r="L2263"/>
      <c r="M2263" t="inlineStr">
        <is>
          <t>花渔PPT｜祺祥演示的店</t>
        </is>
      </c>
      <c r="N2263">
        <v>2298</v>
      </c>
      <c r="O2263">
        <v>4.38</v>
      </c>
      <c r="P2263">
        <v>466</v>
      </c>
      <c r="Q2263" t="inlineStr">
        <is>
          <t>695bd5808a5a370001b48210</t>
        </is>
      </c>
      <c r="R2263"/>
      <c r="S2263" t="inlineStr">
        <is>
          <t>PPT模板</t>
        </is>
      </c>
      <c r="T2263" t="inlineStr">
        <is>
          <t>0.17</t>
        </is>
      </c>
      <c r="U2263" s="3">
        <v>46112.78107638889</v>
      </c>
      <c r="V2263"/>
      <c r="W2263" s="3">
        <v>46094</v>
      </c>
      <c r="X2263" t="inlineStr">
        <is>
          <t>03</t>
        </is>
      </c>
      <c r="Y2263" t="inlineStr">
        <is>
          <t>2026-Q1</t>
        </is>
      </c>
    </row>
    <row r="2264" ht="38.25" customHeight="1">
      <c r="A2264" t="inlineStr">
        <is>
          <t>【限时9.9】幼儿园班主任个人工作述职报告ppt</t>
        </is>
      </c>
      <c r="B2264" t="inlineStr">
        <is>
          <t>recvdJNf43JptW.jpg</t>
        </is>
      </c>
      <c r="C2264" s="2" t="str">
        <f>=HYPERLINK("https://xhslink.com/m/9asLgvJ36Fn", "https://xhslink.com/m/9asLgvJ36Fn")</f>
        <v>https://xhslink.com/m/9asLgvJ36Fn</v>
      </c>
      <c r="D2264"/>
      <c r="E2264">
        <v>733</v>
      </c>
      <c r="F2264">
        <v>9.9</v>
      </c>
      <c r="G2264"/>
      <c r="H2264">
        <v>300</v>
      </c>
      <c r="I2264"/>
      <c r="J2264"/>
      <c r="K2264" t="inlineStr">
        <is>
          <t>述职报告</t>
        </is>
      </c>
      <c r="L2264"/>
      <c r="M2264" t="inlineStr">
        <is>
          <t>一只小晨晨咨询的店</t>
        </is>
      </c>
      <c r="N2264">
        <v>3996</v>
      </c>
      <c r="O2264">
        <v>4.54</v>
      </c>
      <c r="P2264">
        <v>40000</v>
      </c>
      <c r="Q2264" t="inlineStr">
        <is>
          <t>6972eb1178d8d50001a2c9e1</t>
        </is>
      </c>
      <c r="R2264" t="inlineStr">
        <is>
          <t>🚫重复</t>
        </is>
      </c>
      <c r="S2264" t="inlineStr">
        <is>
          <t>PPT模板</t>
        </is>
      </c>
      <c r="T2264" t="inlineStr">
        <is>
          <t>0.18</t>
        </is>
      </c>
      <c r="U2264" s="3">
        <v>46112.78107638889</v>
      </c>
      <c r="V2264"/>
      <c r="W2264" s="3">
        <v>46094</v>
      </c>
      <c r="X2264" t="inlineStr">
        <is>
          <t>03</t>
        </is>
      </c>
      <c r="Y2264" t="inlineStr">
        <is>
          <t>2026-Q1</t>
        </is>
      </c>
    </row>
    <row r="2265" ht="38.25" customHeight="1">
      <c r="A2265" t="inlineStr">
        <is>
          <t>学生期末评语助手全自动一键生成（可修改 可导出 可直接打印）</t>
        </is>
      </c>
      <c r="B2265" t="inlineStr">
        <is>
          <t>recvdJNf434LJr.jpg</t>
        </is>
      </c>
      <c r="C2265" s="2" t="str">
        <f>=HYPERLINK("https://xhslink.com/m/8Qzp1NK8VwF", "https://xhslink.com/m/8Qzp1NK8VwF")</f>
        <v>https://xhslink.com/m/8Qzp1NK8VwF</v>
      </c>
      <c r="D2265"/>
      <c r="E2265">
        <v>3216</v>
      </c>
      <c r="F2265">
        <v>9.9</v>
      </c>
      <c r="G2265"/>
      <c r="H2265">
        <v>2500</v>
      </c>
      <c r="I2265">
        <v>3000</v>
      </c>
      <c r="J2265"/>
      <c r="K2265" t="inlineStr">
        <is>
          <t>期末评语</t>
        </is>
      </c>
      <c r="L2265" t="inlineStr">
        <is>
          <t>🔥低粉爆款</t>
        </is>
      </c>
      <c r="M2265" t="inlineStr">
        <is>
          <t>清清老师的高效资料馆的店</t>
        </is>
      </c>
      <c r="N2265">
        <v>226</v>
      </c>
      <c r="O2265">
        <v>4.42</v>
      </c>
      <c r="P2265">
        <v>3871</v>
      </c>
      <c r="Q2265" t="inlineStr">
        <is>
          <t>69477e884d11d70001aea489</t>
        </is>
      </c>
      <c r="R2265" t="inlineStr">
        <is>
          <t>🚫重复</t>
        </is>
      </c>
      <c r="S2265" t="inlineStr">
        <is>
          <t>老师资料</t>
        </is>
      </c>
      <c r="T2265" t="inlineStr">
        <is>
          <t>14.23</t>
        </is>
      </c>
      <c r="U2265" s="3">
        <v>46112.78107638889</v>
      </c>
      <c r="V2265"/>
      <c r="W2265" s="3">
        <v>46094</v>
      </c>
      <c r="X2265" t="inlineStr">
        <is>
          <t>03</t>
        </is>
      </c>
      <c r="Y2265" t="inlineStr">
        <is>
          <t>2026-Q1</t>
        </is>
      </c>
    </row>
    <row r="2266" ht="38.25" customHeight="1">
      <c r="A2266" t="inlineStr">
        <is>
          <t>2026马年创意期末评语多款可选古风可爱风特色期末评语中小学word</t>
        </is>
      </c>
      <c r="B2266" t="inlineStr">
        <is>
          <t>recvdJNf435xyE.jpg</t>
        </is>
      </c>
      <c r="C2266" s="2" t="str">
        <f>=HYPERLINK("https://xhslink.com/m/8n76HaokmB1", "https://xhslink.com/m/8n76HaokmB1")</f>
        <v>https://xhslink.com/m/8n76HaokmB1</v>
      </c>
      <c r="D2266"/>
      <c r="E2266">
        <v>3453</v>
      </c>
      <c r="F2266">
        <v>8.8</v>
      </c>
      <c r="G2266"/>
      <c r="H2266">
        <v>650</v>
      </c>
      <c r="I2266">
        <v>1000</v>
      </c>
      <c r="J2266"/>
      <c r="K2266" t="inlineStr">
        <is>
          <t>期末评语</t>
        </is>
      </c>
      <c r="L2266"/>
      <c r="M2266" t="inlineStr">
        <is>
          <t>小橙夏天的店</t>
        </is>
      </c>
      <c r="N2266">
        <v>9797</v>
      </c>
      <c r="O2266">
        <v>4.57</v>
      </c>
      <c r="P2266">
        <v>37000</v>
      </c>
      <c r="Q2266" t="inlineStr">
        <is>
          <t>694e5c5000d762000144a818</t>
        </is>
      </c>
      <c r="R2266" t="inlineStr">
        <is>
          <t>🚫重复</t>
        </is>
      </c>
      <c r="S2266" t="inlineStr">
        <is>
          <t>中小学教辅/教材</t>
        </is>
      </c>
      <c r="T2266" t="inlineStr">
        <is>
          <t>0.35</t>
        </is>
      </c>
      <c r="U2266" s="3">
        <v>46112.78107638889</v>
      </c>
      <c r="V2266"/>
      <c r="W2266" s="3">
        <v>46094</v>
      </c>
      <c r="X2266" t="inlineStr">
        <is>
          <t>03</t>
        </is>
      </c>
      <c r="Y2266" t="inlineStr">
        <is>
          <t>2026-Q1</t>
        </is>
      </c>
    </row>
    <row r="2267" ht="38.25" customHeight="1">
      <c r="A2267" t="inlineStr">
        <is>
          <t>笔记中同款期末评语电子版</t>
        </is>
      </c>
      <c r="B2267" t="inlineStr">
        <is>
          <t>recvdJNf43NskQ.jpg</t>
        </is>
      </c>
      <c r="C2267" s="2" t="str">
        <f>=HYPERLINK("https://xhslink.com/m/7sybtx4K5RV", "https://xhslink.com/m/7sybtx4K5RV")</f>
        <v>https://xhslink.com/m/7sybtx4K5RV</v>
      </c>
      <c r="D2267"/>
      <c r="E2267">
        <v>2662</v>
      </c>
      <c r="F2267">
        <v>8.8</v>
      </c>
      <c r="G2267"/>
      <c r="H2267">
        <v>700</v>
      </c>
      <c r="I2267">
        <v>1000</v>
      </c>
      <c r="J2267"/>
      <c r="K2267" t="inlineStr">
        <is>
          <t>期末评语</t>
        </is>
      </c>
      <c r="L2267"/>
      <c r="M2267" t="inlineStr">
        <is>
          <t>米老师PPT的店</t>
        </is>
      </c>
      <c r="N2267">
        <v>1374</v>
      </c>
      <c r="O2267">
        <v>4.57</v>
      </c>
      <c r="P2267">
        <v>13000</v>
      </c>
      <c r="Q2267" t="inlineStr">
        <is>
          <t>68668b240f178b0001e4e952</t>
        </is>
      </c>
      <c r="R2267" t="inlineStr">
        <is>
          <t>🚫重复</t>
        </is>
      </c>
      <c r="S2267" t="inlineStr">
        <is>
          <t>老师资料</t>
        </is>
      </c>
      <c r="T2267" t="inlineStr">
        <is>
          <t>1.94</t>
        </is>
      </c>
      <c r="U2267" s="3">
        <v>46112.78107638889</v>
      </c>
      <c r="V2267"/>
      <c r="W2267" s="3">
        <v>46094</v>
      </c>
      <c r="X2267" t="inlineStr">
        <is>
          <t>03</t>
        </is>
      </c>
      <c r="Y2267" t="inlineStr">
        <is>
          <t>2026-Q1</t>
        </is>
      </c>
    </row>
    <row r="2268" ht="38.25" customHeight="1">
      <c r="A2268" t="inlineStr">
        <is>
          <t>期末评语40多款合集 （拍一发全部评语，每种款式大概50人以上</t>
        </is>
      </c>
      <c r="B2268" t="inlineStr">
        <is>
          <t>recvdJNf43y2Wi.jpg</t>
        </is>
      </c>
      <c r="C2268" s="2" t="str">
        <f>=HYPERLINK("https://xhslink.com/m/4inaGa6AWNa", "https://xhslink.com/m/4inaGa6AWNa")</f>
        <v>https://xhslink.com/m/4inaGa6AWNa</v>
      </c>
      <c r="D2268"/>
      <c r="E2268">
        <v>2507</v>
      </c>
      <c r="F2268">
        <v>9.9</v>
      </c>
      <c r="G2268"/>
      <c r="H2268">
        <v>600</v>
      </c>
      <c r="I2268">
        <v>1000</v>
      </c>
      <c r="J2268"/>
      <c r="K2268" t="inlineStr">
        <is>
          <t>期末评语</t>
        </is>
      </c>
      <c r="L2268"/>
      <c r="M2268" t="inlineStr">
        <is>
          <t>小陈老师很哇塞🍒的店</t>
        </is>
      </c>
      <c r="N2268">
        <v>7268</v>
      </c>
      <c r="O2268">
        <v>4.51</v>
      </c>
      <c r="P2268">
        <v>5145</v>
      </c>
      <c r="Q2268" t="inlineStr">
        <is>
          <t>664de047ca6baf00011a87b6</t>
        </is>
      </c>
      <c r="R2268"/>
      <c r="S2268" t="inlineStr">
        <is>
          <t>老师资料</t>
        </is>
      </c>
      <c r="T2268" t="inlineStr">
        <is>
          <t>0.34</t>
        </is>
      </c>
      <c r="U2268" s="3">
        <v>46112.78107638889</v>
      </c>
      <c r="V2268"/>
      <c r="W2268" s="3">
        <v>46094</v>
      </c>
      <c r="X2268" t="inlineStr">
        <is>
          <t>03</t>
        </is>
      </c>
      <c r="Y2268" t="inlineStr">
        <is>
          <t>2026-Q1</t>
        </is>
      </c>
    </row>
    <row r="2269" ht="38.25" customHeight="1">
      <c r="A2269" t="inlineStr">
        <is>
          <t>期末班主任评语Ai生成 | Ai智能表格 |永久使用+送320篇评语大全</t>
        </is>
      </c>
      <c r="B2269" t="inlineStr">
        <is>
          <t>recvdJNf43cupq.jpg</t>
        </is>
      </c>
      <c r="C2269" s="2" t="str">
        <f>=HYPERLINK("https://xhslink.com/m/yrSsGOsHwq", "https://xhslink.com/m/yrSsGOsHwq")</f>
        <v>https://xhslink.com/m/yrSsGOsHwq</v>
      </c>
      <c r="D2269"/>
      <c r="E2269">
        <v>429</v>
      </c>
      <c r="F2269">
        <v>6.9</v>
      </c>
      <c r="G2269"/>
      <c r="H2269">
        <v>350</v>
      </c>
      <c r="I2269"/>
      <c r="J2269"/>
      <c r="K2269" t="inlineStr">
        <is>
          <t>期末评语</t>
        </is>
      </c>
      <c r="L2269"/>
      <c r="M2269" t="inlineStr">
        <is>
          <t>路莉数据分析咨询的店</t>
        </is>
      </c>
      <c r="N2269">
        <v>1432</v>
      </c>
      <c r="O2269">
        <v>4.38</v>
      </c>
      <c r="P2269">
        <v>429</v>
      </c>
      <c r="Q2269" t="inlineStr">
        <is>
          <t>6970e1eaa1496d00011cb638</t>
        </is>
      </c>
      <c r="R2269"/>
      <c r="S2269" t="inlineStr">
        <is>
          <t>老师资料</t>
        </is>
      </c>
      <c r="T2269" t="inlineStr">
        <is>
          <t>0.30</t>
        </is>
      </c>
      <c r="U2269" s="3">
        <v>46112.78107638889</v>
      </c>
      <c r="V2269"/>
      <c r="W2269" s="3">
        <v>46094</v>
      </c>
      <c r="X2269" t="inlineStr">
        <is>
          <t>03</t>
        </is>
      </c>
      <c r="Y2269" t="inlineStr">
        <is>
          <t>2026-Q1</t>
        </is>
      </c>
    </row>
    <row r="2270" ht="38.25" customHeight="1">
      <c r="A2270" t="inlineStr">
        <is>
          <t>初中数学七年级八年级九年级初一初二初三数学寒假预习衔接讲义</t>
        </is>
      </c>
      <c r="B2270" t="inlineStr">
        <is>
          <t>recvdJNf43rTDV.jpg</t>
        </is>
      </c>
      <c r="C2270" s="2" t="str">
        <f>=HYPERLINK("https://xhslink.com/m/8sZlKG2IAZW", "https://xhslink.com/m/8sZlKG2IAZW")</f>
        <v>https://xhslink.com/m/8sZlKG2IAZW</v>
      </c>
      <c r="D2270"/>
      <c r="E2270">
        <v>2684</v>
      </c>
      <c r="F2270">
        <v>75</v>
      </c>
      <c r="G2270"/>
      <c r="H2270">
        <v>1000</v>
      </c>
      <c r="I2270">
        <v>1000</v>
      </c>
      <c r="J2270"/>
      <c r="K2270" t="inlineStr">
        <is>
          <t>寒假衔接</t>
        </is>
      </c>
      <c r="L2270"/>
      <c r="M2270" t="inlineStr">
        <is>
          <t>数理化的店</t>
        </is>
      </c>
      <c r="N2270">
        <v>5266</v>
      </c>
      <c r="O2270">
        <v>4.56</v>
      </c>
      <c r="P2270">
        <v>12000</v>
      </c>
      <c r="Q2270" t="inlineStr">
        <is>
          <t>677e1cc4627fd900019533ba</t>
        </is>
      </c>
      <c r="R2270" t="inlineStr">
        <is>
          <t>🚫重复</t>
        </is>
      </c>
      <c r="S2270" t="inlineStr">
        <is>
          <t>中小学教辅/教材</t>
        </is>
      </c>
      <c r="T2270" t="inlineStr">
        <is>
          <t>0.51</t>
        </is>
      </c>
      <c r="U2270" s="3">
        <v>46112.78107638889</v>
      </c>
      <c r="V2270"/>
      <c r="W2270" s="3">
        <v>46094</v>
      </c>
      <c r="X2270" t="inlineStr">
        <is>
          <t>03</t>
        </is>
      </c>
      <c r="Y2270" t="inlineStr">
        <is>
          <t>2026-Q1</t>
        </is>
      </c>
    </row>
    <row r="2271" ht="38.25" customHeight="1">
      <c r="A2271" t="inlineStr">
        <is>
          <t>2025年春版人教版初中寒假衔接讲义提前预习复习电子版</t>
        </is>
      </c>
      <c r="B2271" t="inlineStr">
        <is>
          <t>recvdJNf43KeVd.jpg</t>
        </is>
      </c>
      <c r="C2271" s="2" t="str">
        <f>=HYPERLINK("https://xhslink.com/m/9TVItF2AgbO", "https://xhslink.com/m/9TVItF2AgbO")</f>
        <v>https://xhslink.com/m/9TVItF2AgbO</v>
      </c>
      <c r="D2271"/>
      <c r="E2271">
        <v>934</v>
      </c>
      <c r="F2271">
        <v>39.8</v>
      </c>
      <c r="G2271"/>
      <c r="H2271">
        <v>500</v>
      </c>
      <c r="I2271"/>
      <c r="J2271"/>
      <c r="K2271" t="inlineStr">
        <is>
          <t>寒假衔接</t>
        </is>
      </c>
      <c r="L2271"/>
      <c r="M2271" t="inlineStr">
        <is>
          <t>中考提分宝库的店</t>
        </is>
      </c>
      <c r="N2271">
        <v>22000</v>
      </c>
      <c r="O2271">
        <v>4.33</v>
      </c>
      <c r="P2271">
        <v>78000</v>
      </c>
      <c r="Q2271" t="inlineStr">
        <is>
          <t>678e091cf4d65700017a071e</t>
        </is>
      </c>
      <c r="R2271" t="inlineStr">
        <is>
          <t>🚫重复</t>
        </is>
      </c>
      <c r="S2271" t="inlineStr">
        <is>
          <t>中小学教辅/教材</t>
        </is>
      </c>
      <c r="T2271" t="inlineStr">
        <is>
          <t>0.04</t>
        </is>
      </c>
      <c r="U2271" s="3">
        <v>46112.78107638889</v>
      </c>
      <c r="V2271"/>
      <c r="W2271" s="3">
        <v>46094</v>
      </c>
      <c r="X2271" t="inlineStr">
        <is>
          <t>03</t>
        </is>
      </c>
      <c r="Y2271" t="inlineStr">
        <is>
          <t>2026-Q1</t>
        </is>
      </c>
    </row>
    <row r="2272" ht="38.25" customHeight="1">
      <c r="A2272" t="inlineStr">
        <is>
          <t>2026花椒酱国考税务面试高分经验电子笔记【题型拆解+素材背诵】</t>
        </is>
      </c>
      <c r="B2272" t="inlineStr">
        <is>
          <t>recvdJNf43jhwv.jpg</t>
        </is>
      </c>
      <c r="C2272" s="2" t="str">
        <f>=HYPERLINK("https://xhslink.com/m/6x0NvxTqGJX", "https://xhslink.com/m/6x0NvxTqGJX")</f>
        <v>https://xhslink.com/m/6x0NvxTqGJX</v>
      </c>
      <c r="D2272"/>
      <c r="E2272">
        <v>5739</v>
      </c>
      <c r="F2272">
        <v>1</v>
      </c>
      <c r="G2272"/>
      <c r="H2272">
        <v>1000</v>
      </c>
      <c r="I2272"/>
      <c r="J2272"/>
      <c r="K2272" t="inlineStr">
        <is>
          <t>面试经验</t>
        </is>
      </c>
      <c r="L2272"/>
      <c r="M2272" t="inlineStr">
        <is>
          <t>山岔村花椒酱的店</t>
        </is>
      </c>
      <c r="N2272">
        <v>18000</v>
      </c>
      <c r="O2272">
        <v>4.6</v>
      </c>
      <c r="P2272">
        <v>7137</v>
      </c>
      <c r="Q2272" t="inlineStr">
        <is>
          <t>67751db5ae8d7c000198b4c4</t>
        </is>
      </c>
      <c r="R2272"/>
      <c r="S2272" t="inlineStr">
        <is>
          <t>考公资料</t>
        </is>
      </c>
      <c r="T2272" t="inlineStr">
        <is>
          <t>0.32</t>
        </is>
      </c>
      <c r="U2272" s="3">
        <v>46112.78107638889</v>
      </c>
      <c r="V2272"/>
      <c r="W2272" s="3">
        <v>46094</v>
      </c>
      <c r="X2272" t="inlineStr">
        <is>
          <t>03</t>
        </is>
      </c>
      <c r="Y2272" t="inlineStr">
        <is>
          <t>2026-Q1</t>
        </is>
      </c>
    </row>
    <row r="2273" ht="38.25" customHeight="1">
      <c r="A2273" t="inlineStr">
        <is>
          <t>上岸熊·26上教资笔试中学科三重点笔记/精讲课</t>
        </is>
      </c>
      <c r="B2273" t="inlineStr">
        <is>
          <t>recvdJNf43gQN9.jpg</t>
        </is>
      </c>
      <c r="C2273" s="2" t="str">
        <f>=HYPERLINK("https://xhslink.com/m/2nXOyDdKeKV", "https://xhslink.com/m/2nXOyDdKeKV")</f>
        <v>https://xhslink.com/m/2nXOyDdKeKV</v>
      </c>
      <c r="D2273"/>
      <c r="E2273">
        <v>2713</v>
      </c>
      <c r="F2273">
        <v>59.9</v>
      </c>
      <c r="G2273"/>
      <c r="H2273">
        <v>350</v>
      </c>
      <c r="I2273">
        <v>1000</v>
      </c>
      <c r="J2273"/>
      <c r="K2273" t="inlineStr">
        <is>
          <t>教资笔试通关资料包</t>
        </is>
      </c>
      <c r="L2273"/>
      <c r="M2273" t="inlineStr">
        <is>
          <t>珞珞Y资料库的店</t>
        </is>
      </c>
      <c r="N2273">
        <v>6465</v>
      </c>
      <c r="O2273">
        <v>4.68</v>
      </c>
      <c r="P2273">
        <v>18000</v>
      </c>
      <c r="Q2273" t="inlineStr">
        <is>
          <t>681ad64a0e004a00010767bb</t>
        </is>
      </c>
      <c r="R2273" t="inlineStr">
        <is>
          <t>🚫重复</t>
        </is>
      </c>
      <c r="S2273" t="inlineStr">
        <is>
          <t>教资资料</t>
        </is>
      </c>
      <c r="T2273" t="inlineStr">
        <is>
          <t>0.42</t>
        </is>
      </c>
      <c r="U2273" s="3">
        <v>46112.78107638889</v>
      </c>
      <c r="V2273"/>
      <c r="W2273" s="3">
        <v>46094</v>
      </c>
      <c r="X2273" t="inlineStr">
        <is>
          <t>03</t>
        </is>
      </c>
      <c r="Y2273" t="inlineStr">
        <is>
          <t>2026-Q1</t>
        </is>
      </c>
    </row>
    <row r="2274" ht="38.25" customHeight="1">
      <c r="A2274" t="inlineStr">
        <is>
          <t>课前互动小游戏公开课活跃课堂气氛PPT课件（拍下自动发网盘）</t>
        </is>
      </c>
      <c r="B2274" t="inlineStr">
        <is>
          <t>recvdJNf43ZbnV.jpg</t>
        </is>
      </c>
      <c r="C2274" s="2" t="str">
        <f>=HYPERLINK("https://xhslink.com/m/1fdFqTzOs1p", "https://xhslink.com/m/1fdFqTzOs1p")</f>
        <v>https://xhslink.com/m/1fdFqTzOs1p</v>
      </c>
      <c r="D2274"/>
      <c r="E2274">
        <v>16000</v>
      </c>
      <c r="F2274">
        <v>56.9</v>
      </c>
      <c r="G2274"/>
      <c r="H2274">
        <v>2000</v>
      </c>
      <c r="I2274"/>
      <c r="J2274"/>
      <c r="K2274" t="inlineStr">
        <is>
          <t>PPT模板</t>
        </is>
      </c>
      <c r="L2274" t="inlineStr">
        <is>
          <t>🔥低粉爆款</t>
        </is>
      </c>
      <c r="M2274" t="inlineStr">
        <is>
          <t>小可学姐的店</t>
        </is>
      </c>
      <c r="N2274">
        <v>1636</v>
      </c>
      <c r="O2274">
        <v>4.5</v>
      </c>
      <c r="P2274">
        <v>25000</v>
      </c>
      <c r="Q2274" t="inlineStr">
        <is>
          <t>69671ddcd07ba000019c9e7f</t>
        </is>
      </c>
      <c r="R2274" t="inlineStr">
        <is>
          <t>🚫重复</t>
        </is>
      </c>
      <c r="S2274" t="inlineStr">
        <is>
          <t>PPT模板</t>
        </is>
      </c>
      <c r="T2274" t="inlineStr">
        <is>
          <t>9.78</t>
        </is>
      </c>
      <c r="U2274" s="3">
        <v>46112.78107638889</v>
      </c>
      <c r="V2274"/>
      <c r="W2274" s="3">
        <v>46094</v>
      </c>
      <c r="X2274" t="inlineStr">
        <is>
          <t>03</t>
        </is>
      </c>
      <c r="Y2274" t="inlineStr">
        <is>
          <t>2026-Q1</t>
        </is>
      </c>
    </row>
    <row r="2275" ht="38.25" customHeight="1">
      <c r="A2275" t="inlineStr">
        <is>
          <t>ssp上海学生英文报2026分类话题训练寒假合刊小学初高中寒假作业</t>
        </is>
      </c>
      <c r="B2275" t="inlineStr">
        <is>
          <t>recvdJNf43bbTP.jpg</t>
        </is>
      </c>
      <c r="C2275" s="2" t="str">
        <f>=HYPERLINK("https://xhslink.com/m/86wrsrjIi0O", "https://xhslink.com/m/86wrsrjIi0O")</f>
        <v>https://xhslink.com/m/86wrsrjIi0O</v>
      </c>
      <c r="D2275"/>
      <c r="E2275">
        <v>2755</v>
      </c>
      <c r="F2275">
        <v>398</v>
      </c>
      <c r="G2275"/>
      <c r="H2275">
        <v>2000</v>
      </c>
      <c r="I2275">
        <v>2000</v>
      </c>
      <c r="J2275"/>
      <c r="K2275" t="inlineStr">
        <is>
          <t>小学英语</t>
        </is>
      </c>
      <c r="L2275"/>
      <c r="M2275" t="inlineStr">
        <is>
          <t>慈怀书店的店</t>
        </is>
      </c>
      <c r="N2275">
        <v>5901</v>
      </c>
      <c r="O2275">
        <v>4.77</v>
      </c>
      <c r="P2275">
        <v>28000</v>
      </c>
      <c r="Q2275" t="inlineStr">
        <is>
          <t>6948f843b1e666000148267c</t>
        </is>
      </c>
      <c r="R2275" t="inlineStr">
        <is>
          <t>🚫重复</t>
        </is>
      </c>
      <c r="S2275" t="inlineStr">
        <is>
          <t>中小学教辅/教材</t>
        </is>
      </c>
      <c r="T2275" t="inlineStr">
        <is>
          <t>0.47</t>
        </is>
      </c>
      <c r="U2275" s="3">
        <v>46112.78107638889</v>
      </c>
      <c r="V2275"/>
      <c r="W2275" s="3">
        <v>46094</v>
      </c>
      <c r="X2275" t="inlineStr">
        <is>
          <t>03</t>
        </is>
      </c>
      <c r="Y2275" t="inlineStr">
        <is>
          <t>2026-Q1</t>
        </is>
      </c>
    </row>
    <row r="2276" ht="38.25" customHeight="1">
      <c r="A2276" t="inlineStr">
        <is>
          <t>26版30期快捷英语时文阅读理解小学版初中高中英语阅读</t>
        </is>
      </c>
      <c r="B2276" t="inlineStr">
        <is>
          <t>recvdJNf43s57r.jpg</t>
        </is>
      </c>
      <c r="C2276" s="2" t="str">
        <f>=HYPERLINK("https://xhslink.com/m/4m5hBZssjq3", "https://xhslink.com/m/4m5hBZssjq3")</f>
        <v>https://xhslink.com/m/4m5hBZssjq3</v>
      </c>
      <c r="D2276"/>
      <c r="E2276">
        <v>2354</v>
      </c>
      <c r="F2276">
        <v>29.8</v>
      </c>
      <c r="G2276"/>
      <c r="H2276">
        <v>450</v>
      </c>
      <c r="I2276"/>
      <c r="J2276"/>
      <c r="K2276" t="inlineStr">
        <is>
          <t>小学英语</t>
        </is>
      </c>
      <c r="L2276" t="inlineStr">
        <is>
          <t>🔥低粉爆款</t>
        </is>
      </c>
      <c r="M2276" t="inlineStr">
        <is>
          <t>胡同书舍的店</t>
        </is>
      </c>
      <c r="N2276">
        <v>17</v>
      </c>
      <c r="O2276">
        <v>4.76</v>
      </c>
      <c r="P2276">
        <v>3934</v>
      </c>
      <c r="Q2276" t="inlineStr">
        <is>
          <t>67dacbe7f073650015d04777</t>
        </is>
      </c>
      <c r="R2276"/>
      <c r="S2276" t="inlineStr">
        <is>
          <t>英语资料</t>
        </is>
      </c>
      <c r="T2276" t="inlineStr">
        <is>
          <t>138.47</t>
        </is>
      </c>
      <c r="U2276" s="3">
        <v>46112.78107638889</v>
      </c>
      <c r="V2276"/>
      <c r="W2276" s="3">
        <v>46094</v>
      </c>
      <c r="X2276" t="inlineStr">
        <is>
          <t>03</t>
        </is>
      </c>
      <c r="Y2276" t="inlineStr">
        <is>
          <t>2026-Q1</t>
        </is>
      </c>
    </row>
    <row r="2277" ht="38.25" customHeight="1">
      <c r="A2277" t="inlineStr">
        <is>
          <t>牧狼人 · 21世纪英语报二十一世纪英文报学生英语报纸25-26年小学初中高中</t>
        </is>
      </c>
      <c r="B2277" t="inlineStr">
        <is>
          <t>recvdJNf43Omfe.jpg</t>
        </is>
      </c>
      <c r="C2277" s="2" t="str">
        <f>=HYPERLINK("https://xhslink.com/m/4B55WnXqNND", "https://xhslink.com/m/4B55WnXqNND")</f>
        <v>https://xhslink.com/m/4B55WnXqNND</v>
      </c>
      <c r="D2277"/>
      <c r="E2277">
        <v>1338</v>
      </c>
      <c r="F2277">
        <v>429</v>
      </c>
      <c r="G2277"/>
      <c r="H2277">
        <v>150</v>
      </c>
      <c r="I2277"/>
      <c r="J2277"/>
      <c r="K2277" t="inlineStr">
        <is>
          <t>小学英语</t>
        </is>
      </c>
      <c r="L2277"/>
      <c r="M2277" t="inlineStr">
        <is>
          <t>牧狼人杂志旗舰店</t>
        </is>
      </c>
      <c r="N2277">
        <v>15000</v>
      </c>
      <c r="O2277">
        <v>4.77</v>
      </c>
      <c r="P2277">
        <v>35000</v>
      </c>
      <c r="Q2277" t="inlineStr">
        <is>
          <t>695dd658bb020d0001f0cf60</t>
        </is>
      </c>
      <c r="R2277" t="inlineStr">
        <is>
          <t>🚫重复</t>
        </is>
      </c>
      <c r="S2277" t="inlineStr">
        <is>
          <t>英语资料</t>
        </is>
      </c>
      <c r="T2277" t="inlineStr">
        <is>
          <t>0.09</t>
        </is>
      </c>
      <c r="U2277" s="3">
        <v>46112.78107638889</v>
      </c>
      <c r="V2277"/>
      <c r="W2277" s="3">
        <v>46094</v>
      </c>
      <c r="X2277" t="inlineStr">
        <is>
          <t>03</t>
        </is>
      </c>
      <c r="Y2277" t="inlineStr">
        <is>
          <t>2026-Q1</t>
        </is>
      </c>
    </row>
    <row r="2278" ht="38.25" customHeight="1">
      <c r="A2278" t="inlineStr">
        <is>
          <t>一本 · 【小学语法/语法每日一练】漫画口诀学语法 练透语法知识点</t>
        </is>
      </c>
      <c r="B2278" t="inlineStr">
        <is>
          <t>recvdJNf43cp1n.jpg</t>
        </is>
      </c>
      <c r="C2278" s="2" t="str">
        <f>=HYPERLINK("https://xhslink.com/m/51c9Vce10EN", "https://xhslink.com/m/51c9Vce10EN")</f>
        <v>https://xhslink.com/m/51c9Vce10EN</v>
      </c>
      <c r="D2278"/>
      <c r="E2278">
        <v>1017</v>
      </c>
      <c r="F2278">
        <v>49.9</v>
      </c>
      <c r="G2278"/>
      <c r="H2278">
        <v>100</v>
      </c>
      <c r="I2278"/>
      <c r="J2278"/>
      <c r="K2278" t="inlineStr">
        <is>
          <t>小学英语</t>
        </is>
      </c>
      <c r="L2278"/>
      <c r="M2278" t="inlineStr">
        <is>
          <t>一本-高中图书旗舰店</t>
        </is>
      </c>
      <c r="N2278">
        <v>13000</v>
      </c>
      <c r="O2278">
        <v>4.57</v>
      </c>
      <c r="P2278">
        <v>151000</v>
      </c>
      <c r="Q2278" t="inlineStr">
        <is>
          <t>68e71df93f37a90001390202</t>
        </is>
      </c>
      <c r="R2278" t="inlineStr">
        <is>
          <t>🚫重复</t>
        </is>
      </c>
      <c r="S2278" t="inlineStr">
        <is>
          <t>中小学教辅/教材</t>
        </is>
      </c>
      <c r="T2278" t="inlineStr">
        <is>
          <t>0.08</t>
        </is>
      </c>
      <c r="U2278" s="3">
        <v>46112.78107638889</v>
      </c>
      <c r="V2278"/>
      <c r="W2278" s="3">
        <v>46094</v>
      </c>
      <c r="X2278" t="inlineStr">
        <is>
          <t>03</t>
        </is>
      </c>
      <c r="Y2278" t="inlineStr">
        <is>
          <t>2026-Q1</t>
        </is>
      </c>
    </row>
    <row r="2279" ht="38.25" customHeight="1">
      <c r="A2279" t="inlineStr">
        <is>
          <t>全国版小升初奥数7大板块总复习资料（知识点+例题+练习）</t>
        </is>
      </c>
      <c r="B2279" t="inlineStr">
        <is>
          <t>recvdJNf43AbY8.jpg</t>
        </is>
      </c>
      <c r="C2279" s="2" t="str">
        <f>=HYPERLINK("https://xhslink.com/m/7t8Pdc7mzHK", "https://xhslink.com/m/7t8Pdc7mzHK")</f>
        <v>https://xhslink.com/m/7t8Pdc7mzHK</v>
      </c>
      <c r="D2279"/>
      <c r="E2279">
        <v>2831</v>
      </c>
      <c r="F2279">
        <v>9.9</v>
      </c>
      <c r="G2279"/>
      <c r="H2279">
        <v>400</v>
      </c>
      <c r="I2279">
        <v>1000</v>
      </c>
      <c r="J2279"/>
      <c r="K2279" t="inlineStr">
        <is>
          <t>小升初</t>
        </is>
      </c>
      <c r="L2279"/>
      <c r="M2279" t="inlineStr">
        <is>
          <t>羊羊老师资料库的店</t>
        </is>
      </c>
      <c r="N2279">
        <v>13000</v>
      </c>
      <c r="O2279">
        <v>4.58</v>
      </c>
      <c r="P2279">
        <v>10000</v>
      </c>
      <c r="Q2279" t="inlineStr">
        <is>
          <t>67c535087198db0001784a8c</t>
        </is>
      </c>
      <c r="R2279" t="inlineStr">
        <is>
          <t>🚫重复</t>
        </is>
      </c>
      <c r="S2279" t="inlineStr">
        <is>
          <t>中小学教辅/教材</t>
        </is>
      </c>
      <c r="T2279" t="inlineStr">
        <is>
          <t>0.22</t>
        </is>
      </c>
      <c r="U2279" s="3">
        <v>46112.78107638889</v>
      </c>
      <c r="V2279"/>
      <c r="W2279" s="3">
        <v>46094</v>
      </c>
      <c r="X2279" t="inlineStr">
        <is>
          <t>03</t>
        </is>
      </c>
      <c r="Y2279" t="inlineStr">
        <is>
          <t>2026-Q1</t>
        </is>
      </c>
    </row>
    <row r="2280" ht="38.25" customHeight="1">
      <c r="A2280" t="inlineStr">
        <is>
          <t>晨诵午读暮省每日晨读民国课本精选全套30册叶圣陶大字彩图注音版</t>
        </is>
      </c>
      <c r="B2280" t="inlineStr">
        <is>
          <t>__upload_recvdJNf43QC1L.jpg</t>
        </is>
      </c>
      <c r="C2280" s="2" t="str">
        <f>=HYPERLINK("https://xhslink.com/m/7kDF9tJHcc2", "https://xhslink.com/m/7kDF9tJHcc2")</f>
        <v>https://xhslink.com/m/7kDF9tJHcc2</v>
      </c>
      <c r="D2280"/>
      <c r="E2280">
        <v>2114</v>
      </c>
      <c r="F2280">
        <v>145</v>
      </c>
      <c r="G2280"/>
      <c r="H2280">
        <v>550</v>
      </c>
      <c r="I2280"/>
      <c r="J2280">
        <v>200</v>
      </c>
      <c r="K2280" t="inlineStr">
        <is>
          <t>小升初</t>
        </is>
      </c>
      <c r="L2280" t="inlineStr">
        <is>
          <t>🔥低粉爆款</t>
        </is>
      </c>
      <c r="M2280" t="inlineStr">
        <is>
          <t>图图图书的店</t>
        </is>
      </c>
      <c r="N2280">
        <v>629</v>
      </c>
      <c r="O2280">
        <v>4.55</v>
      </c>
      <c r="P2280">
        <v>6881</v>
      </c>
      <c r="Q2280" t="inlineStr">
        <is>
          <t>69672f0c9799e500154de187</t>
        </is>
      </c>
      <c r="R2280"/>
      <c r="S2280" t="inlineStr">
        <is>
          <t>中小学教辅/教材</t>
        </is>
      </c>
      <c r="T2280" t="inlineStr">
        <is>
          <t>3.36</t>
        </is>
      </c>
      <c r="U2280" s="3">
        <v>46112.78107638889</v>
      </c>
      <c r="V2280"/>
      <c r="W2280" s="3">
        <v>46094</v>
      </c>
      <c r="X2280" t="inlineStr">
        <is>
          <t>03</t>
        </is>
      </c>
      <c r="Y2280" t="inlineStr">
        <is>
          <t>2026-Q1</t>
        </is>
      </c>
    </row>
    <row r="2281" ht="38.25" customHeight="1">
      <c r="A2281" t="inlineStr">
        <is>
          <t>A633六年级小升初数学12类120题思维应用题专项练习有答案电子版</t>
        </is>
      </c>
      <c r="B2281" t="inlineStr">
        <is>
          <t>recvdJNf43E7Nh.jpg</t>
        </is>
      </c>
      <c r="C2281" s="2" t="str">
        <f>=HYPERLINK("https://xhslink.com/m/TQmfVXDZ08", "https://xhslink.com/m/TQmfVXDZ08")</f>
        <v>https://xhslink.com/m/TQmfVXDZ08</v>
      </c>
      <c r="D2281"/>
      <c r="E2281">
        <v>837</v>
      </c>
      <c r="F2281">
        <v>7.99</v>
      </c>
      <c r="G2281"/>
      <c r="H2281">
        <v>200</v>
      </c>
      <c r="I2281"/>
      <c r="J2281"/>
      <c r="K2281" t="inlineStr">
        <is>
          <t>小升初</t>
        </is>
      </c>
      <c r="L2281"/>
      <c r="M2281" t="inlineStr">
        <is>
          <t>爱笑的琪琪老师的店</t>
        </is>
      </c>
      <c r="N2281">
        <v>1974</v>
      </c>
      <c r="O2281">
        <v>4.54</v>
      </c>
      <c r="P2281">
        <v>9789</v>
      </c>
      <c r="Q2281" t="inlineStr">
        <is>
          <t>680ed7d71eb4eb0001b8099a</t>
        </is>
      </c>
      <c r="R2281"/>
      <c r="S2281" t="inlineStr">
        <is>
          <t>中小学教辅/教材</t>
        </is>
      </c>
      <c r="T2281" t="inlineStr">
        <is>
          <t>0.42</t>
        </is>
      </c>
      <c r="U2281" s="3">
        <v>46112.78107638889</v>
      </c>
      <c r="V2281"/>
      <c r="W2281" s="3">
        <v>46094</v>
      </c>
      <c r="X2281" t="inlineStr">
        <is>
          <t>03</t>
        </is>
      </c>
      <c r="Y2281" t="inlineStr">
        <is>
          <t>2026-Q1</t>
        </is>
      </c>
    </row>
    <row r="2282" ht="38.25" customHeight="1">
      <c r="A2282" t="inlineStr">
        <is>
          <t>【全套】装修预算表＋风格效果图＋避坑手册＋报价模板</t>
        </is>
      </c>
      <c r="B2282" t="inlineStr">
        <is>
          <t>recvdJNf43peTg.jpg</t>
        </is>
      </c>
      <c r="C2282" s="2" t="str">
        <f>=HYPERLINK("https://xhslink.com/m/1UZWVKqESZH", "https://xhslink.com/m/1UZWVKqESZH")</f>
        <v>https://xhslink.com/m/1UZWVKqESZH</v>
      </c>
      <c r="D2282"/>
      <c r="E2282">
        <v>1581</v>
      </c>
      <c r="F2282">
        <v>28.9</v>
      </c>
      <c r="G2282"/>
      <c r="H2282">
        <v>100</v>
      </c>
      <c r="I2282"/>
      <c r="J2282"/>
      <c r="K2282" t="inlineStr">
        <is>
          <t>装修</t>
        </is>
      </c>
      <c r="L2282"/>
      <c r="M2282" t="inlineStr">
        <is>
          <t>虎爸(入住啦)的店</t>
        </is>
      </c>
      <c r="N2282">
        <v>2176</v>
      </c>
      <c r="O2282">
        <v>4.56</v>
      </c>
      <c r="P2282">
        <v>7700</v>
      </c>
      <c r="Q2282" t="inlineStr">
        <is>
          <t>6879ceb3e019f2000120f734</t>
        </is>
      </c>
      <c r="R2282" t="inlineStr">
        <is>
          <t>🚫重复</t>
        </is>
      </c>
      <c r="S2282" t="inlineStr">
        <is>
          <t>生活成长</t>
        </is>
      </c>
      <c r="T2282" t="inlineStr">
        <is>
          <t>0.73</t>
        </is>
      </c>
      <c r="U2282" s="3">
        <v>46112.78107638889</v>
      </c>
      <c r="V2282"/>
      <c r="W2282" s="3">
        <v>46094</v>
      </c>
      <c r="X2282" t="inlineStr">
        <is>
          <t>03</t>
        </is>
      </c>
      <c r="Y2282" t="inlineStr">
        <is>
          <t>2026-Q1</t>
        </is>
      </c>
    </row>
    <row r="2283" ht="38.25" customHeight="1">
      <c r="A2283" t="inlineStr">
        <is>
          <t>童宝奇 · 0～3岁宝宝早教启蒙《宝宝好习惯养成亲子推拉书》（全10册）</t>
        </is>
      </c>
      <c r="B2283" t="inlineStr">
        <is>
          <t>recvdJNf43VvEN.jpg</t>
        </is>
      </c>
      <c r="C2283" s="2" t="str">
        <f>=HYPERLINK("https://xhslink.com/m/vygx74d0sK", "https://xhslink.com/m/vygx74d0sK")</f>
        <v>https://xhslink.com/m/vygx74d0sK</v>
      </c>
      <c r="D2283"/>
      <c r="E2283">
        <v>28000</v>
      </c>
      <c r="F2283">
        <v>18.8</v>
      </c>
      <c r="G2283"/>
      <c r="H2283">
        <v>1000</v>
      </c>
      <c r="I2283"/>
      <c r="J2283"/>
      <c r="K2283" t="inlineStr">
        <is>
          <t>启蒙</t>
        </is>
      </c>
      <c r="L2283" t="inlineStr">
        <is>
          <t>🔥低粉爆款</t>
        </is>
      </c>
      <c r="M2283" t="inlineStr">
        <is>
          <t>童童乐文化书坊的店</t>
        </is>
      </c>
      <c r="N2283">
        <v>1590</v>
      </c>
      <c r="O2283">
        <v>4.71</v>
      </c>
      <c r="P2283">
        <v>56000</v>
      </c>
      <c r="Q2283" t="inlineStr">
        <is>
          <t>67bd2dd7f2389c00019f75f8</t>
        </is>
      </c>
      <c r="R2283"/>
      <c r="S2283" t="inlineStr">
        <is>
          <t>幼教资料</t>
        </is>
      </c>
      <c r="T2283" t="inlineStr">
        <is>
          <t>17.61</t>
        </is>
      </c>
      <c r="U2283" s="3">
        <v>46112.78107638889</v>
      </c>
      <c r="V2283"/>
      <c r="W2283" s="3">
        <v>46094</v>
      </c>
      <c r="X2283" t="inlineStr">
        <is>
          <t>03</t>
        </is>
      </c>
      <c r="Y2283" t="inlineStr">
        <is>
          <t>2026-Q1</t>
        </is>
      </c>
    </row>
    <row r="2284" ht="38.25" customHeight="1">
      <c r="A2284" t="inlineStr">
        <is>
          <t>三联《少年新知》杂志  9-16岁青少年思维启蒙杂志</t>
        </is>
      </c>
      <c r="B2284" t="inlineStr">
        <is>
          <t>recvdJNf43vxjp.jpg</t>
        </is>
      </c>
      <c r="C2284" s="2" t="str">
        <f>=HYPERLINK("https://xhslink.com/m/7SctCIgWaaB", "https://xhslink.com/m/7SctCIgWaaB")</f>
        <v>https://xhslink.com/m/7SctCIgWaaB</v>
      </c>
      <c r="D2284"/>
      <c r="E2284">
        <v>15000</v>
      </c>
      <c r="F2284">
        <v>285</v>
      </c>
      <c r="G2284"/>
      <c r="H2284">
        <v>300</v>
      </c>
      <c r="I2284"/>
      <c r="J2284"/>
      <c r="K2284" t="inlineStr">
        <is>
          <t>启蒙</t>
        </is>
      </c>
      <c r="L2284"/>
      <c r="M2284" t="inlineStr">
        <is>
          <t>尖叫童年杂志小铺的店</t>
        </is>
      </c>
      <c r="N2284">
        <v>5800</v>
      </c>
      <c r="O2284">
        <v>4.57</v>
      </c>
      <c r="P2284">
        <v>32000</v>
      </c>
      <c r="Q2284" t="inlineStr">
        <is>
          <t>68da59d417d808000140b321</t>
        </is>
      </c>
      <c r="R2284"/>
      <c r="S2284" t="inlineStr">
        <is>
          <t>中小学教辅/教材</t>
        </is>
      </c>
      <c r="T2284" t="inlineStr">
        <is>
          <t>2.59</t>
        </is>
      </c>
      <c r="U2284" s="3">
        <v>46112.78107638889</v>
      </c>
      <c r="V2284"/>
      <c r="W2284" s="3">
        <v>46094</v>
      </c>
      <c r="X2284" t="inlineStr">
        <is>
          <t>03</t>
        </is>
      </c>
      <c r="Y2284" t="inlineStr">
        <is>
          <t>2026-Q1</t>
        </is>
      </c>
    </row>
    <row r="2285" ht="38.25" customHeight="1">
      <c r="A2285" t="inlineStr">
        <is>
          <t>悦刊 · 商界少年杂志2025年-2026年订阅9-15岁青少年商业财经启蒙期刊</t>
        </is>
      </c>
      <c r="B2285" t="inlineStr">
        <is>
          <t>recvdJNf43RlbO.jpg</t>
        </is>
      </c>
      <c r="C2285" s="2" t="str">
        <f>=HYPERLINK("https://xhslink.com/m/3lxXY5r2PIG", "https://xhslink.com/m/3lxXY5r2PIG")</f>
        <v>https://xhslink.com/m/3lxXY5r2PIG</v>
      </c>
      <c r="D2285"/>
      <c r="E2285">
        <v>10000</v>
      </c>
      <c r="F2285">
        <v>258</v>
      </c>
      <c r="G2285"/>
      <c r="H2285">
        <v>550</v>
      </c>
      <c r="I2285">
        <v>1000</v>
      </c>
      <c r="J2285"/>
      <c r="K2285" t="inlineStr">
        <is>
          <t>启蒙</t>
        </is>
      </c>
      <c r="L2285"/>
      <c r="M2285" t="inlineStr">
        <is>
          <t>悦刊旗舰店</t>
        </is>
      </c>
      <c r="N2285">
        <v>84000</v>
      </c>
      <c r="O2285">
        <v>4.73</v>
      </c>
      <c r="P2285">
        <v>189000</v>
      </c>
      <c r="Q2285" t="inlineStr">
        <is>
          <t>65e16bb088bacf0001d5333c</t>
        </is>
      </c>
      <c r="R2285" t="inlineStr">
        <is>
          <t>🚫重复</t>
        </is>
      </c>
      <c r="S2285" t="inlineStr">
        <is>
          <t>中小学教辅/教材</t>
        </is>
      </c>
      <c r="T2285" t="inlineStr">
        <is>
          <t>0.12</t>
        </is>
      </c>
      <c r="U2285" s="3">
        <v>46112.78107638889</v>
      </c>
      <c r="V2285"/>
      <c r="W2285" s="3">
        <v>46094</v>
      </c>
      <c r="X2285" t="inlineStr">
        <is>
          <t>03</t>
        </is>
      </c>
      <c r="Y2285" t="inlineStr">
        <is>
          <t>2026-Q1</t>
        </is>
      </c>
    </row>
    <row r="2286" ht="38.25" customHeight="1">
      <c r="A2286" t="inlineStr">
        <is>
          <t>鳐鳐鱼 · 百数板经典数学蒙氏启蒙Yaofish桌游教具</t>
        </is>
      </c>
      <c r="B2286" t="inlineStr">
        <is>
          <t>recvdJNf43LXoR.jpg</t>
        </is>
      </c>
      <c r="C2286" s="2" t="str">
        <f>=HYPERLINK("https://xhslink.com/m/6f1wSW2Yboq", "https://xhslink.com/m/6f1wSW2Yboq")</f>
        <v>https://xhslink.com/m/6f1wSW2Yboq</v>
      </c>
      <c r="D2286"/>
      <c r="E2286">
        <v>5505</v>
      </c>
      <c r="F2286">
        <v>318</v>
      </c>
      <c r="G2286"/>
      <c r="H2286">
        <v>100</v>
      </c>
      <c r="I2286"/>
      <c r="J2286"/>
      <c r="K2286" t="inlineStr">
        <is>
          <t>启蒙</t>
        </is>
      </c>
      <c r="L2286"/>
      <c r="M2286" t="inlineStr">
        <is>
          <t>Yaofish鳐鳐鱼旗舰店</t>
        </is>
      </c>
      <c r="N2286">
        <v>20000</v>
      </c>
      <c r="O2286">
        <v>4.72</v>
      </c>
      <c r="P2286">
        <v>62000</v>
      </c>
      <c r="Q2286" t="inlineStr">
        <is>
          <t>62ac13c819ef5900014d69af</t>
        </is>
      </c>
      <c r="R2286"/>
      <c r="S2286" t="inlineStr">
        <is>
          <t>幼教资料</t>
        </is>
      </c>
      <c r="T2286" t="inlineStr">
        <is>
          <t>0.28</t>
        </is>
      </c>
      <c r="U2286" s="3">
        <v>46112.78107638889</v>
      </c>
      <c r="V2286"/>
      <c r="W2286" s="3">
        <v>46094</v>
      </c>
      <c r="X2286" t="inlineStr">
        <is>
          <t>03</t>
        </is>
      </c>
      <c r="Y2286" t="inlineStr">
        <is>
          <t>2026-Q1</t>
        </is>
      </c>
    </row>
    <row r="2287" ht="38.25" customHeight="1">
      <c r="A2287" t="inlineStr">
        <is>
          <t>See，Touch，Feel低幼感官启蒙认知 英文原版触摸书·YXBB</t>
        </is>
      </c>
      <c r="B2287" t="inlineStr">
        <is>
          <t>recvdJNf43oZJd.jpg</t>
        </is>
      </c>
      <c r="C2287" s="2" t="str">
        <f>=HYPERLINK("https://xhslink.com/m/9Ru3rSEoBx8", "https://xhslink.com/m/9Ru3rSEoBx8")</f>
        <v>https://xhslink.com/m/9Ru3rSEoBx8</v>
      </c>
      <c r="D2287"/>
      <c r="E2287">
        <v>1004</v>
      </c>
      <c r="F2287">
        <v>288</v>
      </c>
      <c r="G2287"/>
      <c r="H2287">
        <v>450</v>
      </c>
      <c r="I2287"/>
      <c r="J2287"/>
      <c r="K2287" t="inlineStr">
        <is>
          <t>启蒙</t>
        </is>
      </c>
      <c r="L2287"/>
      <c r="M2287" t="inlineStr">
        <is>
          <t>美珵书坊的店</t>
        </is>
      </c>
      <c r="N2287">
        <v>1236</v>
      </c>
      <c r="O2287">
        <v>4.69</v>
      </c>
      <c r="P2287">
        <v>6693</v>
      </c>
      <c r="Q2287" t="inlineStr">
        <is>
          <t>6718db46a7061200015e5529</t>
        </is>
      </c>
      <c r="R2287"/>
      <c r="S2287" t="inlineStr">
        <is>
          <t>幼教资料</t>
        </is>
      </c>
      <c r="T2287" t="inlineStr">
        <is>
          <t>0.81</t>
        </is>
      </c>
      <c r="U2287" s="3">
        <v>46112.78107638889</v>
      </c>
      <c r="V2287"/>
      <c r="W2287" s="3">
        <v>46094</v>
      </c>
      <c r="X2287" t="inlineStr">
        <is>
          <t>03</t>
        </is>
      </c>
      <c r="Y2287" t="inlineStr">
        <is>
          <t>2026-Q1</t>
        </is>
      </c>
    </row>
    <row r="2288" ht="38.25" customHeight="1">
      <c r="A2288" t="inlineStr">
        <is>
          <t>正版 蔡志忠给孩子的国学经典漫画 全17册 小学生启蒙系列课外书</t>
        </is>
      </c>
      <c r="B2288" t="inlineStr">
        <is>
          <t>recvdJNf434EbL.jpg</t>
        </is>
      </c>
      <c r="C2288" s="2" t="str">
        <f>=HYPERLINK("https://xhslink.com/m/2lYpHdiWmsT", "https://xhslink.com/m/2lYpHdiWmsT")</f>
        <v>https://xhslink.com/m/2lYpHdiWmsT</v>
      </c>
      <c r="D2288"/>
      <c r="E2288">
        <v>783</v>
      </c>
      <c r="F2288">
        <v>326</v>
      </c>
      <c r="G2288"/>
      <c r="H2288">
        <v>350</v>
      </c>
      <c r="I2288"/>
      <c r="J2288"/>
      <c r="K2288" t="inlineStr">
        <is>
          <t>启蒙</t>
        </is>
      </c>
      <c r="L2288"/>
      <c r="M2288"/>
      <c r="N2288"/>
      <c r="O2288"/>
      <c r="P2288"/>
      <c r="Q2288"/>
      <c r="R2288"/>
      <c r="S2288" t="inlineStr">
        <is>
          <t>中小学教辅/教材</t>
        </is>
      </c>
      <c r="T2288"/>
      <c r="U2288" s="3">
        <v>46112.78107638889</v>
      </c>
      <c r="V2288"/>
      <c r="W2288" s="3">
        <v>46094</v>
      </c>
      <c r="X2288" t="inlineStr">
        <is>
          <t>03</t>
        </is>
      </c>
      <c r="Y2288" t="inlineStr">
        <is>
          <t>2026-Q1</t>
        </is>
      </c>
    </row>
    <row r="2289" ht="38.25" customHeight="1">
      <c r="A2289" t="inlineStr">
        <is>
          <t>巧虎 · 【番茄罐头专属】早教培养套装习惯语言思维启蒙培养</t>
        </is>
      </c>
      <c r="B2289" t="inlineStr">
        <is>
          <t>recvdJNf43wnM8.jpg</t>
        </is>
      </c>
      <c r="C2289" s="2" t="str">
        <f>=HYPERLINK("https://xhslink.com/m/34iPMTlM3DJ", "https://xhslink.com/m/34iPMTlM3DJ")</f>
        <v>https://xhslink.com/m/34iPMTlM3DJ</v>
      </c>
      <c r="D2289"/>
      <c r="E2289">
        <v>459</v>
      </c>
      <c r="F2289">
        <v>3489</v>
      </c>
      <c r="G2289"/>
      <c r="H2289">
        <v>250</v>
      </c>
      <c r="I2289"/>
      <c r="J2289"/>
      <c r="K2289" t="inlineStr">
        <is>
          <t>启蒙</t>
        </is>
      </c>
      <c r="L2289"/>
      <c r="M2289" t="inlineStr">
        <is>
          <t>巧虎旗舰店</t>
        </is>
      </c>
      <c r="N2289">
        <v>23000</v>
      </c>
      <c r="O2289">
        <v>4.53</v>
      </c>
      <c r="P2289">
        <v>608</v>
      </c>
      <c r="Q2289" t="inlineStr">
        <is>
          <t>697055a7eb2ffb000127cccf</t>
        </is>
      </c>
      <c r="R2289"/>
      <c r="S2289" t="inlineStr">
        <is>
          <t>幼教资料</t>
        </is>
      </c>
      <c r="T2289" t="inlineStr">
        <is>
          <t>0.02</t>
        </is>
      </c>
      <c r="U2289" s="3">
        <v>46112.78107638889</v>
      </c>
      <c r="V2289"/>
      <c r="W2289" s="3">
        <v>46094</v>
      </c>
      <c r="X2289" t="inlineStr">
        <is>
          <t>03</t>
        </is>
      </c>
      <c r="Y2289" t="inlineStr">
        <is>
          <t>2026-Q1</t>
        </is>
      </c>
    </row>
    <row r="2290" ht="38.25" customHeight="1">
      <c r="A2290" t="inlineStr">
        <is>
          <t>黑暗三角人格测试-在线测试-秒出报告售出不退换</t>
        </is>
      </c>
      <c r="B2290" t="inlineStr">
        <is>
          <t>recvdJNf43hkEh.jpg</t>
        </is>
      </c>
      <c r="C2290" s="2" t="str">
        <f>=HYPERLINK("https://xhslink.com/m/1ZMbcjKzZFo", "https://xhslink.com/m/1ZMbcjKzZFo")</f>
        <v>https://xhslink.com/m/1ZMbcjKzZFo</v>
      </c>
      <c r="D2290"/>
      <c r="E2290">
        <v>59000</v>
      </c>
      <c r="F2290">
        <v>1.99</v>
      </c>
      <c r="G2290"/>
      <c r="H2290">
        <v>150</v>
      </c>
      <c r="I2290"/>
      <c r="J2290"/>
      <c r="K2290" t="inlineStr">
        <is>
          <t>电子资料</t>
        </is>
      </c>
      <c r="L2290" t="inlineStr">
        <is>
          <t>🔥低粉爆款</t>
        </is>
      </c>
      <c r="M2290" t="inlineStr">
        <is>
          <t>身心疗愈邮局的店</t>
        </is>
      </c>
      <c r="N2290">
        <v>3671</v>
      </c>
      <c r="O2290">
        <v>3.87</v>
      </c>
      <c r="P2290">
        <v>118000</v>
      </c>
      <c r="Q2290" t="inlineStr">
        <is>
          <t>68e3d5c17d3b3f0001ecb8f5</t>
        </is>
      </c>
      <c r="R2290" t="inlineStr">
        <is>
          <t>🚫重复</t>
        </is>
      </c>
      <c r="S2290" t="inlineStr">
        <is>
          <t>生活成长</t>
        </is>
      </c>
      <c r="T2290" t="inlineStr">
        <is>
          <t>16.07</t>
        </is>
      </c>
      <c r="U2290" s="3">
        <v>46112.78107638889</v>
      </c>
      <c r="V2290"/>
      <c r="W2290" s="3">
        <v>46094</v>
      </c>
      <c r="X2290" t="inlineStr">
        <is>
          <t>03</t>
        </is>
      </c>
      <c r="Y2290" t="inlineStr">
        <is>
          <t>2026-Q1</t>
        </is>
      </c>
    </row>
    <row r="2291" ht="38.25" customHeight="1">
      <c r="A2291" t="inlineStr">
        <is>
          <t>超全备婚资料（电子版可编辑，省时省力）</t>
        </is>
      </c>
      <c r="B2291" t="inlineStr">
        <is>
          <t>recvdJNf43VaYK.jpg</t>
        </is>
      </c>
      <c r="C2291" s="2" t="str">
        <f>=HYPERLINK("https://xhslink.com/m/2WyuslBfbEw", "https://xhslink.com/m/2WyuslBfbEw")</f>
        <v>https://xhslink.com/m/2WyuslBfbEw</v>
      </c>
      <c r="D2291"/>
      <c r="E2291">
        <v>20000</v>
      </c>
      <c r="F2291">
        <v>1.88</v>
      </c>
      <c r="G2291"/>
      <c r="H2291">
        <v>300</v>
      </c>
      <c r="I2291">
        <v>2000</v>
      </c>
      <c r="J2291"/>
      <c r="K2291" t="inlineStr">
        <is>
          <t>电子资料</t>
        </is>
      </c>
      <c r="L2291"/>
      <c r="M2291" t="inlineStr">
        <is>
          <t>瑶瑶的备婚日记的店</t>
        </is>
      </c>
      <c r="N2291">
        <v>24000</v>
      </c>
      <c r="O2291">
        <v>4.49</v>
      </c>
      <c r="P2291">
        <v>21000</v>
      </c>
      <c r="Q2291" t="inlineStr">
        <is>
          <t>67c4539449f1f10001a584b5</t>
        </is>
      </c>
      <c r="R2291"/>
      <c r="S2291" t="inlineStr">
        <is>
          <t>无匹配类别</t>
        </is>
      </c>
      <c r="T2291" t="inlineStr">
        <is>
          <t>0.83</t>
        </is>
      </c>
      <c r="U2291" s="3">
        <v>46112.78107638889</v>
      </c>
      <c r="V2291"/>
      <c r="W2291" s="3">
        <v>46094</v>
      </c>
      <c r="X2291" t="inlineStr">
        <is>
          <t>03</t>
        </is>
      </c>
      <c r="Y2291" t="inlineStr">
        <is>
          <t>2026-Q1</t>
        </is>
      </c>
    </row>
    <row r="2292" ht="38.25" customHeight="1">
      <c r="A2292" t="inlineStr">
        <is>
          <t>2026社区工作者招聘考试题库软件笔记资料社区知识行测公基专业</t>
        </is>
      </c>
      <c r="B2292" t="inlineStr">
        <is>
          <t>recvdJNf43YTde.jpg</t>
        </is>
      </c>
      <c r="C2292" s="2" t="str">
        <f>=HYPERLINK("https://xhslink.com/m/3zLu9cZQNfl", "https://xhslink.com/m/3zLu9cZQNfl")</f>
        <v>https://xhslink.com/m/3zLu9cZQNfl</v>
      </c>
      <c r="D2292"/>
      <c r="E2292">
        <v>13000</v>
      </c>
      <c r="F2292">
        <v>66</v>
      </c>
      <c r="G2292"/>
      <c r="H2292">
        <v>150</v>
      </c>
      <c r="I2292"/>
      <c r="J2292"/>
      <c r="K2292" t="inlineStr">
        <is>
          <t>电子资料</t>
        </is>
      </c>
      <c r="L2292"/>
      <c r="M2292" t="inlineStr">
        <is>
          <t>乐X峰题库I星途的店</t>
        </is>
      </c>
      <c r="N2292">
        <v>12000</v>
      </c>
      <c r="O2292">
        <v>4.55</v>
      </c>
      <c r="P2292">
        <v>81000</v>
      </c>
      <c r="Q2292" t="inlineStr">
        <is>
          <t>6942d22bf489e400019dde58</t>
        </is>
      </c>
      <c r="R2292" t="inlineStr">
        <is>
          <t>🚫重复</t>
        </is>
      </c>
      <c r="S2292" t="inlineStr">
        <is>
          <t>无匹配类别</t>
        </is>
      </c>
      <c r="T2292" t="inlineStr">
        <is>
          <t>1.08</t>
        </is>
      </c>
      <c r="U2292" s="3">
        <v>46112.78107638889</v>
      </c>
      <c r="V2292"/>
      <c r="W2292" s="3">
        <v>46094</v>
      </c>
      <c r="X2292" t="inlineStr">
        <is>
          <t>03</t>
        </is>
      </c>
      <c r="Y2292" t="inlineStr">
        <is>
          <t>2026-Q1</t>
        </is>
      </c>
    </row>
    <row r="2293" ht="38.25" customHeight="1">
      <c r="A2293" t="inlineStr">
        <is>
          <t>护考知识点大全全部考点知识题目大全真题模拟题母题高频题电子版</t>
        </is>
      </c>
      <c r="B2293" t="inlineStr">
        <is>
          <t>recvdJNf43YlFP.jpg</t>
        </is>
      </c>
      <c r="C2293" s="2" t="str">
        <f>=HYPERLINK("https://xhslink.com/m/G5Q1mJStoD", "https://xhslink.com/m/G5Q1mJStoD")</f>
        <v>https://xhslink.com/m/G5Q1mJStoD</v>
      </c>
      <c r="D2293"/>
      <c r="E2293">
        <v>7357</v>
      </c>
      <c r="F2293">
        <v>6.99</v>
      </c>
      <c r="G2293"/>
      <c r="H2293">
        <v>350</v>
      </c>
      <c r="I2293"/>
      <c r="J2293"/>
      <c r="K2293" t="inlineStr">
        <is>
          <t>电子资料</t>
        </is>
      </c>
      <c r="L2293" t="inlineStr">
        <is>
          <t>🔥低粉爆款</t>
        </is>
      </c>
      <c r="M2293" t="inlineStr">
        <is>
          <t>大萝卜卜卜的店</t>
        </is>
      </c>
      <c r="N2293">
        <v>921</v>
      </c>
      <c r="O2293">
        <v>4.42</v>
      </c>
      <c r="P2293">
        <v>8770</v>
      </c>
      <c r="Q2293" t="inlineStr">
        <is>
          <t>67d93cd929b9f700019e130d</t>
        </is>
      </c>
      <c r="R2293" t="inlineStr">
        <is>
          <t>🚫重复</t>
        </is>
      </c>
      <c r="S2293" t="inlineStr">
        <is>
          <t>无匹配类别</t>
        </is>
      </c>
      <c r="T2293" t="inlineStr">
        <is>
          <t>7.99</t>
        </is>
      </c>
      <c r="U2293" s="3">
        <v>46112.78107638889</v>
      </c>
      <c r="V2293"/>
      <c r="W2293" s="3">
        <v>46094</v>
      </c>
      <c r="X2293" t="inlineStr">
        <is>
          <t>03</t>
        </is>
      </c>
      <c r="Y2293" t="inlineStr">
        <is>
          <t>2026-Q1</t>
        </is>
      </c>
    </row>
    <row r="2294" ht="38.25" customHeight="1">
      <c r="A2294" t="inlineStr">
        <is>
          <t>量子与猫 · 2026全年计划日程本|电子手账|Goodnotes模板|Notability学习笔记</t>
        </is>
      </c>
      <c r="B2294" t="inlineStr">
        <is>
          <t>recvdJNf43s431.jpg</t>
        </is>
      </c>
      <c r="C2294" s="2" t="str">
        <f>=HYPERLINK("https://xhslink.com/m/2VYVuQlSCJB", "https://xhslink.com/m/2VYVuQlSCJB")</f>
        <v>https://xhslink.com/m/2VYVuQlSCJB</v>
      </c>
      <c r="D2294"/>
      <c r="E2294">
        <v>6979</v>
      </c>
      <c r="F2294">
        <v>99.99</v>
      </c>
      <c r="G2294"/>
      <c r="H2294">
        <v>150</v>
      </c>
      <c r="I2294"/>
      <c r="J2294"/>
      <c r="K2294" t="inlineStr">
        <is>
          <t>电子资料</t>
        </is>
      </c>
      <c r="L2294"/>
      <c r="M2294" t="inlineStr">
        <is>
          <t>量子与猫🌟的店</t>
        </is>
      </c>
      <c r="N2294">
        <v>39000</v>
      </c>
      <c r="O2294">
        <v>4.55</v>
      </c>
      <c r="P2294">
        <v>12000</v>
      </c>
      <c r="Q2294" t="inlineStr">
        <is>
          <t>65901b5fc76db1000117ff7e</t>
        </is>
      </c>
      <c r="R2294" t="inlineStr">
        <is>
          <t>🚫重复</t>
        </is>
      </c>
      <c r="S2294" t="inlineStr">
        <is>
          <t>生活成长</t>
        </is>
      </c>
      <c r="T2294" t="inlineStr">
        <is>
          <t>0.18</t>
        </is>
      </c>
      <c r="U2294" s="3">
        <v>46112.78107638889</v>
      </c>
      <c r="V2294"/>
      <c r="W2294" s="3">
        <v>46094</v>
      </c>
      <c r="X2294" t="inlineStr">
        <is>
          <t>03</t>
        </is>
      </c>
      <c r="Y2294" t="inlineStr">
        <is>
          <t>2026-Q1</t>
        </is>
      </c>
    </row>
    <row r="2295" ht="38.25" customHeight="1">
      <c r="A2295" t="inlineStr">
        <is>
          <t>2026中考总复习一轮二轮专题专项语文数学英语物化生政史地课件</t>
        </is>
      </c>
      <c r="B2295" t="inlineStr">
        <is>
          <t>recvdJNf43pGDF.jpg</t>
        </is>
      </c>
      <c r="C2295" s="2" t="str">
        <f>=HYPERLINK("https://xhslink.com/m/17eHGgu9zzC", "https://xhslink.com/m/17eHGgu9zzC")</f>
        <v>https://xhslink.com/m/17eHGgu9zzC</v>
      </c>
      <c r="D2295"/>
      <c r="E2295">
        <v>4140</v>
      </c>
      <c r="F2295">
        <v>68.8</v>
      </c>
      <c r="G2295"/>
      <c r="H2295">
        <v>150</v>
      </c>
      <c r="I2295"/>
      <c r="J2295"/>
      <c r="K2295" t="inlineStr">
        <is>
          <t>电子资料</t>
        </is>
      </c>
      <c r="L2295"/>
      <c r="M2295" t="inlineStr">
        <is>
          <t>高效工作坊的店</t>
        </is>
      </c>
      <c r="N2295">
        <v>15000</v>
      </c>
      <c r="O2295">
        <v>4.55</v>
      </c>
      <c r="P2295">
        <v>41000</v>
      </c>
      <c r="Q2295" t="inlineStr">
        <is>
          <t>65d46971728a2d00013bb877</t>
        </is>
      </c>
      <c r="R2295"/>
      <c r="S2295" t="inlineStr">
        <is>
          <t>中小学教辅/教材</t>
        </is>
      </c>
      <c r="T2295" t="inlineStr">
        <is>
          <t>0.28</t>
        </is>
      </c>
      <c r="U2295" s="3">
        <v>46112.78107638889</v>
      </c>
      <c r="V2295"/>
      <c r="W2295" s="3">
        <v>46094</v>
      </c>
      <c r="X2295" t="inlineStr">
        <is>
          <t>03</t>
        </is>
      </c>
      <c r="Y2295" t="inlineStr">
        <is>
          <t>2026-Q1</t>
        </is>
      </c>
    </row>
    <row r="2296" ht="38.25" customHeight="1">
      <c r="A2296" t="inlineStr">
        <is>
          <t>【2026结构化面试热点逐字稿合集(260+道题)】更新中...</t>
        </is>
      </c>
      <c r="B2296" t="inlineStr">
        <is>
          <t>recvdJNf43gxF4.jpg</t>
        </is>
      </c>
      <c r="C2296" s="2" t="str">
        <f>=HYPERLINK("https://xhslink.com/m/5sF4N4FiM7I", "https://xhslink.com/m/5sF4N4FiM7I")</f>
        <v>https://xhslink.com/m/5sF4N4FiM7I</v>
      </c>
      <c r="D2296"/>
      <c r="E2296">
        <v>3612</v>
      </c>
      <c r="F2296">
        <v>69.9</v>
      </c>
      <c r="G2296"/>
      <c r="H2296">
        <v>150</v>
      </c>
      <c r="I2296"/>
      <c r="J2296"/>
      <c r="K2296" t="inlineStr">
        <is>
          <t>电子资料</t>
        </is>
      </c>
      <c r="L2296"/>
      <c r="M2296" t="inlineStr">
        <is>
          <t>岸上人张老师（结构化）的店</t>
        </is>
      </c>
      <c r="N2296">
        <v>19000</v>
      </c>
      <c r="O2296">
        <v>4.57</v>
      </c>
      <c r="P2296">
        <v>6057</v>
      </c>
      <c r="Q2296" t="inlineStr">
        <is>
          <t>67f17bcdae4ae00001bffb1b</t>
        </is>
      </c>
      <c r="R2296" t="inlineStr">
        <is>
          <t>🚫重复</t>
        </is>
      </c>
      <c r="S2296" t="inlineStr">
        <is>
          <t>求职面试/职场</t>
        </is>
      </c>
      <c r="T2296" t="inlineStr">
        <is>
          <t>0.19</t>
        </is>
      </c>
      <c r="U2296" s="3">
        <v>46112.78107638889</v>
      </c>
      <c r="V2296"/>
      <c r="W2296" s="3">
        <v>46094</v>
      </c>
      <c r="X2296" t="inlineStr">
        <is>
          <t>03</t>
        </is>
      </c>
      <c r="Y2296" t="inlineStr">
        <is>
          <t>2026-Q1</t>
        </is>
      </c>
    </row>
    <row r="2297" ht="38.25" customHeight="1">
      <c r="A2297" t="inlineStr">
        <is>
          <t>777万字申论资料库</t>
        </is>
      </c>
      <c r="B2297" t="inlineStr">
        <is>
          <t>recvdJNf43hejY.jpg</t>
        </is>
      </c>
      <c r="C2297" s="2" t="str">
        <f>=HYPERLINK("https://xhslink.com/m/8LvHEeFj1i", "https://xhslink.com/m/8LvHEeFj1i")</f>
        <v>https://xhslink.com/m/8LvHEeFj1i</v>
      </c>
      <c r="D2297"/>
      <c r="E2297">
        <v>3220</v>
      </c>
      <c r="F2297">
        <v>129</v>
      </c>
      <c r="G2297"/>
      <c r="H2297">
        <v>100</v>
      </c>
      <c r="I2297"/>
      <c r="J2297"/>
      <c r="K2297" t="inlineStr">
        <is>
          <t>电子资料</t>
        </is>
      </c>
      <c r="L2297"/>
      <c r="M2297" t="inlineStr">
        <is>
          <t>松松上岸笔记的店</t>
        </is>
      </c>
      <c r="N2297">
        <v>69000</v>
      </c>
      <c r="O2297">
        <v>4.04</v>
      </c>
      <c r="P2297">
        <v>4161</v>
      </c>
      <c r="Q2297" t="inlineStr">
        <is>
          <t>68a9baa7a50cd90001c61fa0</t>
        </is>
      </c>
      <c r="R2297"/>
      <c r="S2297" t="inlineStr">
        <is>
          <t>考公资料</t>
        </is>
      </c>
      <c r="T2297" t="inlineStr">
        <is>
          <t>0.05</t>
        </is>
      </c>
      <c r="U2297" s="3">
        <v>46112.78107638889</v>
      </c>
      <c r="V2297"/>
      <c r="W2297" s="3">
        <v>46094</v>
      </c>
      <c r="X2297" t="inlineStr">
        <is>
          <t>03</t>
        </is>
      </c>
      <c r="Y2297" t="inlineStr">
        <is>
          <t>2026-Q1</t>
        </is>
      </c>
    </row>
    <row r="2298" ht="38.25" customHeight="1">
      <c r="A2298" t="inlineStr">
        <is>
          <t>26国家公务员考试/省考行测申论知识库合集 名师笔记、考公知识库</t>
        </is>
      </c>
      <c r="B2298" t="inlineStr">
        <is>
          <t>recvdJNf43c56v.jpg</t>
        </is>
      </c>
      <c r="C2298" s="2" t="str">
        <f>=HYPERLINK("https://xhslink.com/m/A6iLDFrMRnX", "https://xhslink.com/m/A6iLDFrMRnX")</f>
        <v>https://xhslink.com/m/A6iLDFrMRnX</v>
      </c>
      <c r="D2298"/>
      <c r="E2298">
        <v>3191</v>
      </c>
      <c r="F2298">
        <v>99.9</v>
      </c>
      <c r="G2298"/>
      <c r="H2298">
        <v>100</v>
      </c>
      <c r="I2298"/>
      <c r="J2298"/>
      <c r="K2298" t="inlineStr">
        <is>
          <t>电子资料</t>
        </is>
      </c>
      <c r="L2298" t="inlineStr">
        <is>
          <t>🔥低粉爆款</t>
        </is>
      </c>
      <c r="M2298" t="inlineStr">
        <is>
          <t>上岸秘籍库的店</t>
        </is>
      </c>
      <c r="N2298">
        <v>895</v>
      </c>
      <c r="O2298">
        <v>4.58</v>
      </c>
      <c r="P2298">
        <v>3688</v>
      </c>
      <c r="Q2298" t="inlineStr">
        <is>
          <t>68a0ad8da1d30c0001f14318</t>
        </is>
      </c>
      <c r="R2298"/>
      <c r="S2298" t="inlineStr">
        <is>
          <t>考公资料</t>
        </is>
      </c>
      <c r="T2298" t="inlineStr">
        <is>
          <t>3.57</t>
        </is>
      </c>
      <c r="U2298" s="3">
        <v>46112.78107638889</v>
      </c>
      <c r="V2298"/>
      <c r="W2298" s="3">
        <v>46094</v>
      </c>
      <c r="X2298" t="inlineStr">
        <is>
          <t>03</t>
        </is>
      </c>
      <c r="Y2298" t="inlineStr">
        <is>
          <t>2026-Q1</t>
        </is>
      </c>
    </row>
    <row r="2299" ht="38.25" customHeight="1">
      <c r="A2299" t="inlineStr">
        <is>
          <t>超实用的不晚文创落地课 |16期（3.18-4.21）（15期可插班）</t>
        </is>
      </c>
      <c r="B2299" t="inlineStr">
        <is>
          <t>recvdJNf43QMHe.jpg</t>
        </is>
      </c>
      <c r="C2299" s="2" t="str">
        <f>=HYPERLINK("https://xhslink.com/m/akH4VBcR8q", "https://xhslink.com/m/akH4VBcR8q")</f>
        <v>https://xhslink.com/m/akH4VBcR8q</v>
      </c>
      <c r="D2299"/>
      <c r="E2299">
        <v>3082</v>
      </c>
      <c r="F2299">
        <v>539</v>
      </c>
      <c r="G2299"/>
      <c r="H2299">
        <v>100</v>
      </c>
      <c r="I2299"/>
      <c r="J2299"/>
      <c r="K2299" t="inlineStr">
        <is>
          <t>电子资料</t>
        </is>
      </c>
      <c r="L2299"/>
      <c r="M2299" t="inlineStr">
        <is>
          <t>不晚君的店</t>
        </is>
      </c>
      <c r="N2299">
        <v>81000</v>
      </c>
      <c r="O2299">
        <v>4.48</v>
      </c>
      <c r="P2299">
        <v>15000</v>
      </c>
      <c r="Q2299" t="inlineStr">
        <is>
          <t>65e9d4b73bf4500001fb58ae</t>
        </is>
      </c>
      <c r="R2299"/>
      <c r="S2299" t="inlineStr">
        <is>
          <t>无匹配类别</t>
        </is>
      </c>
      <c r="T2299" t="inlineStr">
        <is>
          <t>0.04</t>
        </is>
      </c>
      <c r="U2299" s="3">
        <v>46112.78107638889</v>
      </c>
      <c r="V2299"/>
      <c r="W2299" s="3">
        <v>46094</v>
      </c>
      <c r="X2299" t="inlineStr">
        <is>
          <t>03</t>
        </is>
      </c>
      <c r="Y2299" t="inlineStr">
        <is>
          <t>2026-Q1</t>
        </is>
      </c>
    </row>
    <row r="2300" ht="38.25" customHeight="1">
      <c r="A2300" t="inlineStr">
        <is>
          <t>教资备考2026考试笔试网课幼儿小学初高中历年真题电子版讲义题库</t>
        </is>
      </c>
      <c r="B2300" t="inlineStr">
        <is>
          <t>recvdJNf43HN25.jpg</t>
        </is>
      </c>
      <c r="C2300" s="2" t="str">
        <f>=HYPERLINK("https://xhslink.com/m/1qZ8KS5wHTZ", "https://xhslink.com/m/1qZ8KS5wHTZ")</f>
        <v>https://xhslink.com/m/1qZ8KS5wHTZ</v>
      </c>
      <c r="D2300"/>
      <c r="E2300">
        <v>2686</v>
      </c>
      <c r="F2300">
        <v>76</v>
      </c>
      <c r="G2300"/>
      <c r="H2300">
        <v>200</v>
      </c>
      <c r="I2300"/>
      <c r="J2300"/>
      <c r="K2300" t="inlineStr">
        <is>
          <t>电子资料</t>
        </is>
      </c>
      <c r="L2300" t="inlineStr">
        <is>
          <t>🔥低粉爆款</t>
        </is>
      </c>
      <c r="M2300" t="inlineStr">
        <is>
          <t>知一学姐的店</t>
        </is>
      </c>
      <c r="N2300">
        <v>281</v>
      </c>
      <c r="O2300">
        <v>4.42</v>
      </c>
      <c r="P2300">
        <v>6571</v>
      </c>
      <c r="Q2300" t="inlineStr">
        <is>
          <t>680681b1382e1700010aeb74</t>
        </is>
      </c>
      <c r="R2300" t="inlineStr">
        <is>
          <t>🚫重复</t>
        </is>
      </c>
      <c r="S2300" t="inlineStr">
        <is>
          <t>教资资料</t>
        </is>
      </c>
      <c r="T2300" t="inlineStr">
        <is>
          <t>9.56</t>
        </is>
      </c>
      <c r="U2300" s="3">
        <v>46112.78107638889</v>
      </c>
      <c r="V2300"/>
      <c r="W2300" s="3">
        <v>46094</v>
      </c>
      <c r="X2300" t="inlineStr">
        <is>
          <t>03</t>
        </is>
      </c>
      <c r="Y2300" t="inlineStr">
        <is>
          <t>2026-Q1</t>
        </is>
      </c>
    </row>
    <row r="2301" ht="38.25" customHeight="1">
      <c r="A2301" t="inlineStr">
        <is>
          <t>3-12岁儿童原版娃路线启蒙资料</t>
        </is>
      </c>
      <c r="B2301" t="inlineStr">
        <is>
          <t>recvdJNf43EkN5.jpg</t>
        </is>
      </c>
      <c r="C2301" s="2" t="str">
        <f>=HYPERLINK("https://xhslink.com/m/51YcH5qlUXa", "https://xhslink.com/m/51YcH5qlUXa")</f>
        <v>https://xhslink.com/m/51YcH5qlUXa</v>
      </c>
      <c r="D2301"/>
      <c r="E2301">
        <v>2499</v>
      </c>
      <c r="F2301">
        <v>99</v>
      </c>
      <c r="G2301"/>
      <c r="H2301">
        <v>200</v>
      </c>
      <c r="I2301"/>
      <c r="J2301"/>
      <c r="K2301" t="inlineStr">
        <is>
          <t>电子资料</t>
        </is>
      </c>
      <c r="L2301"/>
      <c r="M2301" t="inlineStr">
        <is>
          <t>格格爸的店</t>
        </is>
      </c>
      <c r="N2301">
        <v>112000</v>
      </c>
      <c r="O2301">
        <v>4.47</v>
      </c>
      <c r="P2301">
        <v>2500</v>
      </c>
      <c r="Q2301" t="inlineStr">
        <is>
          <t>6902da2170719200016d322e</t>
        </is>
      </c>
      <c r="R2301" t="inlineStr">
        <is>
          <t>🚫重复</t>
        </is>
      </c>
      <c r="S2301" t="inlineStr">
        <is>
          <t>中小学教辅/教材</t>
        </is>
      </c>
      <c r="T2301" t="inlineStr">
        <is>
          <t>0.02</t>
        </is>
      </c>
      <c r="U2301" s="3">
        <v>46112.78107638889</v>
      </c>
      <c r="V2301"/>
      <c r="W2301" s="3">
        <v>46094</v>
      </c>
      <c r="X2301" t="inlineStr">
        <is>
          <t>03</t>
        </is>
      </c>
      <c r="Y2301" t="inlineStr">
        <is>
          <t>2026-Q1</t>
        </is>
      </c>
    </row>
    <row r="2302" ht="38.25" customHeight="1">
      <c r="A2302" t="inlineStr">
        <is>
          <t>26春新版1-6年级语文上下册教案｜word｜可编辑｜可打印</t>
        </is>
      </c>
      <c r="B2302" t="inlineStr">
        <is>
          <t>recvdJNf431z1A.jpg</t>
        </is>
      </c>
      <c r="C2302" s="2" t="str">
        <f>=HYPERLINK("https://xhslink.com/m/7oZvLsiXFoD", "https://xhslink.com/m/7oZvLsiXFoD")</f>
        <v>https://xhslink.com/m/7oZvLsiXFoD</v>
      </c>
      <c r="D2302"/>
      <c r="E2302">
        <v>2537</v>
      </c>
      <c r="F2302">
        <v>69.9</v>
      </c>
      <c r="G2302"/>
      <c r="H2302">
        <v>350</v>
      </c>
      <c r="I2302"/>
      <c r="J2302"/>
      <c r="K2302" t="inlineStr">
        <is>
          <t>电子资料</t>
        </is>
      </c>
      <c r="L2302"/>
      <c r="M2302" t="inlineStr">
        <is>
          <t>宝藏教师周茉的店</t>
        </is>
      </c>
      <c r="N2302">
        <v>1927</v>
      </c>
      <c r="O2302">
        <v>4.47</v>
      </c>
      <c r="P2302">
        <v>5975</v>
      </c>
      <c r="Q2302" t="inlineStr">
        <is>
          <t>688a337b9e837400018dded8</t>
        </is>
      </c>
      <c r="R2302" t="inlineStr">
        <is>
          <t>🚫重复</t>
        </is>
      </c>
      <c r="S2302" t="inlineStr">
        <is>
          <t>中小学教辅/教材</t>
        </is>
      </c>
      <c r="T2302" t="inlineStr">
        <is>
          <t>1.32</t>
        </is>
      </c>
      <c r="U2302" s="3">
        <v>46112.78107638889</v>
      </c>
      <c r="V2302"/>
      <c r="W2302" s="3">
        <v>46094</v>
      </c>
      <c r="X2302" t="inlineStr">
        <is>
          <t>03</t>
        </is>
      </c>
      <c r="Y2302" t="inlineStr">
        <is>
          <t>2026-Q1</t>
        </is>
      </c>
    </row>
    <row r="2303" ht="38.25" customHeight="1">
      <c r="A2303" t="inlineStr">
        <is>
          <t>2026新版小学数学一二三四五六年级上下册级资料包</t>
        </is>
      </c>
      <c r="B2303" t="inlineStr">
        <is>
          <t>recvdJNf43MpSQ.jpg</t>
        </is>
      </c>
      <c r="C2303" s="2" t="str">
        <f>=HYPERLINK("https://xhslink.com/m/nDAGKSUwBT", "https://xhslink.com/m/nDAGKSUwBT")</f>
        <v>https://xhslink.com/m/nDAGKSUwBT</v>
      </c>
      <c r="D2303"/>
      <c r="E2303">
        <v>1714</v>
      </c>
      <c r="F2303">
        <v>88.6</v>
      </c>
      <c r="G2303"/>
      <c r="H2303">
        <v>100</v>
      </c>
      <c r="I2303"/>
      <c r="J2303"/>
      <c r="K2303" t="inlineStr">
        <is>
          <t>电子资料</t>
        </is>
      </c>
      <c r="L2303"/>
      <c r="M2303" t="inlineStr">
        <is>
          <t>晓晓老师成长记的店</t>
        </is>
      </c>
      <c r="N2303">
        <v>11000</v>
      </c>
      <c r="O2303">
        <v>4.47</v>
      </c>
      <c r="P2303">
        <v>4366</v>
      </c>
      <c r="Q2303" t="inlineStr">
        <is>
          <t>68ea3308c67e470001833e97</t>
        </is>
      </c>
      <c r="R2303" t="inlineStr">
        <is>
          <t>🚫重复</t>
        </is>
      </c>
      <c r="S2303" t="inlineStr">
        <is>
          <t>中小学教辅/教材</t>
        </is>
      </c>
      <c r="T2303" t="inlineStr">
        <is>
          <t>0.16</t>
        </is>
      </c>
      <c r="U2303" s="3">
        <v>46112.78107638889</v>
      </c>
      <c r="V2303"/>
      <c r="W2303" s="3">
        <v>46094</v>
      </c>
      <c r="X2303" t="inlineStr">
        <is>
          <t>03</t>
        </is>
      </c>
      <c r="Y2303" t="inlineStr">
        <is>
          <t>2026-Q1</t>
        </is>
      </c>
    </row>
    <row r="2304" ht="38.25" customHeight="1">
      <c r="A2304" t="inlineStr">
        <is>
          <t>白得拼Baidepin · 医智赢MDWIN写文书办公辅助书写助手ai工具人工智能手机热点蓝牙</t>
        </is>
      </c>
      <c r="B2304" t="inlineStr">
        <is>
          <t>recvdJNf43P4dX.jpg</t>
        </is>
      </c>
      <c r="C2304" s="2" t="str">
        <f>=HYPERLINK("https://xhslink.com/m/8TZb67aS0sx", "https://xhslink.com/m/8TZb67aS0sx")</f>
        <v>https://xhslink.com/m/8TZb67aS0sx</v>
      </c>
      <c r="D2304"/>
      <c r="E2304">
        <v>1627</v>
      </c>
      <c r="F2304">
        <v>279</v>
      </c>
      <c r="G2304"/>
      <c r="H2304">
        <v>250</v>
      </c>
      <c r="I2304"/>
      <c r="J2304"/>
      <c r="K2304" t="inlineStr">
        <is>
          <t>电子资料</t>
        </is>
      </c>
      <c r="L2304"/>
      <c r="M2304" t="inlineStr">
        <is>
          <t>医智赢MDWIN的店</t>
        </is>
      </c>
      <c r="N2304">
        <v>729</v>
      </c>
      <c r="O2304">
        <v>4.76</v>
      </c>
      <c r="P2304">
        <v>1672</v>
      </c>
      <c r="Q2304" t="inlineStr">
        <is>
          <t>690b0ae57071920001be5a36</t>
        </is>
      </c>
      <c r="R2304" t="inlineStr">
        <is>
          <t>🚫重复</t>
        </is>
      </c>
      <c r="S2304" t="inlineStr">
        <is>
          <t>AI</t>
        </is>
      </c>
      <c r="T2304" t="inlineStr">
        <is>
          <t>2.23</t>
        </is>
      </c>
      <c r="U2304" s="3">
        <v>46112.78107638889</v>
      </c>
      <c r="V2304"/>
      <c r="W2304" s="3">
        <v>46094</v>
      </c>
      <c r="X2304" t="inlineStr">
        <is>
          <t>03</t>
        </is>
      </c>
      <c r="Y2304" t="inlineStr">
        <is>
          <t>2026-Q1</t>
        </is>
      </c>
    </row>
    <row r="2305" ht="38.25" customHeight="1">
      <c r="A2305" t="inlineStr">
        <is>
          <t>持更,电子版)资料汇总 值班手册 常用化验指标 常用药物 临床问题</t>
        </is>
      </c>
      <c r="B2305" t="inlineStr">
        <is>
          <t>recvdJNf43d1XF.jpg</t>
        </is>
      </c>
      <c r="C2305" s="2" t="str">
        <f>=HYPERLINK("https://xhslink.com/m/A95Q5Hw60LM", "https://xhslink.com/m/A95Q5Hw60LM")</f>
        <v>https://xhslink.com/m/A95Q5Hw60LM</v>
      </c>
      <c r="D2305"/>
      <c r="E2305">
        <v>1244</v>
      </c>
      <c r="F2305">
        <v>19.9</v>
      </c>
      <c r="G2305"/>
      <c r="H2305">
        <v>400</v>
      </c>
      <c r="I2305"/>
      <c r="J2305"/>
      <c r="K2305" t="inlineStr">
        <is>
          <t>电子资料</t>
        </is>
      </c>
      <c r="L2305"/>
      <c r="M2305" t="inlineStr">
        <is>
          <t>Mr.Wu的健康笔记的店</t>
        </is>
      </c>
      <c r="N2305">
        <v>26000</v>
      </c>
      <c r="O2305">
        <v>4.51</v>
      </c>
      <c r="P2305">
        <v>1376</v>
      </c>
      <c r="Q2305" t="inlineStr">
        <is>
          <t>694406a08ff5d40001701160</t>
        </is>
      </c>
      <c r="R2305"/>
      <c r="S2305" t="inlineStr">
        <is>
          <t>无匹配类别</t>
        </is>
      </c>
      <c r="T2305" t="inlineStr">
        <is>
          <t>0.05</t>
        </is>
      </c>
      <c r="U2305" s="3">
        <v>46112.78107638889</v>
      </c>
      <c r="V2305"/>
      <c r="W2305" s="3">
        <v>46094</v>
      </c>
      <c r="X2305" t="inlineStr">
        <is>
          <t>03</t>
        </is>
      </c>
      <c r="Y2305" t="inlineStr">
        <is>
          <t>2026-Q1</t>
        </is>
      </c>
    </row>
    <row r="2306" ht="38.25" customHeight="1">
      <c r="A2306" t="inlineStr">
        <is>
          <t>2025年新版七7年级下册小四门必背知识点总结电子版</t>
        </is>
      </c>
      <c r="B2306" t="inlineStr">
        <is>
          <t>recvdJNf43fmNB.jpg</t>
        </is>
      </c>
      <c r="C2306" s="2" t="str">
        <f>=HYPERLINK("https://xhslink.com/m/AUb6H5i5Uos", "https://xhslink.com/m/AUb6H5i5Uos")</f>
        <v>https://xhslink.com/m/AUb6H5i5Uos</v>
      </c>
      <c r="D2306"/>
      <c r="E2306">
        <v>994</v>
      </c>
      <c r="F2306">
        <v>9.9</v>
      </c>
      <c r="G2306"/>
      <c r="H2306">
        <v>200</v>
      </c>
      <c r="I2306"/>
      <c r="J2306"/>
      <c r="K2306" t="inlineStr">
        <is>
          <t>电子资料</t>
        </is>
      </c>
      <c r="L2306"/>
      <c r="M2306" t="inlineStr">
        <is>
          <t>淡蓝色阳光的店</t>
        </is>
      </c>
      <c r="N2306">
        <v>359</v>
      </c>
      <c r="O2306">
        <v>4.09</v>
      </c>
      <c r="P2306">
        <v>1389</v>
      </c>
      <c r="Q2306" t="inlineStr">
        <is>
          <t>67a837a3ce073e00016e742c</t>
        </is>
      </c>
      <c r="R2306"/>
      <c r="S2306" t="inlineStr">
        <is>
          <t>中小学教辅/教材</t>
        </is>
      </c>
      <c r="T2306" t="inlineStr">
        <is>
          <t>2.77</t>
        </is>
      </c>
      <c r="U2306" s="3">
        <v>46112.78107638889</v>
      </c>
      <c r="V2306"/>
      <c r="W2306" s="3">
        <v>46094</v>
      </c>
      <c r="X2306" t="inlineStr">
        <is>
          <t>03</t>
        </is>
      </c>
      <c r="Y2306" t="inlineStr">
        <is>
          <t>2026-Q1</t>
        </is>
      </c>
    </row>
    <row r="2307" ht="38.25" customHeight="1">
      <c r="A2307" t="inlineStr">
        <is>
          <t>2025春新初一初二初三通文数学英语生物化历地道法知识点电子版</t>
        </is>
      </c>
      <c r="B2307" t="inlineStr">
        <is>
          <t>recvdJNf43p0Eq.jpg</t>
        </is>
      </c>
      <c r="C2307" s="2" t="str">
        <f>=HYPERLINK("https://xhslink.com/m/2q3gWLdq98F", "https://xhslink.com/m/2q3gWLdq98F")</f>
        <v>https://xhslink.com/m/2q3gWLdq98F</v>
      </c>
      <c r="D2307"/>
      <c r="E2307">
        <v>954</v>
      </c>
      <c r="F2307">
        <v>189</v>
      </c>
      <c r="G2307"/>
      <c r="H2307">
        <v>100</v>
      </c>
      <c r="I2307"/>
      <c r="J2307"/>
      <c r="K2307" t="inlineStr">
        <is>
          <t>电子资料</t>
        </is>
      </c>
      <c r="L2307"/>
      <c r="M2307" t="inlineStr">
        <is>
          <t>木子老师资料包的店</t>
        </is>
      </c>
      <c r="N2307">
        <v>6364</v>
      </c>
      <c r="O2307">
        <v>4.53</v>
      </c>
      <c r="P2307">
        <v>1563</v>
      </c>
      <c r="Q2307" t="inlineStr">
        <is>
          <t>685b9c5156ddbd0001bfc64e</t>
        </is>
      </c>
      <c r="R2307"/>
      <c r="S2307" t="inlineStr">
        <is>
          <t>中小学教辅/教材</t>
        </is>
      </c>
      <c r="T2307" t="inlineStr">
        <is>
          <t>0.15</t>
        </is>
      </c>
      <c r="U2307" s="3">
        <v>46112.78107638889</v>
      </c>
      <c r="V2307"/>
      <c r="W2307" s="3">
        <v>46094</v>
      </c>
      <c r="X2307" t="inlineStr">
        <is>
          <t>03</t>
        </is>
      </c>
      <c r="Y2307" t="inlineStr">
        <is>
          <t>2026-Q1</t>
        </is>
      </c>
    </row>
    <row r="2308" ht="38.25" customHeight="1">
      <c r="A2308" t="inlineStr">
        <is>
          <t>最新七下人教版英语寒假讲义＋课件</t>
        </is>
      </c>
      <c r="B2308" t="inlineStr">
        <is>
          <t>recvdJNf43jKCK.jpg</t>
        </is>
      </c>
      <c r="C2308" s="2" t="str">
        <f>=HYPERLINK("https://xhslink.com/m/9RNUn6dAJVf", "https://xhslink.com/m/9RNUn6dAJVf")</f>
        <v>https://xhslink.com/m/9RNUn6dAJVf</v>
      </c>
      <c r="D2308"/>
      <c r="E2308">
        <v>941</v>
      </c>
      <c r="F2308">
        <v>115</v>
      </c>
      <c r="G2308"/>
      <c r="H2308">
        <v>200</v>
      </c>
      <c r="I2308"/>
      <c r="J2308"/>
      <c r="K2308" t="inlineStr">
        <is>
          <t>电子资料</t>
        </is>
      </c>
      <c r="L2308"/>
      <c r="M2308" t="inlineStr">
        <is>
          <t>Monica原创精品讲义（课件)的店</t>
        </is>
      </c>
      <c r="N2308">
        <v>5874</v>
      </c>
      <c r="O2308">
        <v>4.62</v>
      </c>
      <c r="P2308">
        <v>9084</v>
      </c>
      <c r="Q2308" t="inlineStr">
        <is>
          <t>674f0f02ada6590001cf7dbe</t>
        </is>
      </c>
      <c r="R2308" t="inlineStr">
        <is>
          <t>🚫重复</t>
        </is>
      </c>
      <c r="S2308" t="inlineStr">
        <is>
          <t>中小学教辅/教材</t>
        </is>
      </c>
      <c r="T2308" t="inlineStr">
        <is>
          <t>0.16</t>
        </is>
      </c>
      <c r="U2308" s="3">
        <v>46112.78107638889</v>
      </c>
      <c r="V2308"/>
      <c r="W2308" s="3">
        <v>46094</v>
      </c>
      <c r="X2308" t="inlineStr">
        <is>
          <t>03</t>
        </is>
      </c>
      <c r="Y2308" t="inlineStr">
        <is>
          <t>2026-Q1</t>
        </is>
      </c>
    </row>
    <row r="2309" ht="38.25" customHeight="1">
      <c r="A2309" t="inlineStr">
        <is>
          <t>全网首创-教招面试结构化15篇通杀逐字稿|教育热点88篇|七大模板</t>
        </is>
      </c>
      <c r="B2309" t="inlineStr">
        <is>
          <t>recvdJNf43BE6q.jpg</t>
        </is>
      </c>
      <c r="C2309" s="2" t="str">
        <f>=HYPERLINK("https://xhslink.com/m/1m0ifv1sw6T", "https://xhslink.com/m/1m0ifv1sw6T")</f>
        <v>https://xhslink.com/m/1m0ifv1sw6T</v>
      </c>
      <c r="D2309"/>
      <c r="E2309">
        <v>804</v>
      </c>
      <c r="F2309">
        <v>59.7</v>
      </c>
      <c r="G2309"/>
      <c r="H2309">
        <v>150</v>
      </c>
      <c r="I2309"/>
      <c r="J2309"/>
      <c r="K2309" t="inlineStr">
        <is>
          <t>电子资料</t>
        </is>
      </c>
      <c r="L2309" t="inlineStr">
        <is>
          <t>🔥低粉爆款</t>
        </is>
      </c>
      <c r="M2309" t="inlineStr">
        <is>
          <t>我命里有编（结构化版）的店</t>
        </is>
      </c>
      <c r="N2309">
        <v>177</v>
      </c>
      <c r="O2309">
        <v>4.46</v>
      </c>
      <c r="P2309">
        <v>985</v>
      </c>
      <c r="Q2309" t="inlineStr">
        <is>
          <t>68a46a0d7313330001da160a</t>
        </is>
      </c>
      <c r="R2309"/>
      <c r="S2309" t="inlineStr">
        <is>
          <t>教资资料</t>
        </is>
      </c>
      <c r="T2309" t="inlineStr">
        <is>
          <t>4.54</t>
        </is>
      </c>
      <c r="U2309" s="3">
        <v>46112.78107638889</v>
      </c>
      <c r="V2309"/>
      <c r="W2309" s="3">
        <v>46094</v>
      </c>
      <c r="X2309" t="inlineStr">
        <is>
          <t>03</t>
        </is>
      </c>
      <c r="Y2309" t="inlineStr">
        <is>
          <t>2026-Q1</t>
        </is>
      </c>
    </row>
    <row r="2310" ht="38.25" customHeight="1">
      <c r="A2310" t="inlineStr">
        <is>
          <t>2026四六级题库app激活码 备考正版题库激活</t>
        </is>
      </c>
      <c r="B2310" t="inlineStr">
        <is>
          <t>recvdJNf43cvo6.jpg</t>
        </is>
      </c>
      <c r="C2310" s="2" t="str">
        <f>=HYPERLINK("https://xhslink.com/m/7mZgOCdWyo3", "https://xhslink.com/m/7mZgOCdWyo3")</f>
        <v>https://xhslink.com/m/7mZgOCdWyo3</v>
      </c>
      <c r="D2310"/>
      <c r="E2310">
        <v>25000</v>
      </c>
      <c r="F2310">
        <v>36</v>
      </c>
      <c r="G2310"/>
      <c r="H2310">
        <v>250</v>
      </c>
      <c r="I2310"/>
      <c r="J2310"/>
      <c r="K2310" t="inlineStr">
        <is>
          <t>四级</t>
        </is>
      </c>
      <c r="L2310" t="inlineStr">
        <is>
          <t>🔥低粉爆款</t>
        </is>
      </c>
      <c r="M2310" t="inlineStr">
        <is>
          <t>永恒学子NF的店</t>
        </is>
      </c>
      <c r="N2310">
        <v>4132</v>
      </c>
      <c r="O2310">
        <v>4.3</v>
      </c>
      <c r="P2310">
        <v>35000</v>
      </c>
      <c r="Q2310" t="inlineStr">
        <is>
          <t>67b3ef54e0b594000165bb78</t>
        </is>
      </c>
      <c r="R2310" t="inlineStr">
        <is>
          <t>🚫重复</t>
        </is>
      </c>
      <c r="S2310" t="inlineStr">
        <is>
          <t>英语资料</t>
        </is>
      </c>
      <c r="T2310" t="inlineStr">
        <is>
          <t>6.05</t>
        </is>
      </c>
      <c r="U2310" s="3">
        <v>46112.78107638889</v>
      </c>
      <c r="V2310"/>
      <c r="W2310" s="3">
        <v>46094</v>
      </c>
      <c r="X2310" t="inlineStr">
        <is>
          <t>03</t>
        </is>
      </c>
      <c r="Y2310" t="inlineStr">
        <is>
          <t>2026-Q1</t>
        </is>
      </c>
    </row>
    <row r="2311" ht="38.25" customHeight="1">
      <c r="A2311" t="inlineStr">
        <is>
          <t>40篇短文记完四六级3500词 高中 AB级 四六级适用 （电子版）</t>
        </is>
      </c>
      <c r="B2311" t="inlineStr">
        <is>
          <t>recvdJNf43LrvU.jpg</t>
        </is>
      </c>
      <c r="C2311" s="2" t="str">
        <f>=HYPERLINK("https://xhslink.com/m/4hNZsGyLQVw", "https://xhslink.com/m/4hNZsGyLQVw")</f>
        <v>https://xhslink.com/m/4hNZsGyLQVw</v>
      </c>
      <c r="D2311"/>
      <c r="E2311">
        <v>6063</v>
      </c>
      <c r="F2311">
        <v>2.98</v>
      </c>
      <c r="G2311"/>
      <c r="H2311">
        <v>300</v>
      </c>
      <c r="I2311"/>
      <c r="J2311"/>
      <c r="K2311" t="inlineStr">
        <is>
          <t>四级</t>
        </is>
      </c>
      <c r="L2311"/>
      <c r="M2311" t="inlineStr">
        <is>
          <t>一飞资料馆的店</t>
        </is>
      </c>
      <c r="N2311">
        <v>2591</v>
      </c>
      <c r="O2311">
        <v>4.41</v>
      </c>
      <c r="P2311">
        <v>10000</v>
      </c>
      <c r="Q2311" t="inlineStr">
        <is>
          <t>68ce4bc6cb717b0001911b50</t>
        </is>
      </c>
      <c r="R2311"/>
      <c r="S2311" t="inlineStr">
        <is>
          <t>英语资料</t>
        </is>
      </c>
      <c r="T2311" t="inlineStr">
        <is>
          <t>2.34</t>
        </is>
      </c>
      <c r="U2311" s="3">
        <v>46112.78107638889</v>
      </c>
      <c r="V2311"/>
      <c r="W2311" s="3">
        <v>46094</v>
      </c>
      <c r="X2311" t="inlineStr">
        <is>
          <t>03</t>
        </is>
      </c>
      <c r="Y2311" t="inlineStr">
        <is>
          <t>2026-Q1</t>
        </is>
      </c>
    </row>
    <row r="2312" ht="38.25" customHeight="1">
      <c r="A2312" t="inlineStr">
        <is>
          <t>儿童中醫启蒙亲子共学黄帝内经中基课</t>
        </is>
      </c>
      <c r="B2312" t="inlineStr">
        <is>
          <t>recvdJNf43B2fR.jpg</t>
        </is>
      </c>
      <c r="C2312" s="2" t="str">
        <f>=HYPERLINK("https://xhslink.com/m/86LxWIdsdUj", "https://xhslink.com/m/86LxWIdsdUj")</f>
        <v>https://xhslink.com/m/86LxWIdsdUj</v>
      </c>
      <c r="D2312"/>
      <c r="E2312">
        <v>1564</v>
      </c>
      <c r="F2312">
        <v>198</v>
      </c>
      <c r="G2312"/>
      <c r="H2312">
        <v>150</v>
      </c>
      <c r="I2312"/>
      <c r="J2312"/>
      <c r="K2312" t="inlineStr">
        <is>
          <t>幼儿资料</t>
        </is>
      </c>
      <c r="L2312" t="inlineStr">
        <is>
          <t>🔥低粉爆款</t>
        </is>
      </c>
      <c r="M2312" t="inlineStr">
        <is>
          <t>上善若水💦的店</t>
        </is>
      </c>
      <c r="N2312">
        <v>105</v>
      </c>
      <c r="O2312">
        <v>4.39</v>
      </c>
      <c r="P2312">
        <v>2333</v>
      </c>
      <c r="Q2312" t="inlineStr">
        <is>
          <t>67dcecff1101af00018743e6</t>
        </is>
      </c>
      <c r="R2312"/>
      <c r="S2312" t="inlineStr">
        <is>
          <t>中小学教辅/教材</t>
        </is>
      </c>
      <c r="T2312" t="inlineStr">
        <is>
          <t>14.90</t>
        </is>
      </c>
      <c r="U2312" s="3">
        <v>46112.78107638889</v>
      </c>
      <c r="V2312"/>
      <c r="W2312" s="3">
        <v>46094</v>
      </c>
      <c r="X2312" t="inlineStr">
        <is>
          <t>03</t>
        </is>
      </c>
      <c r="Y2312" t="inlineStr">
        <is>
          <t>2026-Q1</t>
        </is>
      </c>
    </row>
    <row r="2313" ht="38.25" customHeight="1">
      <c r="A2313" t="inlineStr">
        <is>
          <t>初高中主题班会课件|持续更新</t>
        </is>
      </c>
      <c r="B2313" t="inlineStr">
        <is>
          <t>recvdJNf43cY9B.jpg</t>
        </is>
      </c>
      <c r="C2313" s="2" t="str">
        <f>=HYPERLINK("https://xhslink.com/m/u6btAQ0bCh", "https://xhslink.com/m/u6btAQ0bCh")</f>
        <v>https://xhslink.com/m/u6btAQ0bCh</v>
      </c>
      <c r="D2313"/>
      <c r="E2313">
        <v>6175</v>
      </c>
      <c r="F2313">
        <v>39.9</v>
      </c>
      <c r="G2313"/>
      <c r="H2313">
        <v>100</v>
      </c>
      <c r="I2313">
        <v>1000</v>
      </c>
      <c r="J2313"/>
      <c r="K2313" t="inlineStr">
        <is>
          <t>班会</t>
        </is>
      </c>
      <c r="L2313" t="inlineStr">
        <is>
          <t>🔥低粉爆款</t>
        </is>
      </c>
      <c r="M2313" t="inlineStr">
        <is>
          <t>Amy老师的资料库的店</t>
        </is>
      </c>
      <c r="N2313">
        <v>1701</v>
      </c>
      <c r="O2313">
        <v>4.51</v>
      </c>
      <c r="P2313">
        <v>15000</v>
      </c>
      <c r="Q2313" t="inlineStr">
        <is>
          <t>68382ad00a601a00018a0425</t>
        </is>
      </c>
      <c r="R2313" t="inlineStr">
        <is>
          <t>🚫重复</t>
        </is>
      </c>
      <c r="S2313" t="inlineStr">
        <is>
          <t>中小学教辅/教材</t>
        </is>
      </c>
      <c r="T2313" t="inlineStr">
        <is>
          <t>3.63</t>
        </is>
      </c>
      <c r="U2313" s="3">
        <v>46112.78107638889</v>
      </c>
      <c r="V2313"/>
      <c r="W2313" s="3">
        <v>46094</v>
      </c>
      <c r="X2313" t="inlineStr">
        <is>
          <t>03</t>
        </is>
      </c>
      <c r="Y2313" t="inlineStr">
        <is>
          <t>2026-Q1</t>
        </is>
      </c>
    </row>
    <row r="2314" ht="38.25" customHeight="1">
      <c r="A2314" t="inlineStr">
        <is>
          <t>初中高中班主任尖子生会议做班级领头羊主题班会课件教案</t>
        </is>
      </c>
      <c r="B2314" t="inlineStr">
        <is>
          <t>recvdJNf43bWVe.jpg</t>
        </is>
      </c>
      <c r="C2314" s="2" t="str">
        <f>=HYPERLINK("https://xhslink.com/m/4zkgZ1rR7BQ", "https://xhslink.com/m/4zkgZ1rR7BQ")</f>
        <v>https://xhslink.com/m/4zkgZ1rR7BQ</v>
      </c>
      <c r="D2314"/>
      <c r="E2314">
        <v>1736</v>
      </c>
      <c r="F2314">
        <v>8.88</v>
      </c>
      <c r="G2314"/>
      <c r="H2314">
        <v>400</v>
      </c>
      <c r="I2314">
        <v>1000</v>
      </c>
      <c r="J2314"/>
      <c r="K2314" t="inlineStr">
        <is>
          <t>班会</t>
        </is>
      </c>
      <c r="L2314"/>
      <c r="M2314" t="inlineStr">
        <is>
          <t>Cici老师爱学习（收徒）的店</t>
        </is>
      </c>
      <c r="N2314">
        <v>1806</v>
      </c>
      <c r="O2314">
        <v>4.42</v>
      </c>
      <c r="P2314">
        <v>5245</v>
      </c>
      <c r="Q2314" t="inlineStr">
        <is>
          <t>6940fb7b44a3450001e5bdd1</t>
        </is>
      </c>
      <c r="R2314" t="inlineStr">
        <is>
          <t>🚫重复</t>
        </is>
      </c>
      <c r="S2314" t="inlineStr">
        <is>
          <t>中小学教辅/教材</t>
        </is>
      </c>
      <c r="T2314" t="inlineStr">
        <is>
          <t>0.96</t>
        </is>
      </c>
      <c r="U2314" s="3">
        <v>46112.78107638889</v>
      </c>
      <c r="V2314"/>
      <c r="W2314" s="3">
        <v>46094</v>
      </c>
      <c r="X2314" t="inlineStr">
        <is>
          <t>03</t>
        </is>
      </c>
      <c r="Y2314" t="inlineStr">
        <is>
          <t>2026-Q1</t>
        </is>
      </c>
    </row>
    <row r="2315" ht="38.25" customHeight="1">
      <c r="A2315" t="inlineStr">
        <is>
          <t>【限时8.8】中小学主题班会ppt</t>
        </is>
      </c>
      <c r="B2315" t="inlineStr">
        <is>
          <t>recvdJNf43o3rc.jpg</t>
        </is>
      </c>
      <c r="C2315" s="2" t="str">
        <f>=HYPERLINK("https://xhslink.com/m/10nBcpHWBPE", "https://xhslink.com/m/10nBcpHWBPE")</f>
        <v>https://xhslink.com/m/10nBcpHWBPE</v>
      </c>
      <c r="D2315"/>
      <c r="E2315">
        <v>1202</v>
      </c>
      <c r="F2315">
        <v>39.9</v>
      </c>
      <c r="G2315"/>
      <c r="H2315">
        <v>100</v>
      </c>
      <c r="I2315"/>
      <c r="J2315"/>
      <c r="K2315" t="inlineStr">
        <is>
          <t>班会</t>
        </is>
      </c>
      <c r="L2315"/>
      <c r="M2315" t="inlineStr">
        <is>
          <t>嘉嘉超努力的店</t>
        </is>
      </c>
      <c r="N2315">
        <v>1228</v>
      </c>
      <c r="O2315">
        <v>4.54</v>
      </c>
      <c r="P2315">
        <v>6701</v>
      </c>
      <c r="Q2315" t="inlineStr">
        <is>
          <t>691d5f7314b5260001c26fa5</t>
        </is>
      </c>
      <c r="R2315" t="inlineStr">
        <is>
          <t>🚫重复</t>
        </is>
      </c>
      <c r="S2315" t="inlineStr">
        <is>
          <t>PPT模板</t>
        </is>
      </c>
      <c r="T2315" t="inlineStr">
        <is>
          <t>0.98</t>
        </is>
      </c>
      <c r="U2315" s="3">
        <v>46112.78107638889</v>
      </c>
      <c r="V2315"/>
      <c r="W2315" s="3">
        <v>46094</v>
      </c>
      <c r="X2315" t="inlineStr">
        <is>
          <t>03</t>
        </is>
      </c>
      <c r="Y2315" t="inlineStr">
        <is>
          <t>2026-Q1</t>
        </is>
      </c>
    </row>
    <row r="2316" ht="38.25" customHeight="1">
      <c r="A2316" t="inlineStr">
        <is>
          <t>主题班会（自选主题）中小学期末主题、心理、社交、安全主题班会</t>
        </is>
      </c>
      <c r="B2316" t="inlineStr">
        <is>
          <t>recvdJNf43wkTZ.jpg</t>
        </is>
      </c>
      <c r="C2316" s="2" t="str">
        <f>=HYPERLINK("https://xhslink.com/m/1XRQfvSKEW0", "https://xhslink.com/m/1XRQfvSKEW0")</f>
        <v>https://xhslink.com/m/1XRQfvSKEW0</v>
      </c>
      <c r="D2316"/>
      <c r="E2316">
        <v>799</v>
      </c>
      <c r="F2316">
        <v>39.9</v>
      </c>
      <c r="G2316"/>
      <c r="H2316">
        <v>250</v>
      </c>
      <c r="I2316"/>
      <c r="J2316"/>
      <c r="K2316" t="inlineStr">
        <is>
          <t>班会</t>
        </is>
      </c>
      <c r="L2316" t="inlineStr">
        <is>
          <t>🔥低粉爆款</t>
        </is>
      </c>
      <c r="M2316" t="inlineStr">
        <is>
          <t>小鱼儿老师吖的店</t>
        </is>
      </c>
      <c r="N2316">
        <v>161</v>
      </c>
      <c r="O2316">
        <v>4.43</v>
      </c>
      <c r="P2316">
        <v>2855</v>
      </c>
      <c r="Q2316" t="inlineStr">
        <is>
          <t>6952401d6fadb7000197cdee</t>
        </is>
      </c>
      <c r="R2316" t="inlineStr">
        <is>
          <t>🚫重复</t>
        </is>
      </c>
      <c r="S2316" t="inlineStr">
        <is>
          <t>中小学教辅/教材</t>
        </is>
      </c>
      <c r="T2316" t="inlineStr">
        <is>
          <t>4.96</t>
        </is>
      </c>
      <c r="U2316" s="3">
        <v>46112.78107638889</v>
      </c>
      <c r="V2316"/>
      <c r="W2316" s="3">
        <v>46094</v>
      </c>
      <c r="X2316" t="inlineStr">
        <is>
          <t>03</t>
        </is>
      </c>
      <c r="Y2316" t="inlineStr">
        <is>
          <t>2026-Q1</t>
        </is>
      </c>
    </row>
    <row r="2317" ht="38.25" customHeight="1">
      <c r="A2317" t="inlineStr">
        <is>
          <t>26备考教资网课幼小初高中科目一科目二三笔试视频题库课程刷题</t>
        </is>
      </c>
      <c r="B2317" t="inlineStr">
        <is>
          <t>recvdJNf436vyD.jpg</t>
        </is>
      </c>
      <c r="C2317" s="2" t="str">
        <f>=HYPERLINK("https://xhslink.com/m/1FtAFjckFQF", "https://xhslink.com/m/1FtAFjckFQF")</f>
        <v>https://xhslink.com/m/1FtAFjckFQF</v>
      </c>
      <c r="D2317"/>
      <c r="E2317">
        <v>7867</v>
      </c>
      <c r="F2317">
        <v>76</v>
      </c>
      <c r="G2317"/>
      <c r="H2317">
        <v>200</v>
      </c>
      <c r="I2317"/>
      <c r="J2317"/>
      <c r="K2317" t="inlineStr">
        <is>
          <t>教师资格证</t>
        </is>
      </c>
      <c r="L2317"/>
      <c r="M2317" t="inlineStr">
        <is>
          <t>乐X峰题库I星途的店</t>
        </is>
      </c>
      <c r="N2317">
        <v>12000</v>
      </c>
      <c r="O2317">
        <v>4.55</v>
      </c>
      <c r="P2317">
        <v>81000</v>
      </c>
      <c r="Q2317" t="inlineStr">
        <is>
          <t>6806719c3117f200011536f6</t>
        </is>
      </c>
      <c r="R2317" t="inlineStr">
        <is>
          <t>🚫重复</t>
        </is>
      </c>
      <c r="S2317" t="inlineStr">
        <is>
          <t>教资资料</t>
        </is>
      </c>
      <c r="T2317" t="inlineStr">
        <is>
          <t>0.66</t>
        </is>
      </c>
      <c r="U2317" s="3">
        <v>46112.78107638889</v>
      </c>
      <c r="V2317"/>
      <c r="W2317" s="3">
        <v>46094</v>
      </c>
      <c r="X2317" t="inlineStr">
        <is>
          <t>03</t>
        </is>
      </c>
      <c r="Y2317" t="inlineStr">
        <is>
          <t>2026-Q1</t>
        </is>
      </c>
    </row>
    <row r="2318" ht="38.25" customHeight="1">
      <c r="A2318" t="inlineStr">
        <is>
          <t>26上中小幼教资笔试题库APP/精讲网课/配套讲义</t>
        </is>
      </c>
      <c r="B2318" t="inlineStr">
        <is>
          <t>recvdJNf434NiM.jpg</t>
        </is>
      </c>
      <c r="C2318" s="2" t="str">
        <f>=HYPERLINK("https://xhslink.com/m/AAyDsVJyfP9", "https://xhslink.com/m/AAyDsVJyfP9")</f>
        <v>https://xhslink.com/m/AAyDsVJyfP9</v>
      </c>
      <c r="D2318"/>
      <c r="E2318">
        <v>5913</v>
      </c>
      <c r="F2318">
        <v>55.9</v>
      </c>
      <c r="G2318"/>
      <c r="H2318">
        <v>150</v>
      </c>
      <c r="I2318"/>
      <c r="J2318"/>
      <c r="K2318" t="inlineStr">
        <is>
          <t>教师资格证</t>
        </is>
      </c>
      <c r="L2318"/>
      <c r="M2318" t="inlineStr">
        <is>
          <t>新城的日落的店</t>
        </is>
      </c>
      <c r="N2318">
        <v>2205</v>
      </c>
      <c r="O2318">
        <v>4.55</v>
      </c>
      <c r="P2318">
        <v>11000</v>
      </c>
      <c r="Q2318" t="inlineStr">
        <is>
          <t>686b2fca55c6280001650517</t>
        </is>
      </c>
      <c r="R2318" t="inlineStr">
        <is>
          <t>🚫重复</t>
        </is>
      </c>
      <c r="S2318" t="inlineStr">
        <is>
          <t>教资资料</t>
        </is>
      </c>
      <c r="T2318" t="inlineStr">
        <is>
          <t>2.68</t>
        </is>
      </c>
      <c r="U2318" s="3">
        <v>46112.78107638889</v>
      </c>
      <c r="V2318"/>
      <c r="W2318" s="3">
        <v>46094</v>
      </c>
      <c r="X2318" t="inlineStr">
        <is>
          <t>03</t>
        </is>
      </c>
      <c r="Y2318" t="inlineStr">
        <is>
          <t>2026-Q1</t>
        </is>
      </c>
    </row>
    <row r="2319" ht="38.25" customHeight="1">
      <c r="A2319" t="inlineStr">
        <is>
          <t>26年中小幼教资笔试-app题库 教资题库app  中小幼教师资格证笔试</t>
        </is>
      </c>
      <c r="B2319" t="inlineStr">
        <is>
          <t>recvdJNf43gk0G.jpg</t>
        </is>
      </c>
      <c r="C2319" s="2" t="str">
        <f>=HYPERLINK("https://xhslink.com/m/A7n1YgbFdxQ", "https://xhslink.com/m/A7n1YgbFdxQ")</f>
        <v>https://xhslink.com/m/A7n1YgbFdxQ</v>
      </c>
      <c r="D2319"/>
      <c r="E2319">
        <v>5826</v>
      </c>
      <c r="F2319">
        <v>12.9</v>
      </c>
      <c r="G2319"/>
      <c r="H2319">
        <v>400</v>
      </c>
      <c r="I2319">
        <v>1000</v>
      </c>
      <c r="J2319"/>
      <c r="K2319" t="inlineStr">
        <is>
          <t>教师资格证</t>
        </is>
      </c>
      <c r="L2319"/>
      <c r="M2319" t="inlineStr">
        <is>
          <t>晨露老师的店</t>
        </is>
      </c>
      <c r="N2319">
        <v>16000</v>
      </c>
      <c r="O2319">
        <v>4.25</v>
      </c>
      <c r="P2319">
        <v>35000</v>
      </c>
      <c r="Q2319" t="inlineStr">
        <is>
          <t>679337fd75ca3a000141bf5a</t>
        </is>
      </c>
      <c r="R2319" t="inlineStr">
        <is>
          <t>🚫重复</t>
        </is>
      </c>
      <c r="S2319" t="inlineStr">
        <is>
          <t>教资资料</t>
        </is>
      </c>
      <c r="T2319" t="inlineStr">
        <is>
          <t>0.36</t>
        </is>
      </c>
      <c r="U2319" s="3">
        <v>46112.78107638889</v>
      </c>
      <c r="V2319"/>
      <c r="W2319" s="3">
        <v>46094</v>
      </c>
      <c r="X2319" t="inlineStr">
        <is>
          <t>03</t>
        </is>
      </c>
      <c r="Y2319" t="inlineStr">
        <is>
          <t>2026-Q1</t>
        </is>
      </c>
    </row>
    <row r="2320" ht="38.25" customHeight="1">
      <c r="A2320" t="inlineStr">
        <is>
          <t>26上教资笔试中小幼科一科二资料+网课全套资料【电子版】</t>
        </is>
      </c>
      <c r="B2320" t="inlineStr">
        <is>
          <t>recvdJNf43baJc.jpg</t>
        </is>
      </c>
      <c r="C2320" s="2" t="str">
        <f>=HYPERLINK("https://xhslink.com/m/9rlvMhELOvo", "https://xhslink.com/m/9rlvMhELOvo")</f>
        <v>https://xhslink.com/m/9rlvMhELOvo</v>
      </c>
      <c r="D2320"/>
      <c r="E2320">
        <v>5494</v>
      </c>
      <c r="F2320">
        <v>19.9</v>
      </c>
      <c r="G2320"/>
      <c r="H2320">
        <v>1500</v>
      </c>
      <c r="I2320"/>
      <c r="J2320"/>
      <c r="K2320" t="inlineStr">
        <is>
          <t>教师资格证</t>
        </is>
      </c>
      <c r="L2320" t="inlineStr">
        <is>
          <t>🔥低粉爆款</t>
        </is>
      </c>
      <c r="M2320" t="inlineStr">
        <is>
          <t>是青提子吖的店</t>
        </is>
      </c>
      <c r="N2320">
        <v>319</v>
      </c>
      <c r="O2320">
        <v>4.62</v>
      </c>
      <c r="P2320">
        <v>5514</v>
      </c>
      <c r="Q2320" t="inlineStr">
        <is>
          <t>691b039cd4669a0001ebcb90</t>
        </is>
      </c>
      <c r="R2320" t="inlineStr">
        <is>
          <t>🚫重复</t>
        </is>
      </c>
      <c r="S2320" t="inlineStr">
        <is>
          <t>教资资料</t>
        </is>
      </c>
      <c r="T2320" t="inlineStr">
        <is>
          <t>17.22</t>
        </is>
      </c>
      <c r="U2320" s="3">
        <v>46112.78107638889</v>
      </c>
      <c r="V2320"/>
      <c r="W2320" s="3">
        <v>46094</v>
      </c>
      <c r="X2320" t="inlineStr">
        <is>
          <t>03</t>
        </is>
      </c>
      <c r="Y2320" t="inlineStr">
        <is>
          <t>2026-Q1</t>
        </is>
      </c>
    </row>
    <row r="2321" ht="38.25" customHeight="1">
      <c r="A2321" t="inlineStr">
        <is>
          <t>2026上美术教师资格证科三初中高中学科知识与教学能力核心笔记</t>
        </is>
      </c>
      <c r="B2321" t="inlineStr">
        <is>
          <t>recvdJNf43gwyh.jpg</t>
        </is>
      </c>
      <c r="C2321" s="2" t="str">
        <f>=HYPERLINK("https://xhslink.com/m/6uLu0al5iIq", "https://xhslink.com/m/6uLu0al5iIq")</f>
        <v>https://xhslink.com/m/6uLu0al5iIq</v>
      </c>
      <c r="D2321"/>
      <c r="E2321">
        <v>4163</v>
      </c>
      <c r="F2321">
        <v>56.9</v>
      </c>
      <c r="G2321"/>
      <c r="H2321">
        <v>450</v>
      </c>
      <c r="I2321">
        <v>1000</v>
      </c>
      <c r="J2321"/>
      <c r="K2321" t="inlineStr">
        <is>
          <t>教师资格证</t>
        </is>
      </c>
      <c r="L2321"/>
      <c r="M2321" t="inlineStr">
        <is>
          <t>易小新的店</t>
        </is>
      </c>
      <c r="N2321">
        <v>1887</v>
      </c>
      <c r="O2321">
        <v>4.29</v>
      </c>
      <c r="P2321">
        <v>10000</v>
      </c>
      <c r="Q2321" t="inlineStr">
        <is>
          <t>6880eed202d7b000010cf328</t>
        </is>
      </c>
      <c r="R2321"/>
      <c r="S2321" t="inlineStr">
        <is>
          <t>教资资料</t>
        </is>
      </c>
      <c r="T2321" t="inlineStr">
        <is>
          <t>2.21</t>
        </is>
      </c>
      <c r="U2321" s="3">
        <v>46112.78107638889</v>
      </c>
      <c r="V2321"/>
      <c r="W2321" s="3">
        <v>46094</v>
      </c>
      <c r="X2321" t="inlineStr">
        <is>
          <t>03</t>
        </is>
      </c>
      <c r="Y2321" t="inlineStr">
        <is>
          <t>2026-Q1</t>
        </is>
      </c>
    </row>
    <row r="2322" ht="38.25" customHeight="1">
      <c r="A2322" t="inlineStr">
        <is>
          <t>2026上半年教资笔试幼小初高备考资料包</t>
        </is>
      </c>
      <c r="B2322" t="inlineStr">
        <is>
          <t>recvdJNf434Uu4.jpg</t>
        </is>
      </c>
      <c r="C2322" s="2" t="str">
        <f>=HYPERLINK("https://xhslink.com/m/8VK8l9l2Fcu", "https://xhslink.com/m/8VK8l9l2Fcu")</f>
        <v>https://xhslink.com/m/8VK8l9l2Fcu</v>
      </c>
      <c r="D2322"/>
      <c r="E2322">
        <v>4905</v>
      </c>
      <c r="F2322">
        <v>12.8</v>
      </c>
      <c r="G2322"/>
      <c r="H2322">
        <v>850</v>
      </c>
      <c r="I2322"/>
      <c r="J2322"/>
      <c r="K2322" t="inlineStr">
        <is>
          <t>教师资格证</t>
        </is>
      </c>
      <c r="L2322" t="inlineStr">
        <is>
          <t>🔥低粉爆款</t>
        </is>
      </c>
      <c r="M2322" t="inlineStr">
        <is>
          <t>悠悠可爱的店</t>
        </is>
      </c>
      <c r="N2322">
        <v>1230</v>
      </c>
      <c r="O2322">
        <v>4.63</v>
      </c>
      <c r="P2322">
        <v>15000</v>
      </c>
      <c r="Q2322" t="inlineStr">
        <is>
          <t>694568b9bd92f50001d5ddc6</t>
        </is>
      </c>
      <c r="R2322" t="inlineStr">
        <is>
          <t>🚫重复</t>
        </is>
      </c>
      <c r="S2322" t="inlineStr">
        <is>
          <t>教资资料</t>
        </is>
      </c>
      <c r="T2322" t="inlineStr">
        <is>
          <t>3.99</t>
        </is>
      </c>
      <c r="U2322" s="3">
        <v>46112.78107638889</v>
      </c>
      <c r="V2322"/>
      <c r="W2322" s="3">
        <v>46094</v>
      </c>
      <c r="X2322" t="inlineStr">
        <is>
          <t>03</t>
        </is>
      </c>
      <c r="Y2322" t="inlineStr">
        <is>
          <t>2026-Q1</t>
        </is>
      </c>
    </row>
    <row r="2323" ht="38.25" customHeight="1">
      <c r="A2323" t="inlineStr">
        <is>
          <t>2026上半年教师资格证笔试数学语文英语美术体育音乐物理政治信息</t>
        </is>
      </c>
      <c r="B2323" t="inlineStr">
        <is>
          <t>recvdJNf43DWMp.jpg</t>
        </is>
      </c>
      <c r="C2323" s="2" t="str">
        <f>=HYPERLINK("https://xhslink.com/m/5dC3f1RGlt", "https://xhslink.com/m/5dC3f1RGlt")</f>
        <v>https://xhslink.com/m/5dC3f1RGlt</v>
      </c>
      <c r="D2323"/>
      <c r="E2323">
        <v>2913</v>
      </c>
      <c r="F2323">
        <v>21.9</v>
      </c>
      <c r="G2323"/>
      <c r="H2323">
        <v>650</v>
      </c>
      <c r="I2323"/>
      <c r="J2323"/>
      <c r="K2323" t="inlineStr">
        <is>
          <t>教师资格证</t>
        </is>
      </c>
      <c r="L2323" t="inlineStr">
        <is>
          <t>🔥低粉爆款</t>
        </is>
      </c>
      <c r="M2323" t="inlineStr">
        <is>
          <t>教资社区的店</t>
        </is>
      </c>
      <c r="N2323">
        <v>213</v>
      </c>
      <c r="O2323">
        <v>3.88</v>
      </c>
      <c r="P2323">
        <v>3223</v>
      </c>
      <c r="Q2323" t="inlineStr">
        <is>
          <t>6868a6fa64e96a0001853d57</t>
        </is>
      </c>
      <c r="R2323" t="inlineStr">
        <is>
          <t>🚫重复</t>
        </is>
      </c>
      <c r="S2323" t="inlineStr">
        <is>
          <t>教资资料</t>
        </is>
      </c>
      <c r="T2323" t="inlineStr">
        <is>
          <t>13.68</t>
        </is>
      </c>
      <c r="U2323" s="3">
        <v>46112.78107638889</v>
      </c>
      <c r="V2323"/>
      <c r="W2323" s="3">
        <v>46094</v>
      </c>
      <c r="X2323" t="inlineStr">
        <is>
          <t>03</t>
        </is>
      </c>
      <c r="Y2323" t="inlineStr">
        <is>
          <t>2026-Q1</t>
        </is>
      </c>
    </row>
    <row r="2324" ht="38.25" customHeight="1">
      <c r="A2324" t="inlineStr">
        <is>
          <t>上岸熊·26上教资笔试中学科三重点笔记/精讲课</t>
        </is>
      </c>
      <c r="B2324" t="inlineStr">
        <is>
          <t>recvdJNf43xqfv.jpg</t>
        </is>
      </c>
      <c r="C2324" s="2" t="str">
        <f>=HYPERLINK("https://xhslink.com/m/4MT14XgORmE", "https://xhslink.com/m/4MT14XgORmE")</f>
        <v>https://xhslink.com/m/4MT14XgORmE</v>
      </c>
      <c r="D2324"/>
      <c r="E2324">
        <v>2715</v>
      </c>
      <c r="F2324">
        <v>59.9</v>
      </c>
      <c r="G2324"/>
      <c r="H2324">
        <v>300</v>
      </c>
      <c r="I2324">
        <v>1000</v>
      </c>
      <c r="J2324"/>
      <c r="K2324" t="inlineStr">
        <is>
          <t>教师资格证</t>
        </is>
      </c>
      <c r="L2324"/>
      <c r="M2324" t="inlineStr">
        <is>
          <t>珞珞Y资料库的店</t>
        </is>
      </c>
      <c r="N2324">
        <v>6470</v>
      </c>
      <c r="O2324">
        <v>4.69</v>
      </c>
      <c r="P2324">
        <v>18000</v>
      </c>
      <c r="Q2324" t="inlineStr">
        <is>
          <t>681ad64a0e004a00010767c7</t>
        </is>
      </c>
      <c r="R2324" t="inlineStr">
        <is>
          <t>🚫重复</t>
        </is>
      </c>
      <c r="S2324" t="inlineStr">
        <is>
          <t>教资资料</t>
        </is>
      </c>
      <c r="T2324" t="inlineStr">
        <is>
          <t>0.42</t>
        </is>
      </c>
      <c r="U2324" s="3">
        <v>46112.78107638889</v>
      </c>
      <c r="V2324"/>
      <c r="W2324" s="3">
        <v>46094</v>
      </c>
      <c r="X2324" t="inlineStr">
        <is>
          <t>03</t>
        </is>
      </c>
      <c r="Y2324" t="inlineStr">
        <is>
          <t>2026-Q1</t>
        </is>
      </c>
    </row>
    <row r="2325" ht="38.25" customHeight="1">
      <c r="A2325" t="inlineStr">
        <is>
          <t>26上教资笔试中小幼重点笔记资料【电子版】</t>
        </is>
      </c>
      <c r="B2325" t="inlineStr">
        <is>
          <t>recvdJNf43exau.jpg</t>
        </is>
      </c>
      <c r="C2325" s="2" t="str">
        <f>=HYPERLINK("https://xhslink.com/m/Q1gShBYPrf", "https://xhslink.com/m/Q1gShBYPrf")</f>
        <v>https://xhslink.com/m/Q1gShBYPrf</v>
      </c>
      <c r="D2325"/>
      <c r="E2325">
        <v>1116</v>
      </c>
      <c r="F2325">
        <v>9.9</v>
      </c>
      <c r="G2325"/>
      <c r="H2325">
        <v>450</v>
      </c>
      <c r="I2325"/>
      <c r="J2325"/>
      <c r="K2325" t="inlineStr">
        <is>
          <t>教师资格证</t>
        </is>
      </c>
      <c r="L2325"/>
      <c r="M2325" t="inlineStr">
        <is>
          <t>爱吃稀饭的店</t>
        </is>
      </c>
      <c r="N2325">
        <v>2476</v>
      </c>
      <c r="O2325">
        <v>4.56</v>
      </c>
      <c r="P2325">
        <v>11000</v>
      </c>
      <c r="Q2325" t="inlineStr">
        <is>
          <t>695bd3cabd92f50001d6dd82</t>
        </is>
      </c>
      <c r="R2325"/>
      <c r="S2325" t="inlineStr">
        <is>
          <t>教资资料</t>
        </is>
      </c>
      <c r="T2325" t="inlineStr">
        <is>
          <t>0.45</t>
        </is>
      </c>
      <c r="U2325" s="3">
        <v>46112.78107638889</v>
      </c>
      <c r="V2325"/>
      <c r="W2325" s="3">
        <v>46094</v>
      </c>
      <c r="X2325" t="inlineStr">
        <is>
          <t>03</t>
        </is>
      </c>
      <c r="Y2325" t="inlineStr">
        <is>
          <t>2026-Q1</t>
        </is>
      </c>
    </row>
    <row r="2326" ht="38.25" customHeight="1">
      <c r="A2326" t="inlineStr">
        <is>
          <t>【多维全练】高中数学PDF+word基础提分</t>
        </is>
      </c>
      <c r="B2326" t="inlineStr">
        <is>
          <t>recvdJNf43c657.jpg</t>
        </is>
      </c>
      <c r="C2326" s="2" t="str">
        <f>=HYPERLINK("https://xhslink.com/m/1FtEbL3yDVT", "https://xhslink.com/m/1FtEbL3yDVT")</f>
        <v>https://xhslink.com/m/1FtEbL3yDVT</v>
      </c>
      <c r="D2326"/>
      <c r="E2326">
        <v>4234</v>
      </c>
      <c r="F2326">
        <v>340</v>
      </c>
      <c r="G2326"/>
      <c r="H2326">
        <v>350</v>
      </c>
      <c r="I2326"/>
      <c r="J2326"/>
      <c r="K2326" t="inlineStr">
        <is>
          <t>PDF</t>
        </is>
      </c>
      <c r="L2326"/>
      <c r="M2326" t="inlineStr">
        <is>
          <t>轻峰教育的店</t>
        </is>
      </c>
      <c r="N2326">
        <v>10000</v>
      </c>
      <c r="O2326">
        <v>4.38</v>
      </c>
      <c r="P2326">
        <v>9710</v>
      </c>
      <c r="Q2326" t="inlineStr">
        <is>
          <t>6874c0084485460001e69bfa</t>
        </is>
      </c>
      <c r="R2326" t="inlineStr">
        <is>
          <t>🚫重复</t>
        </is>
      </c>
      <c r="S2326" t="inlineStr">
        <is>
          <t>高中/高考资料</t>
        </is>
      </c>
      <c r="T2326" t="inlineStr">
        <is>
          <t>0.42</t>
        </is>
      </c>
      <c r="U2326" s="3">
        <v>46112.78107638889</v>
      </c>
      <c r="V2326"/>
      <c r="W2326" s="3">
        <v>46094</v>
      </c>
      <c r="X2326" t="inlineStr">
        <is>
          <t>03</t>
        </is>
      </c>
      <c r="Y2326" t="inlineStr">
        <is>
          <t>2026-Q1</t>
        </is>
      </c>
    </row>
    <row r="2327" ht="38.25" customHeight="1">
      <c r="A2327" t="inlineStr">
        <is>
          <t>初中数学初一初二初三七八九年级精品培优讲义辅导培训教材电子版</t>
        </is>
      </c>
      <c r="B2327" t="inlineStr">
        <is>
          <t>recvdJNf43Gl95.jpg</t>
        </is>
      </c>
      <c r="C2327" s="2" t="str">
        <f>=HYPERLINK("https://xhslink.com/m/6sakVPvm7St", "https://xhslink.com/m/6sakVPvm7St")</f>
        <v>https://xhslink.com/m/6sakVPvm7St</v>
      </c>
      <c r="D2327"/>
      <c r="E2327">
        <v>2474</v>
      </c>
      <c r="F2327">
        <v>400</v>
      </c>
      <c r="G2327"/>
      <c r="H2327">
        <v>250</v>
      </c>
      <c r="I2327"/>
      <c r="J2327"/>
      <c r="K2327" t="inlineStr">
        <is>
          <t>PDF</t>
        </is>
      </c>
      <c r="L2327"/>
      <c r="M2327" t="inlineStr">
        <is>
          <t>数理化的店</t>
        </is>
      </c>
      <c r="N2327">
        <v>5293</v>
      </c>
      <c r="O2327">
        <v>4.55</v>
      </c>
      <c r="P2327">
        <v>12000</v>
      </c>
      <c r="Q2327" t="inlineStr">
        <is>
          <t>685e46067ec78a0001b024a1</t>
        </is>
      </c>
      <c r="R2327" t="inlineStr">
        <is>
          <t>🚫重复</t>
        </is>
      </c>
      <c r="S2327" t="inlineStr">
        <is>
          <t>中小学教辅/教材</t>
        </is>
      </c>
      <c r="T2327" t="inlineStr">
        <is>
          <t>0.47</t>
        </is>
      </c>
      <c r="U2327" s="3">
        <v>46112.78107638889</v>
      </c>
      <c r="V2327"/>
      <c r="W2327" s="3">
        <v>46094</v>
      </c>
      <c r="X2327" t="inlineStr">
        <is>
          <t>03</t>
        </is>
      </c>
      <c r="Y2327" t="inlineStr">
        <is>
          <t>2026-Q1</t>
        </is>
      </c>
    </row>
    <row r="2328" ht="38.25" customHeight="1">
      <c r="A2328" t="inlineStr">
        <is>
          <t>26届高考英语12月各题型专项练习合集（PDF+WORD版）含答案解析</t>
        </is>
      </c>
      <c r="B2328" t="inlineStr">
        <is>
          <t>recvdJNf43JgVz.jpg</t>
        </is>
      </c>
      <c r="C2328" s="2" t="str">
        <f>=HYPERLINK("https://xhslink.com/m/5kpZPilyZIe", "https://xhslink.com/m/5kpZPilyZIe")</f>
        <v>https://xhslink.com/m/5kpZPilyZIe</v>
      </c>
      <c r="D2328"/>
      <c r="E2328">
        <v>2236</v>
      </c>
      <c r="F2328">
        <v>39.9</v>
      </c>
      <c r="G2328"/>
      <c r="H2328">
        <v>1000</v>
      </c>
      <c r="I2328"/>
      <c r="J2328"/>
      <c r="K2328" t="inlineStr">
        <is>
          <t>高考英语</t>
        </is>
      </c>
      <c r="L2328"/>
      <c r="M2328" t="inlineStr">
        <is>
          <t>高中英语加工厂的店</t>
        </is>
      </c>
      <c r="N2328">
        <v>5142</v>
      </c>
      <c r="O2328">
        <v>4.43</v>
      </c>
      <c r="P2328">
        <v>5112</v>
      </c>
      <c r="Q2328" t="inlineStr">
        <is>
          <t>699f22734d1dca000182b54f</t>
        </is>
      </c>
      <c r="R2328" t="inlineStr">
        <is>
          <t>🚫重复</t>
        </is>
      </c>
      <c r="S2328" t="inlineStr">
        <is>
          <t>高中/高考资料</t>
        </is>
      </c>
      <c r="T2328" t="inlineStr">
        <is>
          <t>0.43</t>
        </is>
      </c>
      <c r="U2328" s="3">
        <v>46112.78107638889</v>
      </c>
      <c r="V2328"/>
      <c r="W2328" s="3">
        <v>46094</v>
      </c>
      <c r="X2328" t="inlineStr">
        <is>
          <t>03</t>
        </is>
      </c>
      <c r="Y2328" t="inlineStr">
        <is>
          <t>2026-Q1</t>
        </is>
      </c>
    </row>
    <row r="2329" ht="38.25" customHeight="1">
      <c r="A2329" t="inlineStr">
        <is>
          <t>21-25年高考英语真题分类汇编（阅读ABCD、七选五、完形、语填）</t>
        </is>
      </c>
      <c r="B2329" t="inlineStr">
        <is>
          <t>recvdJNf43ygjH.jpg</t>
        </is>
      </c>
      <c r="C2329" s="2" t="str">
        <f>=HYPERLINK("https://xhslink.com/m/9RDdiNFmUdb", "https://xhslink.com/m/9RDdiNFmUdb")</f>
        <v>https://xhslink.com/m/9RDdiNFmUdb</v>
      </c>
      <c r="D2329"/>
      <c r="E2329">
        <v>1864</v>
      </c>
      <c r="F2329">
        <v>29.9</v>
      </c>
      <c r="G2329"/>
      <c r="H2329">
        <v>100</v>
      </c>
      <c r="I2329"/>
      <c r="J2329"/>
      <c r="K2329" t="inlineStr">
        <is>
          <t>高考英语</t>
        </is>
      </c>
      <c r="L2329"/>
      <c r="M2329" t="inlineStr">
        <is>
          <t>英语小Rui老师的店</t>
        </is>
      </c>
      <c r="N2329">
        <v>5792</v>
      </c>
      <c r="O2329">
        <v>4.57</v>
      </c>
      <c r="P2329">
        <v>7430</v>
      </c>
      <c r="Q2329" t="inlineStr">
        <is>
          <t>688334a1e019f20001d929dd</t>
        </is>
      </c>
      <c r="R2329"/>
      <c r="S2329" t="inlineStr">
        <is>
          <t>高中/高考资料</t>
        </is>
      </c>
      <c r="T2329" t="inlineStr">
        <is>
          <t>0.32</t>
        </is>
      </c>
      <c r="U2329" s="3">
        <v>46112.78107638889</v>
      </c>
      <c r="V2329"/>
      <c r="W2329" s="3">
        <v>46094</v>
      </c>
      <c r="X2329" t="inlineStr">
        <is>
          <t>03</t>
        </is>
      </c>
      <c r="Y2329" t="inlineStr">
        <is>
          <t>2026-Q1</t>
        </is>
      </c>
    </row>
    <row r="2330" ht="38.25" customHeight="1">
      <c r="A2330" t="inlineStr">
        <is>
          <t>高考英语688高频词考点（价值15节一对一课程）附寒假逆袭计划</t>
        </is>
      </c>
      <c r="B2330" t="inlineStr">
        <is>
          <t>recvdJNf43eC9q.jpg</t>
        </is>
      </c>
      <c r="C2330" s="2" t="str">
        <f>=HYPERLINK("https://xhslink.com/m/5U2USbTOZWi", "https://xhslink.com/m/5U2USbTOZWi")</f>
        <v>https://xhslink.com/m/5U2USbTOZWi</v>
      </c>
      <c r="D2330"/>
      <c r="E2330">
        <v>437</v>
      </c>
      <c r="F2330">
        <v>99</v>
      </c>
      <c r="G2330"/>
      <c r="H2330">
        <v>200</v>
      </c>
      <c r="I2330"/>
      <c r="J2330"/>
      <c r="K2330" t="inlineStr">
        <is>
          <t>高考英语</t>
        </is>
      </c>
      <c r="L2330"/>
      <c r="M2330" t="inlineStr">
        <is>
          <t>小林学姐ebi的店</t>
        </is>
      </c>
      <c r="N2330">
        <v>24000</v>
      </c>
      <c r="O2330">
        <v>4</v>
      </c>
      <c r="P2330">
        <v>468</v>
      </c>
      <c r="Q2330" t="inlineStr">
        <is>
          <t>695fe4b793c7460001c4b3ca</t>
        </is>
      </c>
      <c r="R2330"/>
      <c r="S2330" t="inlineStr">
        <is>
          <t>高中/高考资料</t>
        </is>
      </c>
      <c r="T2330" t="inlineStr">
        <is>
          <t>0.02</t>
        </is>
      </c>
      <c r="U2330" s="3">
        <v>46112.78107638889</v>
      </c>
      <c r="V2330"/>
      <c r="W2330" s="3">
        <v>46094</v>
      </c>
      <c r="X2330" t="inlineStr">
        <is>
          <t>03</t>
        </is>
      </c>
      <c r="Y2330" t="inlineStr">
        <is>
          <t>2026-Q1</t>
        </is>
      </c>
    </row>
    <row r="2331" ht="38.25" customHeight="1">
      <c r="A2331" t="inlineStr">
        <is>
          <t>悦读京华 · 【易慧】少年学AI看这本就够了 不容错过深入浅出</t>
        </is>
      </c>
      <c r="B2331" t="inlineStr">
        <is>
          <t>recvdJNf43Gfcg.jpg</t>
        </is>
      </c>
      <c r="C2331" s="2" t="str">
        <f>=HYPERLINK("https://xhslink.com/m/7I9Zna0T1SS", "https://xhslink.com/m/7I9Zna0T1SS")</f>
        <v>https://xhslink.com/m/7I9Zna0T1SS</v>
      </c>
      <c r="D2331"/>
      <c r="E2331">
        <v>3300</v>
      </c>
      <c r="F2331">
        <v>1099</v>
      </c>
      <c r="G2331"/>
      <c r="H2331">
        <v>250</v>
      </c>
      <c r="I2331">
        <v>1000</v>
      </c>
      <c r="J2331"/>
      <c r="K2331" t="inlineStr">
        <is>
          <t>AI</t>
        </is>
      </c>
      <c r="L2331" t="inlineStr">
        <is>
          <t>🔥低粉爆款</t>
        </is>
      </c>
      <c r="M2331" t="inlineStr">
        <is>
          <t>悦读京华图书旗舰店</t>
        </is>
      </c>
      <c r="N2331">
        <v>148</v>
      </c>
      <c r="O2331">
        <v>4.53</v>
      </c>
      <c r="P2331">
        <v>11000</v>
      </c>
      <c r="Q2331" t="inlineStr">
        <is>
          <t>6859f38e48753b0001ce8b16</t>
        </is>
      </c>
      <c r="R2331" t="inlineStr">
        <is>
          <t>🚫重复</t>
        </is>
      </c>
      <c r="S2331" t="inlineStr">
        <is>
          <t>AI</t>
        </is>
      </c>
      <c r="T2331" t="inlineStr">
        <is>
          <t>22.30</t>
        </is>
      </c>
      <c r="U2331" s="3">
        <v>46112.78107638889</v>
      </c>
      <c r="V2331"/>
      <c r="W2331" s="3">
        <v>46094</v>
      </c>
      <c r="X2331" t="inlineStr">
        <is>
          <t>03</t>
        </is>
      </c>
      <c r="Y2331" t="inlineStr">
        <is>
          <t>2026-Q1</t>
        </is>
      </c>
    </row>
    <row r="2332" ht="38.25" customHeight="1">
      <c r="A2332" t="inlineStr">
        <is>
          <t>像素蛋糕 · AI修图｜年卡500张修图张数｜一次性到账｜不限设备使用不可结转</t>
        </is>
      </c>
      <c r="B2332" t="inlineStr">
        <is>
          <t>recvdJNf43IgBO.jpg</t>
        </is>
      </c>
      <c r="C2332" s="2" t="str">
        <f>=HYPERLINK("https://xhslink.com/m/9P1gUVvUEM4", "https://xhslink.com/m/9P1gUVvUEM4")</f>
        <v>https://xhslink.com/m/9P1gUVvUEM4</v>
      </c>
      <c r="D2332"/>
      <c r="E2332">
        <v>1754</v>
      </c>
      <c r="F2332">
        <v>198</v>
      </c>
      <c r="G2332"/>
      <c r="H2332">
        <v>750</v>
      </c>
      <c r="I2332"/>
      <c r="J2332"/>
      <c r="K2332" t="inlineStr">
        <is>
          <t>AI</t>
        </is>
      </c>
      <c r="L2332"/>
      <c r="M2332" t="inlineStr">
        <is>
          <t>像素蛋糕的店</t>
        </is>
      </c>
      <c r="N2332">
        <v>75000</v>
      </c>
      <c r="O2332">
        <v>4.58</v>
      </c>
      <c r="P2332">
        <v>95000</v>
      </c>
      <c r="Q2332" t="inlineStr">
        <is>
          <t>69521600ac83a200015bb29c</t>
        </is>
      </c>
      <c r="R2332"/>
      <c r="S2332" t="inlineStr">
        <is>
          <t>AI</t>
        </is>
      </c>
      <c r="T2332" t="inlineStr">
        <is>
          <t>0.02</t>
        </is>
      </c>
      <c r="U2332" s="3">
        <v>46112.78107638889</v>
      </c>
      <c r="V2332"/>
      <c r="W2332" s="3">
        <v>46094</v>
      </c>
      <c r="X2332" t="inlineStr">
        <is>
          <t>03</t>
        </is>
      </c>
      <c r="Y2332" t="inlineStr">
        <is>
          <t>2026-Q1</t>
        </is>
      </c>
    </row>
    <row r="2333" ht="38.25" customHeight="1">
      <c r="A2333" t="inlineStr">
        <is>
          <t>机械工业出版社 · AI家庭教育指南：10倍提升孩子学习力和创造力的方法与实践</t>
        </is>
      </c>
      <c r="B2333" t="inlineStr">
        <is>
          <t>recvdJNf43stRQ.jpg</t>
        </is>
      </c>
      <c r="C2333" s="2" t="str">
        <f>=HYPERLINK("https://xhslink.com/m/3ewaXHDbqZa", "https://xhslink.com/m/3ewaXHDbqZa")</f>
        <v>https://xhslink.com/m/3ewaXHDbqZa</v>
      </c>
      <c r="D2333"/>
      <c r="E2333">
        <v>568</v>
      </c>
      <c r="F2333">
        <v>39.5</v>
      </c>
      <c r="G2333"/>
      <c r="H2333">
        <v>100</v>
      </c>
      <c r="I2333"/>
      <c r="J2333"/>
      <c r="K2333" t="inlineStr">
        <is>
          <t>AI</t>
        </is>
      </c>
      <c r="L2333"/>
      <c r="M2333" t="inlineStr">
        <is>
          <t>机械工业出版社旗舰店</t>
        </is>
      </c>
      <c r="N2333">
        <v>51000</v>
      </c>
      <c r="O2333">
        <v>4.59</v>
      </c>
      <c r="P2333">
        <v>171000</v>
      </c>
      <c r="Q2333" t="inlineStr">
        <is>
          <t>6912cd1091014300014368de</t>
        </is>
      </c>
      <c r="R2333"/>
      <c r="S2333" t="inlineStr">
        <is>
          <t>AI</t>
        </is>
      </c>
      <c r="T2333" t="inlineStr">
        <is>
          <t>0.01</t>
        </is>
      </c>
      <c r="U2333" s="3">
        <v>46112.78107638889</v>
      </c>
      <c r="V2333"/>
      <c r="W2333" s="3">
        <v>46094</v>
      </c>
      <c r="X2333" t="inlineStr">
        <is>
          <t>03</t>
        </is>
      </c>
      <c r="Y2333" t="inlineStr">
        <is>
          <t>2026-Q1</t>
        </is>
      </c>
    </row>
    <row r="2334" ht="38.25" customHeight="1">
      <c r="A2334" t="inlineStr">
        <is>
          <t>60多款课前游戏PPT课件（拍下自动发网盘）</t>
        </is>
      </c>
      <c r="B2334" t="inlineStr">
        <is>
          <t>recvdJNf43QxlW.jpg</t>
        </is>
      </c>
      <c r="C2334" s="2" t="str">
        <f>=HYPERLINK("https://xhslink.com/m/wKTqYRxhpD", "https://xhslink.com/m/wKTqYRxhpD")</f>
        <v>https://xhslink.com/m/wKTqYRxhpD</v>
      </c>
      <c r="D2334"/>
      <c r="E2334">
        <v>18000</v>
      </c>
      <c r="F2334">
        <v>88</v>
      </c>
      <c r="G2334"/>
      <c r="H2334">
        <v>1000</v>
      </c>
      <c r="I2334"/>
      <c r="J2334"/>
      <c r="K2334" t="inlineStr">
        <is>
          <t>PPT</t>
        </is>
      </c>
      <c r="L2334"/>
      <c r="M2334" t="inlineStr">
        <is>
          <t>小雅老师.的店</t>
        </is>
      </c>
      <c r="N2334">
        <v>49000</v>
      </c>
      <c r="O2334">
        <v>4.54</v>
      </c>
      <c r="P2334">
        <v>81000</v>
      </c>
      <c r="Q2334" t="inlineStr">
        <is>
          <t>682386d76d54370001bfefb5</t>
        </is>
      </c>
      <c r="R2334" t="inlineStr">
        <is>
          <t>🚫重复</t>
        </is>
      </c>
      <c r="S2334" t="inlineStr">
        <is>
          <t>PPT模板</t>
        </is>
      </c>
      <c r="T2334" t="inlineStr">
        <is>
          <t>0.37</t>
        </is>
      </c>
      <c r="U2334" s="3">
        <v>46112.78107638889</v>
      </c>
      <c r="V2334"/>
      <c r="W2334" s="3">
        <v>46094</v>
      </c>
      <c r="X2334" t="inlineStr">
        <is>
          <t>03</t>
        </is>
      </c>
      <c r="Y2334" t="inlineStr">
        <is>
          <t>2026-Q1</t>
        </is>
      </c>
    </row>
    <row r="2335" ht="38.25" customHeight="1">
      <c r="A2335" t="inlineStr">
        <is>
          <t>2026人教版小学数学一二三四五六年级上下册教案课件ppt试题试卷</t>
        </is>
      </c>
      <c r="B2335" t="inlineStr">
        <is>
          <t>recvdJNf43dc96.jpg</t>
        </is>
      </c>
      <c r="C2335" s="2" t="str">
        <f>=HYPERLINK("https://xhslink.com/m/46d3FcEKLOQ", "https://xhslink.com/m/46d3FcEKLOQ")</f>
        <v>https://xhslink.com/m/46d3FcEKLOQ</v>
      </c>
      <c r="D2335"/>
      <c r="E2335">
        <v>5902</v>
      </c>
      <c r="F2335">
        <v>53.8</v>
      </c>
      <c r="G2335"/>
      <c r="H2335">
        <v>500</v>
      </c>
      <c r="I2335"/>
      <c r="J2335"/>
      <c r="K2335" t="inlineStr">
        <is>
          <t>PPT</t>
        </is>
      </c>
      <c r="L2335"/>
      <c r="M2335" t="inlineStr">
        <is>
          <t>肖老师的店</t>
        </is>
      </c>
      <c r="N2335">
        <v>12000</v>
      </c>
      <c r="O2335">
        <v>4.6</v>
      </c>
      <c r="P2335">
        <v>73000</v>
      </c>
      <c r="Q2335" t="inlineStr">
        <is>
          <t>66e5dba0afa1e900017a0ed4</t>
        </is>
      </c>
      <c r="R2335" t="inlineStr">
        <is>
          <t>🚫重复</t>
        </is>
      </c>
      <c r="S2335" t="inlineStr">
        <is>
          <t>中小学教辅/教材</t>
        </is>
      </c>
      <c r="T2335" t="inlineStr">
        <is>
          <t>0.49</t>
        </is>
      </c>
      <c r="U2335" s="3">
        <v>46112.78107638889</v>
      </c>
      <c r="V2335"/>
      <c r="W2335" s="3">
        <v>46094</v>
      </c>
      <c r="X2335" t="inlineStr">
        <is>
          <t>03</t>
        </is>
      </c>
      <c r="Y2335" t="inlineStr">
        <is>
          <t>2026-Q1</t>
        </is>
      </c>
    </row>
    <row r="2336" ht="38.25" customHeight="1">
      <c r="A2336" t="inlineStr">
        <is>
          <t>25秋新四年级上册语文教学作文课件|单个9.9，里面没有授课视频</t>
        </is>
      </c>
      <c r="B2336" t="inlineStr">
        <is>
          <t>recvdJNf43eeeV.jpg</t>
        </is>
      </c>
      <c r="C2336" s="2" t="str">
        <f>=HYPERLINK("https://xhslink.com/m/YwmGIHz5BX", "https://xhslink.com/m/YwmGIHz5BX")</f>
        <v>https://xhslink.com/m/YwmGIHz5BX</v>
      </c>
      <c r="D2336"/>
      <c r="E2336">
        <v>2865</v>
      </c>
      <c r="F2336">
        <v>270</v>
      </c>
      <c r="G2336"/>
      <c r="H2336">
        <v>200</v>
      </c>
      <c r="I2336"/>
      <c r="J2336"/>
      <c r="K2336" t="inlineStr">
        <is>
          <t>PPT</t>
        </is>
      </c>
      <c r="L2336"/>
      <c r="M2336" t="inlineStr">
        <is>
          <t>吾辈皆是备课人的店</t>
        </is>
      </c>
      <c r="N2336">
        <v>10000</v>
      </c>
      <c r="O2336">
        <v>4.44</v>
      </c>
      <c r="P2336">
        <v>15000</v>
      </c>
      <c r="Q2336" t="inlineStr">
        <is>
          <t>68f7261ec192ac00018f9e33</t>
        </is>
      </c>
      <c r="R2336" t="inlineStr">
        <is>
          <t>🚫重复</t>
        </is>
      </c>
      <c r="S2336" t="inlineStr">
        <is>
          <t>中小学教辅/教材</t>
        </is>
      </c>
      <c r="T2336" t="inlineStr">
        <is>
          <t>0.29</t>
        </is>
      </c>
      <c r="U2336" s="3">
        <v>46112.78107638889</v>
      </c>
      <c r="V2336"/>
      <c r="W2336" s="3">
        <v>46094</v>
      </c>
      <c r="X2336" t="inlineStr">
        <is>
          <t>03</t>
        </is>
      </c>
      <c r="Y2336" t="inlineStr">
        <is>
          <t>2026-Q1</t>
        </is>
      </c>
    </row>
    <row r="2337" ht="38.25" customHeight="1">
      <c r="A2337" t="inlineStr">
        <is>
          <t>BerryPPT · InsightX100©100个商业模型模板</t>
        </is>
      </c>
      <c r="B2337" t="inlineStr">
        <is>
          <t>recvdJNf43QArm.jpg</t>
        </is>
      </c>
      <c r="C2337" s="2" t="str">
        <f>=HYPERLINK("https://xhslink.com/m/8lX0874aUvU", "https://xhslink.com/m/8lX0874aUvU")</f>
        <v>https://xhslink.com/m/8lX0874aUvU</v>
      </c>
      <c r="D2337"/>
      <c r="E2337">
        <v>2219</v>
      </c>
      <c r="F2337">
        <v>129.99</v>
      </c>
      <c r="G2337"/>
      <c r="H2337">
        <v>100</v>
      </c>
      <c r="I2337"/>
      <c r="J2337"/>
      <c r="K2337" t="inlineStr">
        <is>
          <t>PPT</t>
        </is>
      </c>
      <c r="L2337"/>
      <c r="M2337" t="inlineStr">
        <is>
          <t>BerryPPT旗舰店</t>
        </is>
      </c>
      <c r="N2337">
        <v>13000</v>
      </c>
      <c r="O2337">
        <v>4.14</v>
      </c>
      <c r="P2337">
        <v>5185</v>
      </c>
      <c r="Q2337" t="inlineStr">
        <is>
          <t>66f63f7275e23c00019c389e</t>
        </is>
      </c>
      <c r="R2337" t="inlineStr">
        <is>
          <t>🚫重复</t>
        </is>
      </c>
      <c r="S2337" t="inlineStr">
        <is>
          <t>PPT模板</t>
        </is>
      </c>
      <c r="T2337" t="inlineStr">
        <is>
          <t>0.17</t>
        </is>
      </c>
      <c r="U2337" s="3">
        <v>46112.78107638889</v>
      </c>
      <c r="V2337"/>
      <c r="W2337" s="3">
        <v>46094</v>
      </c>
      <c r="X2337" t="inlineStr">
        <is>
          <t>03</t>
        </is>
      </c>
      <c r="Y2337" t="inlineStr">
        <is>
          <t>2026-Q1</t>
        </is>
      </c>
    </row>
    <row r="2338" ht="38.25" customHeight="1">
      <c r="A2338" t="inlineStr">
        <is>
          <t>2026新人教版小学数学一二三四五六上册下册年级教案设计课件PPT</t>
        </is>
      </c>
      <c r="B2338" t="inlineStr">
        <is>
          <t>recvdJNf43a0kg.jpg</t>
        </is>
      </c>
      <c r="C2338" s="2" t="str">
        <f>=HYPERLINK("https://xhslink.com/m/7rPHmeqK0Fk", "https://xhslink.com/m/7rPHmeqK0Fk")</f>
        <v>https://xhslink.com/m/7rPHmeqK0Fk</v>
      </c>
      <c r="D2338"/>
      <c r="E2338">
        <v>1978</v>
      </c>
      <c r="F2338">
        <v>53.6</v>
      </c>
      <c r="G2338"/>
      <c r="H2338">
        <v>150</v>
      </c>
      <c r="I2338"/>
      <c r="J2338"/>
      <c r="K2338" t="inlineStr">
        <is>
          <t>PPT</t>
        </is>
      </c>
      <c r="L2338"/>
      <c r="M2338" t="inlineStr">
        <is>
          <t>爱学习的小红帽的店</t>
        </is>
      </c>
      <c r="N2338">
        <v>4434</v>
      </c>
      <c r="O2338">
        <v>4.57</v>
      </c>
      <c r="P2338">
        <v>24000</v>
      </c>
      <c r="Q2338" t="inlineStr">
        <is>
          <t>67a0f713f4d6570001a8bb1f</t>
        </is>
      </c>
      <c r="R2338" t="inlineStr">
        <is>
          <t>🚫重复</t>
        </is>
      </c>
      <c r="S2338" t="inlineStr">
        <is>
          <t>中小学教辅/教材</t>
        </is>
      </c>
      <c r="T2338" t="inlineStr">
        <is>
          <t>0.45</t>
        </is>
      </c>
      <c r="U2338" s="3">
        <v>46112.78107638889</v>
      </c>
      <c r="V2338"/>
      <c r="W2338" s="3">
        <v>46094</v>
      </c>
      <c r="X2338" t="inlineStr">
        <is>
          <t>03</t>
        </is>
      </c>
      <c r="Y2338" t="inlineStr">
        <is>
          <t>2026-Q1</t>
        </is>
      </c>
    </row>
    <row r="2339" ht="38.25" customHeight="1">
      <c r="A2339" t="inlineStr">
        <is>
          <t>教师期末必备提效包｜期末评语成绩分析家长会PPT述职持续更新</t>
        </is>
      </c>
      <c r="B2339" t="inlineStr">
        <is>
          <t>recvdJNf43bHIa.jpg</t>
        </is>
      </c>
      <c r="C2339" s="2" t="str">
        <f>=HYPERLINK("https://xhslink.com/m/4x34z6VZhjA", "https://xhslink.com/m/4x34z6VZhjA")</f>
        <v>https://xhslink.com/m/4x34z6VZhjA</v>
      </c>
      <c r="D2339"/>
      <c r="E2339">
        <v>1608</v>
      </c>
      <c r="F2339">
        <v>59.9</v>
      </c>
      <c r="G2339"/>
      <c r="H2339">
        <v>300</v>
      </c>
      <c r="I2339">
        <v>1000</v>
      </c>
      <c r="J2339"/>
      <c r="K2339" t="inlineStr">
        <is>
          <t>PPT</t>
        </is>
      </c>
      <c r="L2339" t="inlineStr">
        <is>
          <t>🔥低粉爆款</t>
        </is>
      </c>
      <c r="M2339" t="inlineStr">
        <is>
          <t>思跃老师的店</t>
        </is>
      </c>
      <c r="N2339">
        <v>510</v>
      </c>
      <c r="O2339">
        <v>4.42</v>
      </c>
      <c r="P2339">
        <v>1705</v>
      </c>
      <c r="Q2339" t="inlineStr">
        <is>
          <t>693af5453753f7000112d660</t>
        </is>
      </c>
      <c r="R2339"/>
      <c r="S2339" t="inlineStr">
        <is>
          <t>老师资料</t>
        </is>
      </c>
      <c r="T2339" t="inlineStr">
        <is>
          <t>3.15</t>
        </is>
      </c>
      <c r="U2339" s="3">
        <v>46112.78107638889</v>
      </c>
      <c r="V2339"/>
      <c r="W2339" s="3">
        <v>46094</v>
      </c>
      <c r="X2339" t="inlineStr">
        <is>
          <t>03</t>
        </is>
      </c>
      <c r="Y2339" t="inlineStr">
        <is>
          <t>2026-Q1</t>
        </is>
      </c>
    </row>
    <row r="2340" ht="38.25" customHeight="1">
      <c r="A2340" t="inlineStr">
        <is>
          <t>新知星球 · 0-18岁每日英语听读会员+视频精讲+教材</t>
        </is>
      </c>
      <c r="B2340" t="inlineStr">
        <is>
          <t>recvdJNf43kpNJ.jpg</t>
        </is>
      </c>
      <c r="C2340" s="2" t="str">
        <f>=HYPERLINK("https://xhslink.com/m/39fcYH43pYR", "https://xhslink.com/m/39fcYH43pYR")</f>
        <v>https://xhslink.com/m/39fcYH43pYR</v>
      </c>
      <c r="D2340"/>
      <c r="E2340">
        <v>1964</v>
      </c>
      <c r="F2340">
        <v>188</v>
      </c>
      <c r="G2340"/>
      <c r="H2340">
        <v>200</v>
      </c>
      <c r="I2340"/>
      <c r="J2340"/>
      <c r="K2340" t="inlineStr">
        <is>
          <t>每日英语</t>
        </is>
      </c>
      <c r="L2340"/>
      <c r="M2340" t="inlineStr">
        <is>
          <t>新知星球的店</t>
        </is>
      </c>
      <c r="N2340">
        <v>1713</v>
      </c>
      <c r="O2340">
        <v>4.51</v>
      </c>
      <c r="P2340">
        <v>12000</v>
      </c>
      <c r="Q2340" t="inlineStr">
        <is>
          <t>69893c53f0c4840001b9c279</t>
        </is>
      </c>
      <c r="R2340"/>
      <c r="S2340" t="inlineStr">
        <is>
          <t>英语资料</t>
        </is>
      </c>
      <c r="T2340" t="inlineStr">
        <is>
          <t>1.15</t>
        </is>
      </c>
      <c r="U2340" s="3">
        <v>46112.78107638889</v>
      </c>
      <c r="V2340"/>
      <c r="W2340" s="3">
        <v>46094</v>
      </c>
      <c r="X2340" t="inlineStr">
        <is>
          <t>03</t>
        </is>
      </c>
      <c r="Y2340" t="inlineStr">
        <is>
          <t>2026-Q1</t>
        </is>
      </c>
    </row>
    <row r="2341" ht="38.25" customHeight="1">
      <c r="A2341" t="inlineStr">
        <is>
          <t>自制点读卡集合，不带笔 支持小蝌蚪小达人毛毛虫点读</t>
        </is>
      </c>
      <c r="B2341" t="inlineStr">
        <is>
          <t>recvdJNf43DQhh.jpg</t>
        </is>
      </c>
      <c r="C2341" s="2" t="str">
        <f>=HYPERLINK("https://xhslink.com/m/5Q8Dhwk5zMv", "https://xhslink.com/m/5Q8Dhwk5zMv")</f>
        <v>https://xhslink.com/m/5Q8Dhwk5zMv</v>
      </c>
      <c r="D2341"/>
      <c r="E2341">
        <v>2618</v>
      </c>
      <c r="F2341">
        <v>42.9</v>
      </c>
      <c r="G2341"/>
      <c r="H2341">
        <v>250</v>
      </c>
      <c r="I2341"/>
      <c r="J2341"/>
      <c r="K2341" t="inlineStr">
        <is>
          <t>每日英语</t>
        </is>
      </c>
      <c r="L2341"/>
      <c r="M2341" t="inlineStr">
        <is>
          <t>茜茜英语启蒙的店</t>
        </is>
      </c>
      <c r="N2341">
        <v>2231</v>
      </c>
      <c r="O2341">
        <v>4.74</v>
      </c>
      <c r="P2341">
        <v>6781</v>
      </c>
      <c r="Q2341" t="inlineStr">
        <is>
          <t>671316b77920da000159eb42</t>
        </is>
      </c>
      <c r="R2341"/>
      <c r="S2341" t="inlineStr">
        <is>
          <t>幼教资料</t>
        </is>
      </c>
      <c r="T2341" t="inlineStr">
        <is>
          <t>1.17</t>
        </is>
      </c>
      <c r="U2341" s="3">
        <v>46112.78107638889</v>
      </c>
      <c r="V2341"/>
      <c r="W2341" s="3">
        <v>46094</v>
      </c>
      <c r="X2341" t="inlineStr">
        <is>
          <t>03</t>
        </is>
      </c>
      <c r="Y2341" t="inlineStr">
        <is>
          <t>2026-Q1</t>
        </is>
      </c>
    </row>
    <row r="2342" ht="38.25" customHeight="1">
      <c r="A2342" t="inlineStr">
        <is>
          <t>线上自习室 超严格学习监督 考研考公考编雅思托福考证</t>
        </is>
      </c>
      <c r="B2342" t="inlineStr">
        <is>
          <t>recvdJNf43xiQt.jpg</t>
        </is>
      </c>
      <c r="C2342" s="2" t="str">
        <f>=HYPERLINK("https://xhslink.com/m/Air4O5avuXH", "https://xhslink.com/m/Air4O5avuXH")</f>
        <v>https://xhslink.com/m/Air4O5avuXH</v>
      </c>
      <c r="D2342"/>
      <c r="E2342">
        <v>10000</v>
      </c>
      <c r="F2342">
        <v>135</v>
      </c>
      <c r="G2342"/>
      <c r="H2342">
        <v>100</v>
      </c>
      <c r="I2342"/>
      <c r="J2342"/>
      <c r="K2342" t="inlineStr">
        <is>
          <t>学习打卡</t>
        </is>
      </c>
      <c r="L2342"/>
      <c r="M2342" t="inlineStr">
        <is>
          <t>小番茄学习监督的店</t>
        </is>
      </c>
      <c r="N2342">
        <v>4365</v>
      </c>
      <c r="O2342">
        <v>4.57</v>
      </c>
      <c r="P2342">
        <v>11000</v>
      </c>
      <c r="Q2342" t="inlineStr">
        <is>
          <t>65d403c623a2f10001131bd3</t>
        </is>
      </c>
      <c r="R2342" t="inlineStr">
        <is>
          <t>🚫重复</t>
        </is>
      </c>
      <c r="S2342" t="inlineStr">
        <is>
          <t>无匹配类别</t>
        </is>
      </c>
      <c r="T2342" t="inlineStr">
        <is>
          <t>2.29</t>
        </is>
      </c>
      <c r="U2342" s="3">
        <v>46112.78107638889</v>
      </c>
      <c r="V2342"/>
      <c r="W2342" s="3">
        <v>46094</v>
      </c>
      <c r="X2342" t="inlineStr">
        <is>
          <t>03</t>
        </is>
      </c>
      <c r="Y2342" t="inlineStr">
        <is>
          <t>2026-Q1</t>
        </is>
      </c>
    </row>
    <row r="2343" ht="38.25" customHeight="1">
      <c r="A2343" t="inlineStr">
        <is>
          <t>AI自媒体3天实操训练营/AI自媒体/AI短视频/AI绘画</t>
        </is>
      </c>
      <c r="B2343" t="inlineStr">
        <is>
          <t>recvdJNf43lFTp.jpg</t>
        </is>
      </c>
      <c r="C2343" s="2" t="str">
        <f>=HYPERLINK("https://xhslink.com/m/9NAoRwFhZtq", "https://xhslink.com/m/9NAoRwFhZtq")</f>
        <v>https://xhslink.com/m/9NAoRwFhZtq</v>
      </c>
      <c r="D2343"/>
      <c r="E2343">
        <v>15000</v>
      </c>
      <c r="F2343">
        <v>9.9</v>
      </c>
      <c r="G2343"/>
      <c r="H2343">
        <v>1500</v>
      </c>
      <c r="I2343"/>
      <c r="J2343"/>
      <c r="K2343" t="inlineStr">
        <is>
          <t>AI</t>
        </is>
      </c>
      <c r="L2343"/>
      <c r="M2343" t="inlineStr">
        <is>
          <t>AIGC魔法老爹的店</t>
        </is>
      </c>
      <c r="N2343">
        <v>34000</v>
      </c>
      <c r="O2343">
        <v>4.63</v>
      </c>
      <c r="P2343">
        <v>16000</v>
      </c>
      <c r="Q2343" t="inlineStr">
        <is>
          <t>6810a5087ccb230001950ae1</t>
        </is>
      </c>
      <c r="R2343" t="inlineStr">
        <is>
          <t>🚫重复</t>
        </is>
      </c>
      <c r="S2343" t="inlineStr">
        <is>
          <t>AI</t>
        </is>
      </c>
      <c r="T2343" t="inlineStr">
        <is>
          <t>0.44</t>
        </is>
      </c>
      <c r="U2343" s="3">
        <v>46112.78107638889</v>
      </c>
      <c r="V2343"/>
      <c r="W2343" s="3">
        <v>46094</v>
      </c>
      <c r="X2343" t="inlineStr">
        <is>
          <t>03</t>
        </is>
      </c>
      <c r="Y2343" t="inlineStr">
        <is>
          <t>2026-Q1</t>
        </is>
      </c>
    </row>
    <row r="2344" ht="38.25" customHeight="1">
      <c r="A2344" t="inlineStr">
        <is>
          <t>EVEchat AI虚拟伴侣聊天html 赠送网页 自动发货</t>
        </is>
      </c>
      <c r="B2344" t="inlineStr">
        <is>
          <t>recvdJNf43eN7Z.jpg</t>
        </is>
      </c>
      <c r="C2344" s="2" t="str">
        <f>=HYPERLINK("https://xhslink.com/m/8qoyOJrFNjS", "https://xhslink.com/m/8qoyOJrFNjS")</f>
        <v>https://xhslink.com/m/8qoyOJrFNjS</v>
      </c>
      <c r="D2344"/>
      <c r="E2344">
        <v>5405</v>
      </c>
      <c r="F2344">
        <v>19.9</v>
      </c>
      <c r="G2344"/>
      <c r="H2344">
        <v>2500</v>
      </c>
      <c r="I2344"/>
      <c r="J2344"/>
      <c r="K2344" t="inlineStr">
        <is>
          <t>AI</t>
        </is>
      </c>
      <c r="L2344"/>
      <c r="M2344" t="inlineStr">
        <is>
          <t>长尾蜥蜥蜥的店</t>
        </is>
      </c>
      <c r="N2344">
        <v>8763</v>
      </c>
      <c r="O2344">
        <v>4.4</v>
      </c>
      <c r="P2344">
        <v>6448</v>
      </c>
      <c r="Q2344" t="inlineStr">
        <is>
          <t>693f16266911000001a2aa92</t>
        </is>
      </c>
      <c r="R2344"/>
      <c r="S2344" t="inlineStr">
        <is>
          <t>AI</t>
        </is>
      </c>
      <c r="T2344" t="inlineStr">
        <is>
          <t>0.62</t>
        </is>
      </c>
      <c r="U2344" s="3">
        <v>46112.78107638889</v>
      </c>
      <c r="V2344"/>
      <c r="W2344" s="3">
        <v>46094</v>
      </c>
      <c r="X2344" t="inlineStr">
        <is>
          <t>03</t>
        </is>
      </c>
      <c r="Y2344" t="inlineStr">
        <is>
          <t>2026-Q1</t>
        </is>
      </c>
    </row>
    <row r="2345" ht="38.25" customHeight="1">
      <c r="A2345" t="inlineStr">
        <is>
          <t>AI一键生成动漫视频全新玩法</t>
        </is>
      </c>
      <c r="B2345" t="inlineStr">
        <is>
          <t>recvdJNf43Fzl4.jpg</t>
        </is>
      </c>
      <c r="C2345" s="2" t="str">
        <f>=HYPERLINK("https://xhslink.com/m/21sjhyiQNYF", "https://xhslink.com/m/21sjhyiQNYF")</f>
        <v>https://xhslink.com/m/21sjhyiQNYF</v>
      </c>
      <c r="D2345"/>
      <c r="E2345">
        <v>5044</v>
      </c>
      <c r="F2345">
        <v>19.6</v>
      </c>
      <c r="G2345"/>
      <c r="H2345">
        <v>850</v>
      </c>
      <c r="I2345"/>
      <c r="J2345"/>
      <c r="K2345" t="inlineStr">
        <is>
          <t>AI</t>
        </is>
      </c>
      <c r="L2345"/>
      <c r="M2345" t="inlineStr">
        <is>
          <t>资料大全呀的店</t>
        </is>
      </c>
      <c r="N2345">
        <v>2700</v>
      </c>
      <c r="O2345">
        <v>4.44</v>
      </c>
      <c r="P2345">
        <v>6661</v>
      </c>
      <c r="Q2345" t="inlineStr">
        <is>
          <t>688c26da02d7b0000105b876</t>
        </is>
      </c>
      <c r="R2345"/>
      <c r="S2345" t="inlineStr">
        <is>
          <t>AI</t>
        </is>
      </c>
      <c r="T2345" t="inlineStr">
        <is>
          <t>1.87</t>
        </is>
      </c>
      <c r="U2345" s="3">
        <v>46112.78107638889</v>
      </c>
      <c r="V2345"/>
      <c r="W2345" s="3">
        <v>46094</v>
      </c>
      <c r="X2345" t="inlineStr">
        <is>
          <t>03</t>
        </is>
      </c>
      <c r="Y2345" t="inlineStr">
        <is>
          <t>2026-Q1</t>
        </is>
      </c>
    </row>
    <row r="2346" ht="38.25" customHeight="1">
      <c r="A2346" t="inlineStr">
        <is>
          <t>Ai 2025 安装教程 使用问题安装问题处理服务</t>
        </is>
      </c>
      <c r="B2346" t="inlineStr">
        <is>
          <t>recvdJNf43LYoQ.jpg</t>
        </is>
      </c>
      <c r="C2346" s="2" t="str">
        <f>=HYPERLINK("https://xhslink.com/m/6hNA46nwyGQ", "https://xhslink.com/m/6hNA46nwyGQ")</f>
        <v>https://xhslink.com/m/6hNA46nwyGQ</v>
      </c>
      <c r="D2346"/>
      <c r="E2346">
        <v>4938</v>
      </c>
      <c r="F2346">
        <v>2.88</v>
      </c>
      <c r="G2346"/>
      <c r="H2346">
        <v>300</v>
      </c>
      <c r="I2346">
        <v>1000</v>
      </c>
      <c r="J2346"/>
      <c r="K2346" t="inlineStr">
        <is>
          <t>AI</t>
        </is>
      </c>
      <c r="L2346" t="inlineStr">
        <is>
          <t>🔥低粉爆款</t>
        </is>
      </c>
      <c r="M2346" t="inlineStr">
        <is>
          <t>DeepSleep的店</t>
        </is>
      </c>
      <c r="N2346">
        <v>655</v>
      </c>
      <c r="O2346">
        <v>4.51</v>
      </c>
      <c r="P2346">
        <v>13000</v>
      </c>
      <c r="Q2346" t="inlineStr">
        <is>
          <t>687e3af3eab7930001715eb7</t>
        </is>
      </c>
      <c r="R2346" t="inlineStr">
        <is>
          <t>🚫重复</t>
        </is>
      </c>
      <c r="S2346" t="inlineStr">
        <is>
          <t>AI</t>
        </is>
      </c>
      <c r="T2346" t="inlineStr">
        <is>
          <t>7.54</t>
        </is>
      </c>
      <c r="U2346" s="3">
        <v>46112.78107638889</v>
      </c>
      <c r="V2346"/>
      <c r="W2346" s="3">
        <v>46094</v>
      </c>
      <c r="X2346" t="inlineStr">
        <is>
          <t>03</t>
        </is>
      </c>
      <c r="Y2346" t="inlineStr">
        <is>
          <t>2026-Q1</t>
        </is>
      </c>
    </row>
    <row r="2347" ht="38.25" customHeight="1">
      <c r="A2347" t="inlineStr">
        <is>
          <t>Mina虚拟ai小手机</t>
        </is>
      </c>
      <c r="B2347" t="inlineStr">
        <is>
          <t>recvdJNf439pJt.jpg</t>
        </is>
      </c>
      <c r="C2347" s="2" t="str">
        <f>=HYPERLINK("https://xhslink.com/m/9HM2rYXJlgZ", "https://xhslink.com/m/9HM2rYXJlgZ")</f>
        <v>https://xhslink.com/m/9HM2rYXJlgZ</v>
      </c>
      <c r="D2347"/>
      <c r="E2347">
        <v>1969</v>
      </c>
      <c r="F2347">
        <v>18.8</v>
      </c>
      <c r="G2347"/>
      <c r="H2347">
        <v>1000</v>
      </c>
      <c r="I2347"/>
      <c r="J2347"/>
      <c r="K2347" t="inlineStr">
        <is>
          <t>AI</t>
        </is>
      </c>
      <c r="L2347"/>
      <c r="M2347" t="inlineStr">
        <is>
          <t>米莉亚Mina的店</t>
        </is>
      </c>
      <c r="N2347">
        <v>6138</v>
      </c>
      <c r="O2347">
        <v>4.31</v>
      </c>
      <c r="P2347">
        <v>1963</v>
      </c>
      <c r="Q2347" t="inlineStr">
        <is>
          <t>697afb0f8dc4b30001ca9667</t>
        </is>
      </c>
      <c r="R2347"/>
      <c r="S2347" t="inlineStr">
        <is>
          <t>AI</t>
        </is>
      </c>
      <c r="T2347" t="inlineStr">
        <is>
          <t>0.32</t>
        </is>
      </c>
      <c r="U2347" s="3">
        <v>46112.78107638889</v>
      </c>
      <c r="V2347"/>
      <c r="W2347" s="3">
        <v>46094</v>
      </c>
      <c r="X2347" t="inlineStr">
        <is>
          <t>03</t>
        </is>
      </c>
      <c r="Y2347" t="inlineStr">
        <is>
          <t>2026-Q1</t>
        </is>
      </c>
    </row>
    <row r="2348" ht="38.25" customHeight="1">
      <c r="A2348" t="inlineStr">
        <is>
          <t>幼儿园小中大班班本课程ppt园本课程方案</t>
        </is>
      </c>
      <c r="B2348" t="inlineStr">
        <is>
          <t>recvdJNf43iE0F.jpg</t>
        </is>
      </c>
      <c r="C2348" s="2" t="str">
        <f>=HYPERLINK("https://xhslink.com/m/7vcfbWVK2XE", "https://xhslink.com/m/7vcfbWVK2XE")</f>
        <v>https://xhslink.com/m/7vcfbWVK2XE</v>
      </c>
      <c r="D2348"/>
      <c r="E2348">
        <v>8033</v>
      </c>
      <c r="F2348">
        <v>88</v>
      </c>
      <c r="G2348"/>
      <c r="H2348">
        <v>300</v>
      </c>
      <c r="I2348">
        <v>1000</v>
      </c>
      <c r="J2348"/>
      <c r="K2348" t="inlineStr">
        <is>
          <t>PPT</t>
        </is>
      </c>
      <c r="L2348"/>
      <c r="M2348" t="inlineStr">
        <is>
          <t>幼儿园游戏案例呀的店</t>
        </is>
      </c>
      <c r="N2348">
        <v>4118</v>
      </c>
      <c r="O2348">
        <v>4.43</v>
      </c>
      <c r="P2348">
        <v>14000</v>
      </c>
      <c r="Q2348" t="inlineStr">
        <is>
          <t>66540cf6d5d5a10001e80dd6</t>
        </is>
      </c>
      <c r="R2348" t="inlineStr">
        <is>
          <t>🚫重复</t>
        </is>
      </c>
      <c r="S2348" t="inlineStr">
        <is>
          <t>PPT模板</t>
        </is>
      </c>
      <c r="T2348" t="inlineStr">
        <is>
          <t>1.95</t>
        </is>
      </c>
      <c r="U2348" s="3">
        <v>46112.78107638889</v>
      </c>
      <c r="V2348"/>
      <c r="W2348" s="3">
        <v>46094</v>
      </c>
      <c r="X2348" t="inlineStr">
        <is>
          <t>03</t>
        </is>
      </c>
      <c r="Y2348" t="inlineStr">
        <is>
          <t>2026-Q1</t>
        </is>
      </c>
    </row>
    <row r="2349" ht="38.25" customHeight="1">
      <c r="A2349" t="inlineStr">
        <is>
          <t>寒暑假及日常自律打卡计划本</t>
        </is>
      </c>
      <c r="B2349" t="inlineStr">
        <is>
          <t>recvdJNf43K9Wf.jpg</t>
        </is>
      </c>
      <c r="C2349" s="2" t="str">
        <f>=HYPERLINK("https://xhslink.com/m/8hUUk7RDpAC", "https://xhslink.com/m/8hUUk7RDpAC")</f>
        <v>https://xhslink.com/m/8hUUk7RDpAC</v>
      </c>
      <c r="D2349"/>
      <c r="E2349">
        <v>50000</v>
      </c>
      <c r="F2349">
        <v>19.8</v>
      </c>
      <c r="G2349"/>
      <c r="H2349">
        <v>3000</v>
      </c>
      <c r="I2349">
        <v>5000</v>
      </c>
      <c r="J2349"/>
      <c r="K2349" t="inlineStr">
        <is>
          <t>学习打卡</t>
        </is>
      </c>
      <c r="L2349" t="inlineStr">
        <is>
          <t>🔥低粉爆款</t>
        </is>
      </c>
      <c r="M2349" t="inlineStr">
        <is>
          <t>屹妈的店</t>
        </is>
      </c>
      <c r="N2349">
        <v>13000</v>
      </c>
      <c r="O2349">
        <v>4.57</v>
      </c>
      <c r="P2349">
        <v>50000</v>
      </c>
      <c r="Q2349" t="inlineStr">
        <is>
          <t>67052b1deb6ef2000158dc4b</t>
        </is>
      </c>
      <c r="R2349"/>
      <c r="S2349" t="inlineStr">
        <is>
          <t>生活成长</t>
        </is>
      </c>
      <c r="T2349" t="inlineStr">
        <is>
          <t>3.85</t>
        </is>
      </c>
      <c r="U2349" s="3">
        <v>46112.78107638889</v>
      </c>
      <c r="V2349"/>
      <c r="W2349" s="3">
        <v>46094</v>
      </c>
      <c r="X2349" t="inlineStr">
        <is>
          <t>03</t>
        </is>
      </c>
      <c r="Y2349" t="inlineStr">
        <is>
          <t>2026-Q1</t>
        </is>
      </c>
    </row>
    <row r="2350" ht="38.25" customHeight="1">
      <c r="A2350" t="inlineStr">
        <is>
          <t>考研数据考研拟录取名单复试名单分数线复试方案考研择校考研调剂</t>
        </is>
      </c>
      <c r="B2350" t="inlineStr">
        <is>
          <t>recvdJNf43M86A.jpg</t>
        </is>
      </c>
      <c r="C2350" s="2" t="str">
        <f>=HYPERLINK("https://xhslink.com/m/4gN89cy1sOA", "https://xhslink.com/m/4gN89cy1sOA")</f>
        <v>https://xhslink.com/m/4gN89cy1sOA</v>
      </c>
      <c r="D2350"/>
      <c r="E2350">
        <v>14000</v>
      </c>
      <c r="F2350">
        <v>5</v>
      </c>
      <c r="G2350"/>
      <c r="H2350">
        <v>850</v>
      </c>
      <c r="I2350"/>
      <c r="J2350"/>
      <c r="K2350" t="inlineStr">
        <is>
          <t>考研</t>
        </is>
      </c>
      <c r="L2350" t="inlineStr">
        <is>
          <t>🔥低粉爆款</t>
        </is>
      </c>
      <c r="M2350" t="inlineStr">
        <is>
          <t>考研择校宝的店</t>
        </is>
      </c>
      <c r="N2350">
        <v>2186</v>
      </c>
      <c r="O2350">
        <v>4.44</v>
      </c>
      <c r="P2350">
        <v>19000</v>
      </c>
      <c r="Q2350" t="inlineStr">
        <is>
          <t>68b6b3150c1e9b00018ba35a</t>
        </is>
      </c>
      <c r="R2350" t="inlineStr">
        <is>
          <t>🚫重复</t>
        </is>
      </c>
      <c r="S2350" t="inlineStr">
        <is>
          <t>考研资料</t>
        </is>
      </c>
      <c r="T2350" t="inlineStr">
        <is>
          <t>6.40</t>
        </is>
      </c>
      <c r="U2350" s="3">
        <v>46112.78107638889</v>
      </c>
      <c r="V2350"/>
      <c r="W2350" s="3">
        <v>46094</v>
      </c>
      <c r="X2350" t="inlineStr">
        <is>
          <t>03</t>
        </is>
      </c>
      <c r="Y2350" t="inlineStr">
        <is>
          <t>2026-Q1</t>
        </is>
      </c>
    </row>
    <row r="2351" ht="38.25" customHeight="1">
      <c r="A2351" t="inlineStr">
        <is>
          <t>27考研英语红宝书单词带背营</t>
        </is>
      </c>
      <c r="B2351" t="inlineStr">
        <is>
          <t>recvdJNf431lz4.jpg</t>
        </is>
      </c>
      <c r="C2351" s="2" t="str">
        <f>=HYPERLINK("https://xhslink.com/m/7elVgI3Yd4c", "https://xhslink.com/m/7elVgI3Yd4c")</f>
        <v>https://xhslink.com/m/7elVgI3Yd4c</v>
      </c>
      <c r="D2351"/>
      <c r="E2351">
        <v>12000</v>
      </c>
      <c r="F2351">
        <v>79.9</v>
      </c>
      <c r="G2351"/>
      <c r="H2351">
        <v>750</v>
      </c>
      <c r="I2351"/>
      <c r="J2351"/>
      <c r="K2351" t="inlineStr">
        <is>
          <t>考研</t>
        </is>
      </c>
      <c r="L2351"/>
      <c r="M2351" t="inlineStr">
        <is>
          <t>赫赫学姐的店</t>
        </is>
      </c>
      <c r="N2351">
        <v>75000</v>
      </c>
      <c r="O2351">
        <v>4.6</v>
      </c>
      <c r="P2351">
        <v>14000</v>
      </c>
      <c r="Q2351" t="inlineStr">
        <is>
          <t>64de3b69a788a600016cc4bc</t>
        </is>
      </c>
      <c r="R2351" t="inlineStr">
        <is>
          <t>🚫重复</t>
        </is>
      </c>
      <c r="S2351" t="inlineStr">
        <is>
          <t>考研资料</t>
        </is>
      </c>
      <c r="T2351" t="inlineStr">
        <is>
          <t>0.16</t>
        </is>
      </c>
      <c r="U2351" s="3">
        <v>46112.78107638889</v>
      </c>
      <c r="V2351"/>
      <c r="W2351" s="3">
        <v>46094</v>
      </c>
      <c r="X2351" t="inlineStr">
        <is>
          <t>03</t>
        </is>
      </c>
      <c r="Y2351" t="inlineStr">
        <is>
          <t>2026-Q1</t>
        </is>
      </c>
    </row>
    <row r="2352" ht="38.25" customHeight="1">
      <c r="A2352" t="inlineStr">
        <is>
          <t>学丞 · 刘晓艳2027考研英语你还在背单词吗不就是语法和长难句58篇阅读</t>
        </is>
      </c>
      <c r="B2352" t="inlineStr">
        <is>
          <t>recvdJNf43Nomx.jpg</t>
        </is>
      </c>
      <c r="C2352" s="2" t="str">
        <f>=HYPERLINK("https://xhslink.com/m/5PvymEAra5g", "https://xhslink.com/m/5PvymEAra5g")</f>
        <v>https://xhslink.com/m/5PvymEAra5g</v>
      </c>
      <c r="D2352"/>
      <c r="E2352">
        <v>1929</v>
      </c>
      <c r="F2352">
        <v>29.8</v>
      </c>
      <c r="G2352"/>
      <c r="H2352">
        <v>350</v>
      </c>
      <c r="I2352">
        <v>1000</v>
      </c>
      <c r="J2352"/>
      <c r="K2352" t="inlineStr">
        <is>
          <t>考研</t>
        </is>
      </c>
      <c r="L2352"/>
      <c r="M2352" t="inlineStr">
        <is>
          <t>学丞图书考试旗舰店</t>
        </is>
      </c>
      <c r="N2352">
        <v>2192</v>
      </c>
      <c r="O2352">
        <v>4.6</v>
      </c>
      <c r="P2352">
        <v>9136</v>
      </c>
      <c r="Q2352" t="inlineStr">
        <is>
          <t>68ee1cc2002e7e0001b761e3</t>
        </is>
      </c>
      <c r="R2352" t="inlineStr">
        <is>
          <t>🚫重复</t>
        </is>
      </c>
      <c r="S2352" t="inlineStr">
        <is>
          <t>考研资料</t>
        </is>
      </c>
      <c r="T2352" t="inlineStr">
        <is>
          <t>0.88</t>
        </is>
      </c>
      <c r="U2352" s="3">
        <v>46112.78107638889</v>
      </c>
      <c r="V2352"/>
      <c r="W2352" s="3">
        <v>46094</v>
      </c>
      <c r="X2352" t="inlineStr">
        <is>
          <t>03</t>
        </is>
      </c>
      <c r="Y2352" t="inlineStr">
        <is>
          <t>2026-Q1</t>
        </is>
      </c>
    </row>
    <row r="2353" ht="38.25" customHeight="1">
      <c r="A2353" t="inlineStr">
        <is>
          <t>2026普通话水平测试冲刺礼包：考前冲刺视频课+电子版资料+范读</t>
        </is>
      </c>
      <c r="B2353" t="inlineStr">
        <is>
          <t>recvdJNf434G1L.jpg</t>
        </is>
      </c>
      <c r="C2353" s="2" t="str">
        <f>=HYPERLINK("https://xhslink.com/m/4HS0Y4o0pk1", "https://xhslink.com/m/4HS0Y4o0pk1")</f>
        <v>https://xhslink.com/m/4HS0Y4o0pk1</v>
      </c>
      <c r="D2353"/>
      <c r="E2353">
        <v>31000</v>
      </c>
      <c r="F2353">
        <v>4.9</v>
      </c>
      <c r="G2353"/>
      <c r="H2353">
        <v>300</v>
      </c>
      <c r="I2353"/>
      <c r="J2353"/>
      <c r="K2353" t="inlineStr">
        <is>
          <t>考试</t>
        </is>
      </c>
      <c r="L2353"/>
      <c r="M2353" t="inlineStr">
        <is>
          <t>炫酷小煜的店</t>
        </is>
      </c>
      <c r="N2353">
        <v>17000</v>
      </c>
      <c r="O2353">
        <v>4.4</v>
      </c>
      <c r="P2353">
        <v>37000</v>
      </c>
      <c r="Q2353" t="inlineStr">
        <is>
          <t>660427a95c3c5a00013fcbb4</t>
        </is>
      </c>
      <c r="R2353" t="inlineStr">
        <is>
          <t>🚫重复</t>
        </is>
      </c>
      <c r="S2353" t="inlineStr">
        <is>
          <t>大学资料</t>
        </is>
      </c>
      <c r="T2353" t="inlineStr">
        <is>
          <t>1.82</t>
        </is>
      </c>
      <c r="U2353" s="3">
        <v>46112.78107638889</v>
      </c>
      <c r="V2353"/>
      <c r="W2353" s="3">
        <v>46094</v>
      </c>
      <c r="X2353" t="inlineStr">
        <is>
          <t>03</t>
        </is>
      </c>
      <c r="Y2353" t="inlineStr">
        <is>
          <t>2026-Q1</t>
        </is>
      </c>
    </row>
    <row r="2354" ht="38.25" customHeight="1">
      <c r="A2354" t="inlineStr">
        <is>
          <t>考研数据考研拟录取名单复试名单分数线复试方案考研择校考研调剂</t>
        </is>
      </c>
      <c r="B2354" t="inlineStr">
        <is>
          <t>recvdJNf43hBLX.jpg</t>
        </is>
      </c>
      <c r="C2354" s="2" t="str">
        <f>=HYPERLINK("https://xhslink.com/m/4D8GPRwppvk", "https://xhslink.com/m/4D8GPRwppvk")</f>
        <v>https://xhslink.com/m/4D8GPRwppvk</v>
      </c>
      <c r="D2354"/>
      <c r="E2354">
        <v>14000</v>
      </c>
      <c r="F2354">
        <v>299</v>
      </c>
      <c r="G2354"/>
      <c r="H2354">
        <v>850</v>
      </c>
      <c r="I2354"/>
      <c r="J2354"/>
      <c r="K2354" t="inlineStr">
        <is>
          <t>考试</t>
        </is>
      </c>
      <c r="L2354" t="inlineStr">
        <is>
          <t>🔥低粉爆款</t>
        </is>
      </c>
      <c r="M2354" t="inlineStr">
        <is>
          <t>考研择校宝的店</t>
        </is>
      </c>
      <c r="N2354">
        <v>2186</v>
      </c>
      <c r="O2354">
        <v>4.44</v>
      </c>
      <c r="P2354">
        <v>19000</v>
      </c>
      <c r="Q2354" t="inlineStr">
        <is>
          <t>6948a41330effa00015c8fdf</t>
        </is>
      </c>
      <c r="R2354" t="inlineStr">
        <is>
          <t>🚫重复</t>
        </is>
      </c>
      <c r="S2354" t="inlineStr">
        <is>
          <t>考研资料</t>
        </is>
      </c>
      <c r="T2354" t="inlineStr">
        <is>
          <t>6.40</t>
        </is>
      </c>
      <c r="U2354" s="3">
        <v>46112.78107638889</v>
      </c>
      <c r="V2354"/>
      <c r="W2354" s="3">
        <v>46094</v>
      </c>
      <c r="X2354" t="inlineStr">
        <is>
          <t>03</t>
        </is>
      </c>
      <c r="Y2354" t="inlineStr">
        <is>
          <t>2026-Q1</t>
        </is>
      </c>
    </row>
    <row r="2355" ht="38.25" customHeight="1">
      <c r="A2355" t="inlineStr">
        <is>
          <t>「电子版」27考公资料，含每日计划表+网课指引等，适用国考省考</t>
        </is>
      </c>
      <c r="B2355" t="inlineStr">
        <is>
          <t>recvdJNf43bzwV.jpg</t>
        </is>
      </c>
      <c r="C2355" s="2" t="str">
        <f>=HYPERLINK("https://xhslink.com/m/1u6mzCKaHIf", "https://xhslink.com/m/1u6mzCKaHIf")</f>
        <v>https://xhslink.com/m/1u6mzCKaHIf</v>
      </c>
      <c r="D2355"/>
      <c r="E2355">
        <v>1371</v>
      </c>
      <c r="F2355">
        <v>198.6</v>
      </c>
      <c r="G2355"/>
      <c r="H2355">
        <v>300</v>
      </c>
      <c r="I2355">
        <v>1000</v>
      </c>
      <c r="J2355"/>
      <c r="K2355" t="inlineStr">
        <is>
          <t>考试</t>
        </is>
      </c>
      <c r="L2355"/>
      <c r="M2355" t="inlineStr">
        <is>
          <t>姜嘟助上岸的店</t>
        </is>
      </c>
      <c r="N2355">
        <v>1493</v>
      </c>
      <c r="O2355">
        <v>4.23</v>
      </c>
      <c r="P2355">
        <v>2115</v>
      </c>
      <c r="Q2355" t="inlineStr">
        <is>
          <t>69a13931c3a4860001f4a210</t>
        </is>
      </c>
      <c r="R2355"/>
      <c r="S2355" t="inlineStr">
        <is>
          <t>考公资料</t>
        </is>
      </c>
      <c r="T2355" t="inlineStr">
        <is>
          <t>0.92</t>
        </is>
      </c>
      <c r="U2355" s="3">
        <v>46112.78107638889</v>
      </c>
      <c r="V2355"/>
      <c r="W2355" s="3">
        <v>46094</v>
      </c>
      <c r="X2355" t="inlineStr">
        <is>
          <t>03</t>
        </is>
      </c>
      <c r="Y2355" t="inlineStr">
        <is>
          <t>2026-Q1</t>
        </is>
      </c>
    </row>
    <row r="2356" ht="38.25" customHeight="1">
      <c r="A2356" t="inlineStr">
        <is>
          <t>2026湖南省考财经专业知识课程</t>
        </is>
      </c>
      <c r="B2356" t="inlineStr">
        <is>
          <t>recvdJNf43tIox.jpg</t>
        </is>
      </c>
      <c r="C2356" s="2" t="str">
        <f>=HYPERLINK("https://xhslink.com/m/2l3L9eBVx3v", "https://xhslink.com/m/2l3L9eBVx3v")</f>
        <v>https://xhslink.com/m/2l3L9eBVx3v</v>
      </c>
      <c r="D2356"/>
      <c r="E2356">
        <v>568</v>
      </c>
      <c r="F2356">
        <v>258</v>
      </c>
      <c r="G2356"/>
      <c r="H2356">
        <v>500</v>
      </c>
      <c r="I2356"/>
      <c r="J2356"/>
      <c r="K2356" t="inlineStr">
        <is>
          <t>考试</t>
        </is>
      </c>
      <c r="L2356"/>
      <c r="M2356" t="inlineStr">
        <is>
          <t>财会周周老师的店</t>
        </is>
      </c>
      <c r="N2356">
        <v>3666</v>
      </c>
      <c r="O2356">
        <v>4.62</v>
      </c>
      <c r="P2356">
        <v>1299</v>
      </c>
      <c r="Q2356" t="inlineStr">
        <is>
          <t>696658668f0f9c000191a487</t>
        </is>
      </c>
      <c r="R2356"/>
      <c r="S2356" t="inlineStr">
        <is>
          <t>考公资料</t>
        </is>
      </c>
      <c r="T2356" t="inlineStr">
        <is>
          <t>0.15</t>
        </is>
      </c>
      <c r="U2356" s="3">
        <v>46112.78107638889</v>
      </c>
      <c r="V2356"/>
      <c r="W2356" s="3">
        <v>46094</v>
      </c>
      <c r="X2356" t="inlineStr">
        <is>
          <t>03</t>
        </is>
      </c>
      <c r="Y2356" t="inlineStr">
        <is>
          <t>2026-Q1</t>
        </is>
      </c>
    </row>
    <row r="2357" ht="38.25" customHeight="1">
      <c r="A2357" t="inlineStr">
        <is>
          <t>30000+款百度输入法永久键盘皮肤｜双系统可用｜附赠教程</t>
        </is>
      </c>
      <c r="B2357" t="inlineStr">
        <is>
          <t>recvdJNf43tGZB.jpg</t>
        </is>
      </c>
      <c r="C2357" s="2" t="str">
        <f>=HYPERLINK("https://xhslink.com/m/9fsGdhDrErd", "https://xhslink.com/m/9fsGdhDrErd")</f>
        <v>https://xhslink.com/m/9fsGdhDrErd</v>
      </c>
      <c r="D2357"/>
      <c r="E2357">
        <v>3062</v>
      </c>
      <c r="F2357">
        <v>3.99</v>
      </c>
      <c r="G2357"/>
      <c r="H2357">
        <v>2000</v>
      </c>
      <c r="I2357"/>
      <c r="J2357"/>
      <c r="K2357" t="inlineStr">
        <is>
          <t>键盘皮肤</t>
        </is>
      </c>
      <c r="L2357" t="inlineStr">
        <is>
          <t>🔥低粉爆款</t>
        </is>
      </c>
      <c r="M2357" t="inlineStr">
        <is>
          <t>小壳Joemab的店</t>
        </is>
      </c>
      <c r="N2357">
        <v>222</v>
      </c>
      <c r="O2357">
        <v>4.45</v>
      </c>
      <c r="P2357">
        <v>4138</v>
      </c>
      <c r="Q2357" t="inlineStr">
        <is>
          <t>696a24b8306dc500014bc276</t>
        </is>
      </c>
      <c r="R2357"/>
      <c r="S2357" t="inlineStr">
        <is>
          <t>软件应用</t>
        </is>
      </c>
      <c r="T2357" t="inlineStr">
        <is>
          <t>13.79</t>
        </is>
      </c>
      <c r="U2357" s="3">
        <v>46112.78107638889</v>
      </c>
      <c r="V2357"/>
      <c r="W2357" s="3">
        <v>46094</v>
      </c>
      <c r="X2357" t="inlineStr">
        <is>
          <t>03</t>
        </is>
      </c>
      <c r="Y2357" t="inlineStr">
        <is>
          <t>2026-Q1</t>
        </is>
      </c>
    </row>
    <row r="2358" ht="38.25" customHeight="1">
      <c r="A2358" t="inlineStr">
        <is>
          <t>《约定》- 百度输入法皮肤</t>
        </is>
      </c>
      <c r="B2358" t="inlineStr">
        <is>
          <t>recvdJNf43PsqI.jpg</t>
        </is>
      </c>
      <c r="C2358" s="2" t="str">
        <f>=HYPERLINK("https://xhslink.com/m/uTQStPUWbX", "https://xhslink.com/m/uTQStPUWbX")</f>
        <v>https://xhslink.com/m/uTQStPUWbX</v>
      </c>
      <c r="D2358"/>
      <c r="E2358">
        <v>1528</v>
      </c>
      <c r="F2358">
        <v>5.99</v>
      </c>
      <c r="G2358"/>
      <c r="H2358">
        <v>1000</v>
      </c>
      <c r="I2358"/>
      <c r="J2358"/>
      <c r="K2358" t="inlineStr">
        <is>
          <t>键盘皮肤</t>
        </is>
      </c>
      <c r="L2358"/>
      <c r="M2358" t="inlineStr">
        <is>
          <t>蒋昀羲的店</t>
        </is>
      </c>
      <c r="N2358">
        <v>6243</v>
      </c>
      <c r="O2358">
        <v>4.59</v>
      </c>
      <c r="P2358">
        <v>5257</v>
      </c>
      <c r="Q2358" t="inlineStr">
        <is>
          <t>69742e513d52b200015e7137</t>
        </is>
      </c>
      <c r="R2358"/>
      <c r="S2358" t="inlineStr">
        <is>
          <t>无匹配类别</t>
        </is>
      </c>
      <c r="T2358" t="inlineStr">
        <is>
          <t>0.24</t>
        </is>
      </c>
      <c r="U2358" s="3">
        <v>46112.78107638889</v>
      </c>
      <c r="V2358"/>
      <c r="W2358" s="3">
        <v>46094</v>
      </c>
      <c r="X2358" t="inlineStr">
        <is>
          <t>03</t>
        </is>
      </c>
      <c r="Y2358" t="inlineStr">
        <is>
          <t>2026-Q1</t>
        </is>
      </c>
    </row>
    <row r="2359" ht="38.25" customHeight="1">
      <c r="A2359" t="inlineStr">
        <is>
          <t>拂页蝶の古早机械兔|双音效|智能双色|赠壁纸|像素复古|百度皮肤</t>
        </is>
      </c>
      <c r="B2359" t="inlineStr">
        <is>
          <t>recvdJNf43Whm9.jpg</t>
        </is>
      </c>
      <c r="C2359" s="2" t="str">
        <f>=HYPERLINK("https://xhslink.com/m/8ldQCjHC8gW", "https://xhslink.com/m/8ldQCjHC8gW")</f>
        <v>https://xhslink.com/m/8ldQCjHC8gW</v>
      </c>
      <c r="D2359"/>
      <c r="E2359">
        <v>1296</v>
      </c>
      <c r="F2359">
        <v>4.88</v>
      </c>
      <c r="G2359"/>
      <c r="H2359">
        <v>400</v>
      </c>
      <c r="I2359">
        <v>1000</v>
      </c>
      <c r="J2359"/>
      <c r="K2359" t="inlineStr">
        <is>
          <t>键盘皮肤</t>
        </is>
      </c>
      <c r="L2359"/>
      <c r="M2359" t="inlineStr">
        <is>
          <t>拂页蝶FLORIDA的店</t>
        </is>
      </c>
      <c r="N2359">
        <v>3839</v>
      </c>
      <c r="O2359">
        <v>4.49</v>
      </c>
      <c r="P2359">
        <v>18000</v>
      </c>
      <c r="Q2359" t="inlineStr">
        <is>
          <t>6951850fb249210001ea5996</t>
        </is>
      </c>
      <c r="R2359"/>
      <c r="S2359" t="inlineStr">
        <is>
          <t>头像壁纸</t>
        </is>
      </c>
      <c r="T2359" t="inlineStr">
        <is>
          <t>0.34</t>
        </is>
      </c>
      <c r="U2359" s="3">
        <v>46112.78107638889</v>
      </c>
      <c r="V2359"/>
      <c r="W2359" s="3">
        <v>46094</v>
      </c>
      <c r="X2359" t="inlineStr">
        <is>
          <t>03</t>
        </is>
      </c>
      <c r="Y2359" t="inlineStr">
        <is>
          <t>2026-Q1</t>
        </is>
      </c>
    </row>
    <row r="2360" ht="38.25" customHeight="1">
      <c r="A2360" t="inlineStr">
        <is>
          <t>【会用再拍丨自动发货】佳#202-波点简韩 双版本 百度输入法皮肤</t>
        </is>
      </c>
      <c r="B2360" t="inlineStr">
        <is>
          <t>recvdJNf43xnqY.jpg</t>
        </is>
      </c>
      <c r="C2360" s="2" t="str">
        <f>=HYPERLINK("https://xhslink.com/m/2pnNRxwwUkT", "https://xhslink.com/m/2pnNRxwwUkT")</f>
        <v>https://xhslink.com/m/2pnNRxwwUkT</v>
      </c>
      <c r="D2360"/>
      <c r="E2360">
        <v>975</v>
      </c>
      <c r="F2360">
        <v>99</v>
      </c>
      <c r="G2360"/>
      <c r="H2360">
        <v>600</v>
      </c>
      <c r="I2360"/>
      <c r="J2360"/>
      <c r="K2360" t="inlineStr">
        <is>
          <t>键盘皮肤</t>
        </is>
      </c>
      <c r="L2360"/>
      <c r="M2360" t="inlineStr">
        <is>
          <t>佳佳了咩的店</t>
        </is>
      </c>
      <c r="N2360">
        <v>12000</v>
      </c>
      <c r="O2360">
        <v>4.39</v>
      </c>
      <c r="P2360">
        <v>66000</v>
      </c>
      <c r="Q2360" t="inlineStr">
        <is>
          <t>697f972ae04706000141b777</t>
        </is>
      </c>
      <c r="R2360"/>
      <c r="S2360" t="inlineStr">
        <is>
          <t>软件应用</t>
        </is>
      </c>
      <c r="T2360" t="inlineStr">
        <is>
          <t>0.08</t>
        </is>
      </c>
      <c r="U2360" s="3">
        <v>46112.78107638889</v>
      </c>
      <c r="V2360"/>
      <c r="W2360" s="3">
        <v>46094</v>
      </c>
      <c r="X2360" t="inlineStr">
        <is>
          <t>03</t>
        </is>
      </c>
      <c r="Y2360" t="inlineStr">
        <is>
          <t>2026-Q1</t>
        </is>
      </c>
    </row>
    <row r="2361" ht="38.25" customHeight="1">
      <c r="A2361" t="inlineStr">
        <is>
          <t>结构化面试话术素材开挂手册电子版知识服务</t>
        </is>
      </c>
      <c r="B2361" t="inlineStr">
        <is>
          <t>recvdJNf43c8ud.jpg</t>
        </is>
      </c>
      <c r="C2361" s="2" t="str">
        <f>=HYPERLINK("https://xhslink.com/m/8OK4WMEe0sw", "https://xhslink.com/m/8OK4WMEe0sw")</f>
        <v>https://xhslink.com/m/8OK4WMEe0sw</v>
      </c>
      <c r="D2361"/>
      <c r="E2361">
        <v>24000</v>
      </c>
      <c r="F2361">
        <v>75.9</v>
      </c>
      <c r="G2361"/>
      <c r="H2361">
        <v>850</v>
      </c>
      <c r="I2361">
        <v>3000</v>
      </c>
      <c r="J2361"/>
      <c r="K2361" t="inlineStr">
        <is>
          <t>教辅资料</t>
        </is>
      </c>
      <c r="L2361"/>
      <c r="M2361" t="inlineStr">
        <is>
          <t>公考蔡文姬的店</t>
        </is>
      </c>
      <c r="N2361">
        <v>15000</v>
      </c>
      <c r="O2361">
        <v>4.43</v>
      </c>
      <c r="P2361">
        <v>47000</v>
      </c>
      <c r="Q2361" t="inlineStr">
        <is>
          <t>680087352a334f0001d432bd</t>
        </is>
      </c>
      <c r="R2361" t="inlineStr">
        <is>
          <t>🚫重复</t>
        </is>
      </c>
      <c r="S2361" t="inlineStr">
        <is>
          <t>求职面试/职场</t>
        </is>
      </c>
      <c r="T2361" t="inlineStr">
        <is>
          <t>1.60</t>
        </is>
      </c>
      <c r="U2361" s="3">
        <v>46112.78107638889</v>
      </c>
      <c r="V2361"/>
      <c r="W2361" s="3">
        <v>46094</v>
      </c>
      <c r="X2361" t="inlineStr">
        <is>
          <t>03</t>
        </is>
      </c>
      <c r="Y2361" t="inlineStr">
        <is>
          <t>2026-Q1</t>
        </is>
      </c>
    </row>
    <row r="2362" ht="38.25" customHeight="1">
      <c r="A2362" t="inlineStr">
        <is>
          <t>27考研英语红宝书单词带背营</t>
        </is>
      </c>
      <c r="B2362" t="inlineStr">
        <is>
          <t>recvdJNf43I6rs.jpg</t>
        </is>
      </c>
      <c r="C2362" s="2" t="str">
        <f>=HYPERLINK("https://xhslink.com/m/6sKsTod0R5T", "https://xhslink.com/m/6sKsTod0R5T")</f>
        <v>https://xhslink.com/m/6sKsTod0R5T</v>
      </c>
      <c r="D2362"/>
      <c r="E2362">
        <v>12000</v>
      </c>
      <c r="F2362">
        <v>79.9</v>
      </c>
      <c r="G2362"/>
      <c r="H2362">
        <v>750</v>
      </c>
      <c r="I2362"/>
      <c r="J2362"/>
      <c r="K2362" t="inlineStr">
        <is>
          <t>教辅资料</t>
        </is>
      </c>
      <c r="L2362"/>
      <c r="M2362" t="inlineStr">
        <is>
          <t>赫赫学姐的店</t>
        </is>
      </c>
      <c r="N2362">
        <v>75000</v>
      </c>
      <c r="O2362">
        <v>4.6</v>
      </c>
      <c r="P2362">
        <v>14000</v>
      </c>
      <c r="Q2362" t="inlineStr">
        <is>
          <t>64de3b6aa788a600016cc4c0</t>
        </is>
      </c>
      <c r="R2362" t="inlineStr">
        <is>
          <t>🚫重复</t>
        </is>
      </c>
      <c r="S2362" t="inlineStr">
        <is>
          <t>考研资料</t>
        </is>
      </c>
      <c r="T2362" t="inlineStr">
        <is>
          <t>0.16</t>
        </is>
      </c>
      <c r="U2362" s="3">
        <v>46112.78107638889</v>
      </c>
      <c r="V2362"/>
      <c r="W2362" s="3">
        <v>46094</v>
      </c>
      <c r="X2362" t="inlineStr">
        <is>
          <t>03</t>
        </is>
      </c>
      <c r="Y2362" t="inlineStr">
        <is>
          <t>2026-Q1</t>
        </is>
      </c>
    </row>
    <row r="2363" ht="38.25" customHeight="1">
      <c r="A2363" t="inlineStr">
        <is>
          <t>幼儿园大中小班优质公开课群丨舞蹈群丨幼小衔接丨微课群丨课件群</t>
        </is>
      </c>
      <c r="B2363" t="inlineStr">
        <is>
          <t>recvdJNf43lGAv.jpg</t>
        </is>
      </c>
      <c r="C2363" s="2" t="str">
        <f>=HYPERLINK("https://xhslink.com/m/5TMR35v4uZ9", "https://xhslink.com/m/5TMR35v4uZ9")</f>
        <v>https://xhslink.com/m/5TMR35v4uZ9</v>
      </c>
      <c r="D2363"/>
      <c r="E2363">
        <v>8528</v>
      </c>
      <c r="F2363">
        <v>89.9</v>
      </c>
      <c r="G2363"/>
      <c r="H2363">
        <v>950</v>
      </c>
      <c r="I2363"/>
      <c r="J2363"/>
      <c r="K2363" t="inlineStr">
        <is>
          <t>教辅资料</t>
        </is>
      </c>
      <c r="L2363" t="inlineStr">
        <is>
          <t>🔥低粉爆款</t>
        </is>
      </c>
      <c r="M2363" t="inlineStr">
        <is>
          <t>七七教辅资料的店</t>
        </is>
      </c>
      <c r="N2363">
        <v>1533</v>
      </c>
      <c r="O2363">
        <v>4.54</v>
      </c>
      <c r="P2363">
        <v>14000</v>
      </c>
      <c r="Q2363" t="inlineStr">
        <is>
          <t>65e1c1710bb18600013e9d62</t>
        </is>
      </c>
      <c r="R2363" t="inlineStr">
        <is>
          <t>🚫重复</t>
        </is>
      </c>
      <c r="S2363" t="inlineStr">
        <is>
          <t>幼教资料</t>
        </is>
      </c>
      <c r="T2363" t="inlineStr">
        <is>
          <t>5.56</t>
        </is>
      </c>
      <c r="U2363" s="3">
        <v>46112.78107638889</v>
      </c>
      <c r="V2363"/>
      <c r="W2363" s="3">
        <v>46094</v>
      </c>
      <c r="X2363" t="inlineStr">
        <is>
          <t>03</t>
        </is>
      </c>
      <c r="Y2363" t="inlineStr">
        <is>
          <t>2026-Q1</t>
        </is>
      </c>
    </row>
    <row r="2364" ht="38.25" customHeight="1">
      <c r="A2364" t="inlineStr">
        <is>
          <t>【高中】春山“百分百胜率”语文逆袭营</t>
        </is>
      </c>
      <c r="B2364" t="inlineStr">
        <is>
          <t>recvdJNf43jMmx.jpg</t>
        </is>
      </c>
      <c r="C2364" s="2" t="str">
        <f>=HYPERLINK("https://xhslink.com/m/3HL0eewwHC1", "https://xhslink.com/m/3HL0eewwHC1")</f>
        <v>https://xhslink.com/m/3HL0eewwHC1</v>
      </c>
      <c r="D2364"/>
      <c r="E2364">
        <v>4536</v>
      </c>
      <c r="F2364">
        <v>99</v>
      </c>
      <c r="G2364"/>
      <c r="H2364">
        <v>850</v>
      </c>
      <c r="I2364"/>
      <c r="J2364"/>
      <c r="K2364" t="inlineStr">
        <is>
          <t>教辅资料</t>
        </is>
      </c>
      <c r="L2364"/>
      <c r="M2364" t="inlineStr">
        <is>
          <t>月照春山学姐的店</t>
        </is>
      </c>
      <c r="N2364">
        <v>43000</v>
      </c>
      <c r="O2364">
        <v>4.55</v>
      </c>
      <c r="P2364">
        <v>6499</v>
      </c>
      <c r="Q2364" t="inlineStr">
        <is>
          <t>6901dc247d4dcd00015b5b9d</t>
        </is>
      </c>
      <c r="R2364" t="inlineStr">
        <is>
          <t>🚫重复</t>
        </is>
      </c>
      <c r="S2364" t="inlineStr">
        <is>
          <t>高中/高考资料</t>
        </is>
      </c>
      <c r="T2364" t="inlineStr">
        <is>
          <t>0.11</t>
        </is>
      </c>
      <c r="U2364" s="3">
        <v>46112.78107638889</v>
      </c>
      <c r="V2364"/>
      <c r="W2364" s="3">
        <v>46094</v>
      </c>
      <c r="X2364" t="inlineStr">
        <is>
          <t>03</t>
        </is>
      </c>
      <c r="Y2364" t="inlineStr">
        <is>
          <t>2026-Q1</t>
        </is>
      </c>
    </row>
    <row r="2365" ht="38.25" customHeight="1">
      <c r="A2365" t="inlineStr">
        <is>
          <t>阳光同学 · 2026春【计算小达人】小学数学1-6年级计算口算同步教材专项训练</t>
        </is>
      </c>
      <c r="B2365" t="inlineStr">
        <is>
          <t>recvdJNf439xA6.jpg</t>
        </is>
      </c>
      <c r="C2365" s="2" t="str">
        <f>=HYPERLINK("https://xhslink.com/m/7oRS5cr8q9n", "https://xhslink.com/m/7oRS5cr8q9n")</f>
        <v>https://xhslink.com/m/7oRS5cr8q9n</v>
      </c>
      <c r="D2365"/>
      <c r="E2365">
        <v>3233</v>
      </c>
      <c r="F2365">
        <v>19.8</v>
      </c>
      <c r="G2365"/>
      <c r="H2365">
        <v>350</v>
      </c>
      <c r="I2365">
        <v>1000</v>
      </c>
      <c r="J2365"/>
      <c r="K2365" t="inlineStr">
        <is>
          <t>教辅资料</t>
        </is>
      </c>
      <c r="L2365"/>
      <c r="M2365" t="inlineStr">
        <is>
          <t>阳光同学旗舰店</t>
        </is>
      </c>
      <c r="N2365">
        <v>3599</v>
      </c>
      <c r="O2365">
        <v>4.8</v>
      </c>
      <c r="P2365">
        <v>13000</v>
      </c>
      <c r="Q2365" t="inlineStr">
        <is>
          <t>69328fdc02483f0001f1d299</t>
        </is>
      </c>
      <c r="R2365"/>
      <c r="S2365" t="inlineStr">
        <is>
          <t>中小学教辅/教材</t>
        </is>
      </c>
      <c r="T2365" t="inlineStr">
        <is>
          <t>0.90</t>
        </is>
      </c>
      <c r="U2365" s="3">
        <v>46112.78107638889</v>
      </c>
      <c r="V2365"/>
      <c r="W2365" s="3">
        <v>46094</v>
      </c>
      <c r="X2365" t="inlineStr">
        <is>
          <t>03</t>
        </is>
      </c>
      <c r="Y2365" t="inlineStr">
        <is>
          <t>2026-Q1</t>
        </is>
      </c>
    </row>
    <row r="2366" ht="38.25" customHeight="1">
      <c r="A2366" t="inlineStr">
        <is>
          <t>2026春新初一初二初三语文数学英语生物化史地道法知识点</t>
        </is>
      </c>
      <c r="B2366" t="inlineStr">
        <is>
          <t>recvdJNf43JX8O.jpg</t>
        </is>
      </c>
      <c r="C2366" s="2" t="str">
        <f>=HYPERLINK("https://xhslink.com/m/8UGZgllp7Me", "https://xhslink.com/m/8UGZgllp7Me")</f>
        <v>https://xhslink.com/m/8UGZgllp7Me</v>
      </c>
      <c r="D2366"/>
      <c r="E2366">
        <v>3151</v>
      </c>
      <c r="F2366">
        <v>79.9</v>
      </c>
      <c r="G2366"/>
      <c r="H2366">
        <v>1000</v>
      </c>
      <c r="I2366">
        <v>2000</v>
      </c>
      <c r="J2366"/>
      <c r="K2366" t="inlineStr">
        <is>
          <t>教辅资料</t>
        </is>
      </c>
      <c r="L2366"/>
      <c r="M2366" t="inlineStr">
        <is>
          <t>金老师资料库-的店</t>
        </is>
      </c>
      <c r="N2366">
        <v>1111</v>
      </c>
      <c r="O2366">
        <v>4.52</v>
      </c>
      <c r="P2366">
        <v>3164</v>
      </c>
      <c r="Q2366" t="inlineStr">
        <is>
          <t>68ff2e68c67e47000184564d</t>
        </is>
      </c>
      <c r="R2366" t="inlineStr">
        <is>
          <t>🚫重复</t>
        </is>
      </c>
      <c r="S2366" t="inlineStr">
        <is>
          <t>中小学教辅/教材</t>
        </is>
      </c>
      <c r="T2366" t="inlineStr">
        <is>
          <t>2.84</t>
        </is>
      </c>
      <c r="U2366" s="3">
        <v>46112.78107638889</v>
      </c>
      <c r="V2366"/>
      <c r="W2366" s="3">
        <v>46094</v>
      </c>
      <c r="X2366" t="inlineStr">
        <is>
          <t>03</t>
        </is>
      </c>
      <c r="Y2366" t="inlineStr">
        <is>
          <t>2026-Q1</t>
        </is>
      </c>
    </row>
    <row r="2367" ht="38.25" customHeight="1">
      <c r="A2367" t="inlineStr">
        <is>
          <t>初中数学七年级八年级九年级初一初二初三数学寒假预习衔接讲义</t>
        </is>
      </c>
      <c r="B2367" t="inlineStr">
        <is>
          <t>recvdJNf43pvJM.jpg</t>
        </is>
      </c>
      <c r="C2367" s="2" t="str">
        <f>=HYPERLINK("https://xhslink.com/m/AbP0FzlJWl7", "https://xhslink.com/m/AbP0FzlJWl7")</f>
        <v>https://xhslink.com/m/AbP0FzlJWl7</v>
      </c>
      <c r="D2367"/>
      <c r="E2367">
        <v>2705</v>
      </c>
      <c r="F2367">
        <v>75</v>
      </c>
      <c r="G2367"/>
      <c r="H2367">
        <v>900</v>
      </c>
      <c r="I2367">
        <v>1000</v>
      </c>
      <c r="J2367"/>
      <c r="K2367" t="inlineStr">
        <is>
          <t>教辅资料</t>
        </is>
      </c>
      <c r="L2367"/>
      <c r="M2367" t="inlineStr">
        <is>
          <t>数理化的店</t>
        </is>
      </c>
      <c r="N2367">
        <v>5296</v>
      </c>
      <c r="O2367">
        <v>4.56</v>
      </c>
      <c r="P2367">
        <v>12000</v>
      </c>
      <c r="Q2367" t="inlineStr">
        <is>
          <t>677e1cc4627fd900019533cc</t>
        </is>
      </c>
      <c r="R2367" t="inlineStr">
        <is>
          <t>🚫重复</t>
        </is>
      </c>
      <c r="S2367" t="inlineStr">
        <is>
          <t>中小学教辅/教材</t>
        </is>
      </c>
      <c r="T2367" t="inlineStr">
        <is>
          <t>0.51</t>
        </is>
      </c>
      <c r="U2367" s="3">
        <v>46112.78107638889</v>
      </c>
      <c r="V2367"/>
      <c r="W2367" s="3">
        <v>46094</v>
      </c>
      <c r="X2367" t="inlineStr">
        <is>
          <t>03</t>
        </is>
      </c>
      <c r="Y2367" t="inlineStr">
        <is>
          <t>2026-Q1</t>
        </is>
      </c>
    </row>
    <row r="2368" ht="38.25" customHeight="1">
      <c r="A2368" t="inlineStr">
        <is>
          <t>2026小学寒假阅读打卡每日练【电子版】</t>
        </is>
      </c>
      <c r="B2368" t="inlineStr">
        <is>
          <t>recvdJNf4313UY.jpg</t>
        </is>
      </c>
      <c r="C2368" s="2" t="str">
        <f>=HYPERLINK("https://xhslink.com/m/9xzqxRnEeAb", "https://xhslink.com/m/9xzqxRnEeAb")</f>
        <v>https://xhslink.com/m/9xzqxRnEeAb</v>
      </c>
      <c r="D2368"/>
      <c r="E2368">
        <v>409</v>
      </c>
      <c r="F2368">
        <v>39.5</v>
      </c>
      <c r="G2368"/>
      <c r="H2368">
        <v>350</v>
      </c>
      <c r="I2368"/>
      <c r="J2368"/>
      <c r="K2368" t="inlineStr">
        <is>
          <t>阅读打卡</t>
        </is>
      </c>
      <c r="L2368"/>
      <c r="M2368" t="inlineStr">
        <is>
          <t>兔语书林的店</t>
        </is>
      </c>
      <c r="N2368">
        <v>268</v>
      </c>
      <c r="O2368">
        <v>4.52</v>
      </c>
      <c r="P2368">
        <v>654</v>
      </c>
      <c r="Q2368" t="inlineStr">
        <is>
          <t>698164e5a5576f0001c4b833</t>
        </is>
      </c>
      <c r="R2368"/>
      <c r="S2368" t="inlineStr">
        <is>
          <t>中小学教辅/教材</t>
        </is>
      </c>
      <c r="T2368" t="inlineStr">
        <is>
          <t>1.53</t>
        </is>
      </c>
      <c r="U2368" s="3">
        <v>46112.78107638889</v>
      </c>
      <c r="V2368"/>
      <c r="W2368" s="3">
        <v>46094</v>
      </c>
      <c r="X2368" t="inlineStr">
        <is>
          <t>03</t>
        </is>
      </c>
      <c r="Y2368" t="inlineStr">
        <is>
          <t>2026-Q1</t>
        </is>
      </c>
    </row>
    <row r="2369" ht="38.25" customHeight="1">
      <c r="A2369" t="inlineStr">
        <is>
          <t>英语小短文100篇|支持小达人小蝌蚪点读|附音频|A4大开本</t>
        </is>
      </c>
      <c r="B2369" t="inlineStr">
        <is>
          <t>recvdJNf43Moxt.jpg</t>
        </is>
      </c>
      <c r="C2369" s="2" t="str">
        <f>=HYPERLINK("https://xhslink.com/m/TtuPEqlfWQ", "https://xhslink.com/m/TtuPEqlfWQ")</f>
        <v>https://xhslink.com/m/TtuPEqlfWQ</v>
      </c>
      <c r="D2369"/>
      <c r="E2369">
        <v>4917</v>
      </c>
      <c r="F2369">
        <v>26.8</v>
      </c>
      <c r="G2369"/>
      <c r="H2369">
        <v>850</v>
      </c>
      <c r="I2369">
        <v>1000</v>
      </c>
      <c r="J2369"/>
      <c r="K2369" t="inlineStr">
        <is>
          <t>英语小短文</t>
        </is>
      </c>
      <c r="L2369"/>
      <c r="M2369" t="inlineStr">
        <is>
          <t>英语小短文的店</t>
        </is>
      </c>
      <c r="N2369">
        <v>247000</v>
      </c>
      <c r="O2369">
        <v>4.51</v>
      </c>
      <c r="P2369">
        <v>10000</v>
      </c>
      <c r="Q2369" t="inlineStr">
        <is>
          <t>686751f3a455ca0001ea3735</t>
        </is>
      </c>
      <c r="R2369"/>
      <c r="S2369" t="inlineStr">
        <is>
          <t>英语资料</t>
        </is>
      </c>
      <c r="T2369" t="inlineStr">
        <is>
          <t>0.02</t>
        </is>
      </c>
      <c r="U2369" s="3">
        <v>46112.78107638889</v>
      </c>
      <c r="V2369"/>
      <c r="W2369" s="3">
        <v>46094</v>
      </c>
      <c r="X2369" t="inlineStr">
        <is>
          <t>03</t>
        </is>
      </c>
      <c r="Y2369" t="inlineStr">
        <is>
          <t>2026-Q1</t>
        </is>
      </c>
    </row>
    <row r="2370" ht="38.25" customHeight="1">
      <c r="A2370" t="inlineStr">
        <is>
          <t>长恨歌-官方特惠票+赠送兵马俑人工讲解+皮影戏+茶歇</t>
        </is>
      </c>
      <c r="B2370" t="inlineStr">
        <is>
          <t>recvdJNf43JsT7.jpg</t>
        </is>
      </c>
      <c r="C2370" s="2" t="str">
        <f>=HYPERLINK("https://xhslink.com/m/2syHmQVSm0H", "https://xhslink.com/m/2syHmQVSm0H")</f>
        <v>https://xhslink.com/m/2syHmQVSm0H</v>
      </c>
      <c r="D2370"/>
      <c r="E2370">
        <v>3317</v>
      </c>
      <c r="F2370">
        <v>978</v>
      </c>
      <c r="G2370"/>
      <c r="H2370">
        <v>450</v>
      </c>
      <c r="I2370"/>
      <c r="J2370"/>
      <c r="K2370" t="inlineStr">
        <is>
          <t>旅游攻略</t>
        </is>
      </c>
      <c r="L2370"/>
      <c r="M2370" t="inlineStr">
        <is>
          <t>三秦足迹旅行社的店</t>
        </is>
      </c>
      <c r="N2370">
        <v>5599</v>
      </c>
      <c r="O2370">
        <v>4.59</v>
      </c>
      <c r="P2370">
        <v>26000</v>
      </c>
      <c r="Q2370" t="inlineStr">
        <is>
          <t>696de5a589beb60001c147d5</t>
        </is>
      </c>
      <c r="R2370"/>
      <c r="S2370" t="inlineStr">
        <is>
          <t>无匹配类别</t>
        </is>
      </c>
      <c r="T2370" t="inlineStr">
        <is>
          <t>0.59</t>
        </is>
      </c>
      <c r="U2370" s="3">
        <v>46112.78107638889</v>
      </c>
      <c r="V2370"/>
      <c r="W2370" s="3">
        <v>46094</v>
      </c>
      <c r="X2370" t="inlineStr">
        <is>
          <t>03</t>
        </is>
      </c>
      <c r="Y2370" t="inlineStr">
        <is>
          <t>2026-Q1</t>
        </is>
      </c>
    </row>
    <row r="2371" ht="38.25" customHeight="1">
      <c r="A2371" t="inlineStr">
        <is>
          <t>西双版纳中科院植物园讲解【趣味讲解、幽默互动、持证上岗】</t>
        </is>
      </c>
      <c r="B2371" t="inlineStr">
        <is>
          <t>recvdJNf43130T.jpg</t>
        </is>
      </c>
      <c r="C2371" s="2" t="str">
        <f>=HYPERLINK("https://xhslink.com/m/3qfv7z41H9B", "https://xhslink.com/m/3qfv7z41H9B")</f>
        <v>https://xhslink.com/m/3qfv7z41H9B</v>
      </c>
      <c r="D2371"/>
      <c r="E2371">
        <v>2188</v>
      </c>
      <c r="F2371">
        <v>1200</v>
      </c>
      <c r="G2371"/>
      <c r="H2371">
        <v>300</v>
      </c>
      <c r="I2371"/>
      <c r="J2371"/>
      <c r="K2371" t="inlineStr">
        <is>
          <t>旅游攻略</t>
        </is>
      </c>
      <c r="L2371"/>
      <c r="M2371" t="inlineStr">
        <is>
          <t>圆梦旅游攻略的店</t>
        </is>
      </c>
      <c r="N2371">
        <v>7769</v>
      </c>
      <c r="O2371">
        <v>4.65</v>
      </c>
      <c r="P2371">
        <v>25000</v>
      </c>
      <c r="Q2371" t="inlineStr">
        <is>
          <t>6794b2c4068b24000177b752</t>
        </is>
      </c>
      <c r="R2371"/>
      <c r="S2371" t="inlineStr">
        <is>
          <t>咨询服务</t>
        </is>
      </c>
      <c r="T2371" t="inlineStr">
        <is>
          <t>0.28</t>
        </is>
      </c>
      <c r="U2371" s="3">
        <v>46112.78107638889</v>
      </c>
      <c r="V2371"/>
      <c r="W2371" s="3">
        <v>46094</v>
      </c>
      <c r="X2371" t="inlineStr">
        <is>
          <t>03</t>
        </is>
      </c>
      <c r="Y2371" t="inlineStr">
        <is>
          <t>2026-Q1</t>
        </is>
      </c>
    </row>
    <row r="2372" ht="38.25" customHeight="1">
      <c r="A2372" t="inlineStr">
        <is>
          <t>江西省博物馆讲解2.5小时曾老师人工服务亲子深度游包团私家团</t>
        </is>
      </c>
      <c r="B2372" t="inlineStr">
        <is>
          <t>recvdJNf43Rc0Z.jpg</t>
        </is>
      </c>
      <c r="C2372" s="2" t="str">
        <f>=HYPERLINK("https://xhslink.com/m/2SX0f1bCJFG", "https://xhslink.com/m/2SX0f1bCJFG")</f>
        <v>https://xhslink.com/m/2SX0f1bCJFG</v>
      </c>
      <c r="D2372"/>
      <c r="E2372">
        <v>798</v>
      </c>
      <c r="F2372">
        <v>3600</v>
      </c>
      <c r="G2372"/>
      <c r="H2372">
        <v>300</v>
      </c>
      <c r="I2372"/>
      <c r="J2372"/>
      <c r="K2372" t="inlineStr">
        <is>
          <t>旅游攻略</t>
        </is>
      </c>
      <c r="L2372"/>
      <c r="M2372" t="inlineStr">
        <is>
          <t>江西省博物馆讲解的店</t>
        </is>
      </c>
      <c r="N2372">
        <v>1705</v>
      </c>
      <c r="O2372">
        <v>4.64</v>
      </c>
      <c r="P2372">
        <v>7456</v>
      </c>
      <c r="Q2372" t="inlineStr">
        <is>
          <t>693236a583efdb0001454a6d</t>
        </is>
      </c>
      <c r="R2372"/>
      <c r="S2372" t="inlineStr">
        <is>
          <t>生活成长</t>
        </is>
      </c>
      <c r="T2372" t="inlineStr">
        <is>
          <t>0.47</t>
        </is>
      </c>
      <c r="U2372" s="3">
        <v>46112.78107638889</v>
      </c>
      <c r="V2372"/>
      <c r="W2372" s="3">
        <v>46094</v>
      </c>
      <c r="X2372" t="inlineStr">
        <is>
          <t>03</t>
        </is>
      </c>
      <c r="Y2372" t="inlineStr">
        <is>
          <t>2026-Q1</t>
        </is>
      </c>
    </row>
    <row r="2373" ht="38.25" customHeight="1">
      <c r="A2373" t="inlineStr">
        <is>
          <t>心理性别测试+取向测试，两个测试结合起来，看出你的真实取向</t>
        </is>
      </c>
      <c r="B2373" t="inlineStr">
        <is>
          <t>recvdJNf43ckG7.jpg</t>
        </is>
      </c>
      <c r="C2373" s="2" t="str">
        <f>=HYPERLINK("https://xhslink.com/m/4lwrVbuCXJJ", "https://xhslink.com/m/4lwrVbuCXJJ")</f>
        <v>https://xhslink.com/m/4lwrVbuCXJJ</v>
      </c>
      <c r="D2373"/>
      <c r="E2373">
        <v>15000</v>
      </c>
      <c r="F2373">
        <v>0.99</v>
      </c>
      <c r="G2373"/>
      <c r="H2373">
        <v>3500</v>
      </c>
      <c r="I2373"/>
      <c r="J2373"/>
      <c r="K2373" t="inlineStr">
        <is>
          <t>心理测试</t>
        </is>
      </c>
      <c r="L2373" t="inlineStr">
        <is>
          <t>🔥低粉爆款</t>
        </is>
      </c>
      <c r="M2373" t="inlineStr">
        <is>
          <t>羊咩咩的店</t>
        </is>
      </c>
      <c r="N2373">
        <v>321</v>
      </c>
      <c r="O2373">
        <v>4.08</v>
      </c>
      <c r="P2373">
        <v>21000</v>
      </c>
      <c r="Q2373" t="inlineStr">
        <is>
          <t>690ffe079de01f0001243b1d</t>
        </is>
      </c>
      <c r="R2373"/>
      <c r="S2373" t="inlineStr">
        <is>
          <t>生活成长</t>
        </is>
      </c>
      <c r="T2373" t="inlineStr">
        <is>
          <t>46.73</t>
        </is>
      </c>
      <c r="U2373" s="3">
        <v>46112.78107638889</v>
      </c>
      <c r="V2373"/>
      <c r="W2373" s="3">
        <v>46094</v>
      </c>
      <c r="X2373" t="inlineStr">
        <is>
          <t>03</t>
        </is>
      </c>
      <c r="Y2373" t="inlineStr">
        <is>
          <t>2026-Q1</t>
        </is>
      </c>
    </row>
    <row r="2374" ht="38.25" customHeight="1">
      <c r="A2374" t="inlineStr">
        <is>
          <t>依恋类型/焦虑型/回避型/爱情测试/心理测试/自动发货/已发不退</t>
        </is>
      </c>
      <c r="B2374" t="inlineStr">
        <is>
          <t>recvdJNf43vWES.jpg</t>
        </is>
      </c>
      <c r="C2374" s="2" t="str">
        <f>=HYPERLINK("https://xhslink.com/m/5C7kKuoNvkK", "https://xhslink.com/m/5C7kKuoNvkK")</f>
        <v>https://xhslink.com/m/5C7kKuoNvkK</v>
      </c>
      <c r="D2374"/>
      <c r="E2374">
        <v>2196</v>
      </c>
      <c r="F2374">
        <v>0.99</v>
      </c>
      <c r="G2374"/>
      <c r="H2374">
        <v>550</v>
      </c>
      <c r="I2374"/>
      <c r="J2374"/>
      <c r="K2374" t="inlineStr">
        <is>
          <t>心理测试</t>
        </is>
      </c>
      <c r="L2374" t="inlineStr">
        <is>
          <t>🔥低粉爆款</t>
        </is>
      </c>
      <c r="M2374" t="inlineStr">
        <is>
          <t>Mindkit.zone的店</t>
        </is>
      </c>
      <c r="N2374">
        <v>86</v>
      </c>
      <c r="O2374">
        <v>4.13</v>
      </c>
      <c r="P2374">
        <v>2327</v>
      </c>
      <c r="Q2374" t="inlineStr">
        <is>
          <t>6924669d603b4e000119996b</t>
        </is>
      </c>
      <c r="R2374"/>
      <c r="S2374" t="inlineStr">
        <is>
          <t>生活成长</t>
        </is>
      </c>
      <c r="T2374" t="inlineStr">
        <is>
          <t>25.53</t>
        </is>
      </c>
      <c r="U2374" s="3">
        <v>46112.78107638889</v>
      </c>
      <c r="V2374"/>
      <c r="W2374" s="3">
        <v>46094</v>
      </c>
      <c r="X2374" t="inlineStr">
        <is>
          <t>03</t>
        </is>
      </c>
      <c r="Y2374" t="inlineStr">
        <is>
          <t>2026-Q1</t>
        </is>
      </c>
    </row>
    <row r="2375" ht="38.25" customHeight="1">
      <c r="A2375" t="inlineStr">
        <is>
          <t>期末评语AI一键生成｜永久使用｜AI智能多维表格 + 送320篇评语集</t>
        </is>
      </c>
      <c r="B2375" t="inlineStr">
        <is>
          <t>recvdJNf43BDXX.jpg</t>
        </is>
      </c>
      <c r="C2375" s="2" t="str">
        <f>=HYPERLINK("https://xhslink.com/m/7rGFoqH6xGg", "https://xhslink.com/m/7rGFoqH6xGg")</f>
        <v>https://xhslink.com/m/7rGFoqH6xGg</v>
      </c>
      <c r="D2375"/>
      <c r="E2375">
        <v>427</v>
      </c>
      <c r="F2375">
        <v>9.9</v>
      </c>
      <c r="G2375"/>
      <c r="H2375">
        <v>300</v>
      </c>
      <c r="I2375"/>
      <c r="J2375"/>
      <c r="K2375" t="inlineStr">
        <is>
          <t>多维表格</t>
        </is>
      </c>
      <c r="L2375"/>
      <c r="M2375" t="inlineStr">
        <is>
          <t>路楠数据分析咨询的店</t>
        </is>
      </c>
      <c r="N2375">
        <v>2247</v>
      </c>
      <c r="O2375">
        <v>4</v>
      </c>
      <c r="P2375">
        <v>1889</v>
      </c>
      <c r="Q2375" t="inlineStr">
        <is>
          <t>6964922ce25fce0001af52ef</t>
        </is>
      </c>
      <c r="R2375"/>
      <c r="S2375" t="inlineStr">
        <is>
          <t>AI</t>
        </is>
      </c>
      <c r="T2375" t="inlineStr">
        <is>
          <t>0.19</t>
        </is>
      </c>
      <c r="U2375" s="3">
        <v>46112.78107638889</v>
      </c>
      <c r="V2375"/>
      <c r="W2375" s="3">
        <v>46094</v>
      </c>
      <c r="X2375" t="inlineStr">
        <is>
          <t>03</t>
        </is>
      </c>
      <c r="Y2375" t="inlineStr">
        <is>
          <t>2026-Q1</t>
        </is>
      </c>
    </row>
    <row r="2376" ht="38.25" customHeight="1">
      <c r="A2376" t="inlineStr">
        <is>
          <t>2026自动生成年/月/周工作计划表|动态日历视图永久可用Excel模板</t>
        </is>
      </c>
      <c r="B2376" t="inlineStr">
        <is>
          <t>recvdJNf43iEDS.jpg</t>
        </is>
      </c>
      <c r="C2376" s="2" t="str">
        <f>=HYPERLINK("https://xhslink.com/m/2gD1YK6Gpd9", "https://xhslink.com/m/2gD1YK6Gpd9")</f>
        <v>https://xhslink.com/m/2gD1YK6Gpd9</v>
      </c>
      <c r="D2376"/>
      <c r="E2376">
        <v>4513</v>
      </c>
      <c r="F2376">
        <v>19.8</v>
      </c>
      <c r="G2376"/>
      <c r="H2376">
        <v>1000</v>
      </c>
      <c r="I2376"/>
      <c r="J2376"/>
      <c r="K2376" t="inlineStr">
        <is>
          <t>表格</t>
        </is>
      </c>
      <c r="L2376"/>
      <c r="M2376" t="inlineStr">
        <is>
          <t>你の办公搭子米娅的店</t>
        </is>
      </c>
      <c r="N2376">
        <v>8258</v>
      </c>
      <c r="O2376">
        <v>4.61</v>
      </c>
      <c r="P2376">
        <v>5006</v>
      </c>
      <c r="Q2376" t="inlineStr">
        <is>
          <t>693e4e7f69110000018da7c6</t>
        </is>
      </c>
      <c r="R2376" t="inlineStr">
        <is>
          <t>🚫重复</t>
        </is>
      </c>
      <c r="S2376" t="inlineStr">
        <is>
          <t>求职面试/职场</t>
        </is>
      </c>
      <c r="T2376" t="inlineStr">
        <is>
          <t>0.55</t>
        </is>
      </c>
      <c r="U2376" s="3">
        <v>46112.78107638889</v>
      </c>
      <c r="V2376"/>
      <c r="W2376" s="3">
        <v>46094</v>
      </c>
      <c r="X2376" t="inlineStr">
        <is>
          <t>03</t>
        </is>
      </c>
      <c r="Y2376" t="inlineStr">
        <is>
          <t>2026-Q1</t>
        </is>
      </c>
    </row>
    <row r="2377" ht="38.25" customHeight="1">
      <c r="A2377" t="inlineStr">
        <is>
          <t>26上教资笔试科三简答题主观题汇总/科三教资简答题/上岸熊正版</t>
        </is>
      </c>
      <c r="B2377" t="inlineStr">
        <is>
          <t>recvdJNf43T8Xo.jpg</t>
        </is>
      </c>
      <c r="C2377" s="2" t="str">
        <f>=HYPERLINK("https://xhslink.com/m/9Mj9z0LSt0X", "https://xhslink.com/m/9Mj9z0LSt0X")</f>
        <v>https://xhslink.com/m/9Mj9z0LSt0X</v>
      </c>
      <c r="D2377"/>
      <c r="E2377">
        <v>6368</v>
      </c>
      <c r="F2377">
        <v>99</v>
      </c>
      <c r="G2377"/>
      <c r="H2377">
        <v>450</v>
      </c>
      <c r="I2377"/>
      <c r="J2377"/>
      <c r="K2377" t="inlineStr">
        <is>
          <t>教资笔试通关资料包</t>
        </is>
      </c>
      <c r="L2377" t="inlineStr">
        <is>
          <t>🔥低粉爆款</t>
        </is>
      </c>
      <c r="M2377" t="inlineStr">
        <is>
          <t>漫福学姐的店</t>
        </is>
      </c>
      <c r="N2377">
        <v>1116</v>
      </c>
      <c r="O2377">
        <v>4.54</v>
      </c>
      <c r="P2377">
        <v>16000</v>
      </c>
      <c r="Q2377" t="inlineStr">
        <is>
          <t>68a7b891acb11600015e44c6</t>
        </is>
      </c>
      <c r="R2377" t="inlineStr">
        <is>
          <t>🚫重复</t>
        </is>
      </c>
      <c r="S2377" t="inlineStr">
        <is>
          <t>教资资料</t>
        </is>
      </c>
      <c r="T2377" t="inlineStr">
        <is>
          <t>5.71</t>
        </is>
      </c>
      <c r="U2377" s="3">
        <v>46112.78107638889</v>
      </c>
      <c r="V2377"/>
      <c r="W2377" s="3">
        <v>46094</v>
      </c>
      <c r="X2377" t="inlineStr">
        <is>
          <t>03</t>
        </is>
      </c>
      <c r="Y2377" t="inlineStr">
        <is>
          <t>2026-Q1</t>
        </is>
      </c>
    </row>
    <row r="2378" ht="38.25" customHeight="1">
      <c r="A2378" t="inlineStr">
        <is>
          <t>2026上半年教资笔试幼小初高备考资料包</t>
        </is>
      </c>
      <c r="B2378" t="inlineStr">
        <is>
          <t>recvdJNf435U2t.jpg</t>
        </is>
      </c>
      <c r="C2378" s="2" t="str">
        <f>=HYPERLINK("https://xhslink.com/m/QJfUhf9eUD", "https://xhslink.com/m/QJfUhf9eUD")</f>
        <v>https://xhslink.com/m/QJfUhf9eUD</v>
      </c>
      <c r="D2378"/>
      <c r="E2378">
        <v>4932</v>
      </c>
      <c r="F2378">
        <v>8.8</v>
      </c>
      <c r="G2378"/>
      <c r="H2378">
        <v>750</v>
      </c>
      <c r="I2378"/>
      <c r="J2378"/>
      <c r="K2378" t="inlineStr">
        <is>
          <t>教资笔试通关资料包</t>
        </is>
      </c>
      <c r="L2378" t="inlineStr">
        <is>
          <t>🔥低粉爆款</t>
        </is>
      </c>
      <c r="M2378" t="inlineStr">
        <is>
          <t>悠悠可爱的店</t>
        </is>
      </c>
      <c r="N2378">
        <v>1273</v>
      </c>
      <c r="O2378">
        <v>4.63</v>
      </c>
      <c r="P2378">
        <v>16000</v>
      </c>
      <c r="Q2378" t="inlineStr">
        <is>
          <t>68fa50b0e379430001742511</t>
        </is>
      </c>
      <c r="R2378" t="inlineStr">
        <is>
          <t>🚫重复</t>
        </is>
      </c>
      <c r="S2378" t="inlineStr">
        <is>
          <t>教资资料</t>
        </is>
      </c>
      <c r="T2378" t="inlineStr">
        <is>
          <t>3.87</t>
        </is>
      </c>
      <c r="U2378" s="3">
        <v>46112.78107638889</v>
      </c>
      <c r="V2378"/>
      <c r="W2378" s="3">
        <v>46094</v>
      </c>
      <c r="X2378" t="inlineStr">
        <is>
          <t>03</t>
        </is>
      </c>
      <c r="Y2378" t="inlineStr">
        <is>
          <t>2026-Q1</t>
        </is>
      </c>
    </row>
    <row r="2379" ht="38.25" customHeight="1">
      <c r="A2379" t="inlineStr">
        <is>
          <t>26上最新教资笔试COCO资料包</t>
        </is>
      </c>
      <c r="B2379" t="inlineStr">
        <is>
          <t>recvdJNf43eo3x.jpg</t>
        </is>
      </c>
      <c r="C2379" s="2" t="str">
        <f>=HYPERLINK("https://xhslink.com/m/2l8rK04PwbZ", "https://xhslink.com/m/2l8rK04PwbZ")</f>
        <v>https://xhslink.com/m/2l8rK04PwbZ</v>
      </c>
      <c r="D2379"/>
      <c r="E2379">
        <v>1486</v>
      </c>
      <c r="F2379">
        <v>2.99</v>
      </c>
      <c r="G2379"/>
      <c r="H2379">
        <v>300</v>
      </c>
      <c r="I2379"/>
      <c r="J2379"/>
      <c r="K2379" t="inlineStr">
        <is>
          <t>教资笔试通关资料包</t>
        </is>
      </c>
      <c r="L2379" t="inlineStr">
        <is>
          <t>🔥低粉爆款</t>
        </is>
      </c>
      <c r="M2379" t="inlineStr">
        <is>
          <t>LMsen森的店</t>
        </is>
      </c>
      <c r="N2379">
        <v>317</v>
      </c>
      <c r="O2379">
        <v>4.22</v>
      </c>
      <c r="P2379">
        <v>3690</v>
      </c>
      <c r="Q2379" t="inlineStr">
        <is>
          <t>6940254d4423c3000126e05f</t>
        </is>
      </c>
      <c r="R2379" t="inlineStr">
        <is>
          <t>🚫重复</t>
        </is>
      </c>
      <c r="S2379" t="inlineStr">
        <is>
          <t>教资资料</t>
        </is>
      </c>
      <c r="T2379" t="inlineStr">
        <is>
          <t>4.69</t>
        </is>
      </c>
      <c r="U2379" s="3">
        <v>46112.78107638889</v>
      </c>
      <c r="V2379"/>
      <c r="W2379" s="3">
        <v>46094</v>
      </c>
      <c r="X2379" t="inlineStr">
        <is>
          <t>03</t>
        </is>
      </c>
      <c r="Y2379" t="inlineStr">
        <is>
          <t>2026-Q1</t>
        </is>
      </c>
    </row>
    <row r="2380" ht="38.25" customHeight="1">
      <c r="A2380" t="inlineStr">
        <is>
          <t>初中英语语法，语法讲解和配套练习题，练习题有答案电子版PDF</t>
        </is>
      </c>
      <c r="B2380" t="inlineStr">
        <is>
          <t>recvdJNf43ZnoO.jpg</t>
        </is>
      </c>
      <c r="C2380" s="2" t="str">
        <f>=HYPERLINK("https://xhslink.com/m/5vHVZJSjitM", "https://xhslink.com/m/5vHVZJSjitM")</f>
        <v>https://xhslink.com/m/5vHVZJSjitM</v>
      </c>
      <c r="D2380"/>
      <c r="E2380">
        <v>1861</v>
      </c>
      <c r="F2380">
        <v>1</v>
      </c>
      <c r="G2380"/>
      <c r="H2380">
        <v>1500</v>
      </c>
      <c r="I2380">
        <v>1000</v>
      </c>
      <c r="J2380"/>
      <c r="K2380" t="inlineStr">
        <is>
          <t>初中辅导</t>
        </is>
      </c>
      <c r="L2380"/>
      <c r="M2380" t="inlineStr">
        <is>
          <t>云朵的电子资料分享的店</t>
        </is>
      </c>
      <c r="N2380">
        <v>4453</v>
      </c>
      <c r="O2380">
        <v>4.57</v>
      </c>
      <c r="P2380">
        <v>31000</v>
      </c>
      <c r="Q2380" t="inlineStr">
        <is>
          <t>694695438bd70d00012d0163</t>
        </is>
      </c>
      <c r="R2380" t="inlineStr">
        <is>
          <t>🚫重复</t>
        </is>
      </c>
      <c r="S2380" t="inlineStr">
        <is>
          <t>中小学教辅/教材</t>
        </is>
      </c>
      <c r="T2380" t="inlineStr">
        <is>
          <t>0.42</t>
        </is>
      </c>
      <c r="U2380" s="3">
        <v>46112.78107638889</v>
      </c>
      <c r="V2380"/>
      <c r="W2380" s="3">
        <v>46094</v>
      </c>
      <c r="X2380" t="inlineStr">
        <is>
          <t>03</t>
        </is>
      </c>
      <c r="Y2380" t="inlineStr">
        <is>
          <t>2026-Q1</t>
        </is>
      </c>
    </row>
    <row r="2381" ht="38.25" customHeight="1">
      <c r="A2381" t="inlineStr">
        <is>
          <t>初中英语知识归纳总结七上八下九上九下全册知识点</t>
        </is>
      </c>
      <c r="B2381" t="inlineStr">
        <is>
          <t>recvdJNf43TFFp.jpg</t>
        </is>
      </c>
      <c r="C2381" s="2" t="str">
        <f>=HYPERLINK("https://xhslink.com/m/7QjEfrvfotC", "https://xhslink.com/m/7QjEfrvfotC")</f>
        <v>https://xhslink.com/m/7QjEfrvfotC</v>
      </c>
      <c r="D2381"/>
      <c r="E2381">
        <v>752</v>
      </c>
      <c r="F2381">
        <v>0.1</v>
      </c>
      <c r="G2381"/>
      <c r="H2381">
        <v>400</v>
      </c>
      <c r="I2381"/>
      <c r="J2381"/>
      <c r="K2381" t="inlineStr">
        <is>
          <t>初中辅导</t>
        </is>
      </c>
      <c r="L2381" t="inlineStr">
        <is>
          <t>🔥低粉爆款</t>
        </is>
      </c>
      <c r="M2381" t="inlineStr">
        <is>
          <t>克林的资料库的店</t>
        </is>
      </c>
      <c r="N2381">
        <v>71</v>
      </c>
      <c r="O2381">
        <v>4.41</v>
      </c>
      <c r="P2381">
        <v>1501</v>
      </c>
      <c r="Q2381" t="inlineStr">
        <is>
          <t>694f87e1bfa5910001a7afb6</t>
        </is>
      </c>
      <c r="R2381"/>
      <c r="S2381" t="inlineStr">
        <is>
          <t>中小学教辅/教材</t>
        </is>
      </c>
      <c r="T2381" t="inlineStr">
        <is>
          <t>10.59</t>
        </is>
      </c>
      <c r="U2381" s="3">
        <v>46112.78107638889</v>
      </c>
      <c r="V2381"/>
      <c r="W2381" s="3">
        <v>46094</v>
      </c>
      <c r="X2381" t="inlineStr">
        <is>
          <t>03</t>
        </is>
      </c>
      <c r="Y2381" t="inlineStr">
        <is>
          <t>2026-Q1</t>
        </is>
      </c>
    </row>
    <row r="2382" ht="38.25" customHeight="1">
      <c r="A2382" t="inlineStr">
        <is>
          <t>教 师 资 格 证 笔试科三重点三色速记笔记</t>
        </is>
      </c>
      <c r="B2382" t="inlineStr">
        <is>
          <t>recvdKAsZzaDDa.jpg</t>
        </is>
      </c>
      <c r="C2382" s="2" t="str">
        <f>=HYPERLINK("https://xhslink.com/m/4xW87crqTUK", "https://xhslink.com/m/4xW87crqTUK")</f>
        <v>https://xhslink.com/m/4xW87crqTUK</v>
      </c>
      <c r="D2382"/>
      <c r="E2382">
        <v>8784</v>
      </c>
      <c r="F2382">
        <v>19.8</v>
      </c>
      <c r="G2382"/>
      <c r="H2382">
        <v>1000</v>
      </c>
      <c r="I2382"/>
      <c r="J2382"/>
      <c r="K2382" t="inlineStr">
        <is>
          <t>教务资料</t>
        </is>
      </c>
      <c r="L2382" t="inlineStr">
        <is>
          <t>🔥低粉爆款</t>
        </is>
      </c>
      <c r="M2382" t="inlineStr">
        <is>
          <t>好运学 姐姐的店</t>
        </is>
      </c>
      <c r="N2382">
        <v>549</v>
      </c>
      <c r="O2382">
        <v>4.38</v>
      </c>
      <c r="P2382">
        <v>10000</v>
      </c>
      <c r="Q2382" t="inlineStr">
        <is>
          <t>686fdd5a64e96a0001c70015</t>
        </is>
      </c>
      <c r="R2382" t="inlineStr">
        <is>
          <t>🚫重复</t>
        </is>
      </c>
      <c r="S2382" t="inlineStr">
        <is>
          <t>教资资料</t>
        </is>
      </c>
      <c r="T2382" t="inlineStr">
        <is>
          <t>16.00</t>
        </is>
      </c>
      <c r="U2382" s="3">
        <v>46112.78107638889</v>
      </c>
      <c r="V2382"/>
      <c r="W2382" s="3">
        <v>46094</v>
      </c>
      <c r="X2382" t="inlineStr">
        <is>
          <t>03</t>
        </is>
      </c>
      <c r="Y2382" t="inlineStr">
        <is>
          <t>2026-Q1</t>
        </is>
      </c>
    </row>
    <row r="2383" ht="38.25" customHeight="1">
      <c r="A2383" t="inlineStr">
        <is>
          <t>26上教师资格证笔试coco教资笔记中学小学科一科二，电子版</t>
        </is>
      </c>
      <c r="B2383" t="inlineStr">
        <is>
          <t>recvdKAsZzKb94.jpg</t>
        </is>
      </c>
      <c r="C2383" s="2" t="str">
        <f>=HYPERLINK("https://xhslink.com/m/AxWNWpUKouZ", "https://xhslink.com/m/AxWNWpUKouZ")</f>
        <v>https://xhslink.com/m/AxWNWpUKouZ</v>
      </c>
      <c r="D2383"/>
      <c r="E2383">
        <v>3810</v>
      </c>
      <c r="F2383">
        <v>18.8</v>
      </c>
      <c r="G2383"/>
      <c r="H2383">
        <v>1000</v>
      </c>
      <c r="I2383"/>
      <c r="J2383"/>
      <c r="K2383" t="inlineStr">
        <is>
          <t>教务资料</t>
        </is>
      </c>
      <c r="L2383" t="inlineStr">
        <is>
          <t>🔥低粉爆款</t>
        </is>
      </c>
      <c r="M2383" t="inlineStr">
        <is>
          <t>桃气学姐资料站的店</t>
        </is>
      </c>
      <c r="N2383">
        <v>389</v>
      </c>
      <c r="O2383">
        <v>4.23</v>
      </c>
      <c r="P2383">
        <v>17000</v>
      </c>
      <c r="Q2383" t="inlineStr">
        <is>
          <t>687501859c0b440001da5f93</t>
        </is>
      </c>
      <c r="R2383"/>
      <c r="S2383" t="inlineStr">
        <is>
          <t>教资资料</t>
        </is>
      </c>
      <c r="T2383" t="inlineStr">
        <is>
          <t>9.79</t>
        </is>
      </c>
      <c r="U2383" s="3">
        <v>46112.78107638889</v>
      </c>
      <c r="V2383"/>
      <c r="W2383" s="3">
        <v>46094</v>
      </c>
      <c r="X2383" t="inlineStr">
        <is>
          <t>03</t>
        </is>
      </c>
      <c r="Y2383" t="inlineStr">
        <is>
          <t>2026-Q1</t>
        </is>
      </c>
    </row>
    <row r="2384" ht="38.25" customHeight="1">
      <c r="A2384" t="inlineStr">
        <is>
          <t>初中教学课件+教务资料合集|语文教学4W＋必备资料</t>
        </is>
      </c>
      <c r="B2384" t="inlineStr">
        <is>
          <t>recvdKAsZz5V7o.jpg</t>
        </is>
      </c>
      <c r="C2384" s="2" t="str">
        <f>=HYPERLINK("https://xhslink.com/m/7y4xecPHHmz", "https://xhslink.com/m/7y4xecPHHmz")</f>
        <v>https://xhslink.com/m/7y4xecPHHmz</v>
      </c>
      <c r="D2384"/>
      <c r="E2384">
        <v>848</v>
      </c>
      <c r="F2384">
        <v>69.9</v>
      </c>
      <c r="G2384"/>
      <c r="H2384">
        <v>100</v>
      </c>
      <c r="I2384"/>
      <c r="J2384"/>
      <c r="K2384" t="inlineStr">
        <is>
          <t>教务资料</t>
        </is>
      </c>
      <c r="L2384"/>
      <c r="M2384" t="inlineStr">
        <is>
          <t>Amy老师的资料库的店</t>
        </is>
      </c>
      <c r="N2384">
        <v>1740</v>
      </c>
      <c r="O2384">
        <v>4.51</v>
      </c>
      <c r="P2384">
        <v>15000</v>
      </c>
      <c r="Q2384" t="inlineStr">
        <is>
          <t>68afcaa8a50cd90001ec05fd</t>
        </is>
      </c>
      <c r="R2384" t="inlineStr">
        <is>
          <t>🚫重复</t>
        </is>
      </c>
      <c r="S2384" t="inlineStr">
        <is>
          <t>中小学教辅/教材</t>
        </is>
      </c>
      <c r="T2384" t="inlineStr">
        <is>
          <t>0.49</t>
        </is>
      </c>
      <c r="U2384" s="3">
        <v>46112.78107638889</v>
      </c>
      <c r="V2384"/>
      <c r="W2384" s="3">
        <v>46094</v>
      </c>
      <c r="X2384" t="inlineStr">
        <is>
          <t>03</t>
        </is>
      </c>
      <c r="Y2384" t="inlineStr">
        <is>
          <t>2026-Q1</t>
        </is>
      </c>
    </row>
    <row r="2385" ht="38.25" customHeight="1">
      <c r="A2385" t="inlineStr">
        <is>
          <t>初三九年级期末家长会课件+讲稿+暖场视频</t>
        </is>
      </c>
      <c r="B2385" t="inlineStr">
        <is>
          <t>recvdKAsZzICeM.jpg</t>
        </is>
      </c>
      <c r="C2385" s="2" t="str">
        <f>=HYPERLINK("https://xhslink.com/m/A1csdaBkPHJ", "https://xhslink.com/m/A1csdaBkPHJ")</f>
        <v>https://xhslink.com/m/A1csdaBkPHJ</v>
      </c>
      <c r="D2385"/>
      <c r="E2385">
        <v>409</v>
      </c>
      <c r="F2385">
        <v>69.9</v>
      </c>
      <c r="G2385"/>
      <c r="H2385">
        <v>300</v>
      </c>
      <c r="I2385"/>
      <c r="J2385"/>
      <c r="K2385" t="inlineStr">
        <is>
          <t>教务资料</t>
        </is>
      </c>
      <c r="L2385"/>
      <c r="M2385" t="inlineStr">
        <is>
          <t>Amy老师的资料库的店</t>
        </is>
      </c>
      <c r="N2385">
        <v>1740</v>
      </c>
      <c r="O2385">
        <v>4.51</v>
      </c>
      <c r="P2385">
        <v>15000</v>
      </c>
      <c r="Q2385" t="inlineStr">
        <is>
          <t>696709461d37860001670bc6</t>
        </is>
      </c>
      <c r="R2385" t="inlineStr">
        <is>
          <t>🚫重复</t>
        </is>
      </c>
      <c r="S2385" t="inlineStr">
        <is>
          <t>中小学教辅/教材</t>
        </is>
      </c>
      <c r="T2385" t="inlineStr">
        <is>
          <t>0.24</t>
        </is>
      </c>
      <c r="U2385" s="3">
        <v>46112.78107638889</v>
      </c>
      <c r="V2385"/>
      <c r="W2385" s="3">
        <v>46094</v>
      </c>
      <c r="X2385" t="inlineStr">
        <is>
          <t>03</t>
        </is>
      </c>
      <c r="Y2385" t="inlineStr">
        <is>
          <t>2026-Q1</t>
        </is>
      </c>
    </row>
    <row r="2386" ht="38.25" customHeight="1">
      <c r="A2386" t="inlineStr">
        <is>
          <t>2026人教版小学数学一二三四五六年级上下册教案课件ppt试题试卷</t>
        </is>
      </c>
      <c r="B2386" t="inlineStr">
        <is>
          <t>recvdKAsZz7ryj.jpg</t>
        </is>
      </c>
      <c r="C2386" s="2" t="str">
        <f>=HYPERLINK("https://xhslink.com/m/Ym9l5rfF0P", "https://xhslink.com/m/Ym9l5rfF0P")</f>
        <v>https://xhslink.com/m/Ym9l5rfF0P</v>
      </c>
      <c r="D2386"/>
      <c r="E2386">
        <v>5970</v>
      </c>
      <c r="F2386">
        <v>11.8</v>
      </c>
      <c r="G2386"/>
      <c r="H2386">
        <v>450</v>
      </c>
      <c r="I2386"/>
      <c r="J2386"/>
      <c r="K2386" t="inlineStr">
        <is>
          <t>小学数学课件</t>
        </is>
      </c>
      <c r="L2386"/>
      <c r="M2386" t="inlineStr">
        <is>
          <t>肖老师的店</t>
        </is>
      </c>
      <c r="N2386">
        <v>12000</v>
      </c>
      <c r="O2386">
        <v>4.57</v>
      </c>
      <c r="P2386">
        <v>73000</v>
      </c>
      <c r="Q2386" t="inlineStr">
        <is>
          <t>66e5dba0afa1e900017a0ecb</t>
        </is>
      </c>
      <c r="R2386" t="inlineStr">
        <is>
          <t>🚫重复</t>
        </is>
      </c>
      <c r="S2386" t="inlineStr">
        <is>
          <t>中小学教辅/教材</t>
        </is>
      </c>
      <c r="T2386" t="inlineStr">
        <is>
          <t>0.50</t>
        </is>
      </c>
      <c r="U2386" s="3">
        <v>46112.78107638889</v>
      </c>
      <c r="V2386"/>
      <c r="W2386" s="3">
        <v>46094</v>
      </c>
      <c r="X2386" t="inlineStr">
        <is>
          <t>03</t>
        </is>
      </c>
      <c r="Y2386" t="inlineStr">
        <is>
          <t>2026-Q1</t>
        </is>
      </c>
    </row>
    <row r="2387" ht="38.25" customHeight="1">
      <c r="A2387" t="inlineStr">
        <is>
          <t>2026春季新版苏教版小学数学一二三四五六年级上下册课件PPT教案</t>
        </is>
      </c>
      <c r="B2387" t="inlineStr">
        <is>
          <t>recvdKAsZzEaKZ.jpg</t>
        </is>
      </c>
      <c r="C2387" s="2" t="str">
        <f>=HYPERLINK("https://xhslink.com/m/1AZ60zKsPh8", "https://xhslink.com/m/1AZ60zKsPh8")</f>
        <v>https://xhslink.com/m/1AZ60zKsPh8</v>
      </c>
      <c r="D2387"/>
      <c r="E2387">
        <v>3031</v>
      </c>
      <c r="F2387">
        <v>53.8</v>
      </c>
      <c r="G2387"/>
      <c r="H2387">
        <v>300</v>
      </c>
      <c r="I2387"/>
      <c r="J2387"/>
      <c r="K2387" t="inlineStr">
        <is>
          <t>小学数学课件</t>
        </is>
      </c>
      <c r="L2387"/>
      <c r="M2387" t="inlineStr">
        <is>
          <t>小小智慧的店</t>
        </is>
      </c>
      <c r="N2387">
        <v>8768</v>
      </c>
      <c r="O2387">
        <v>4.55</v>
      </c>
      <c r="P2387">
        <v>55000</v>
      </c>
      <c r="Q2387" t="inlineStr">
        <is>
          <t>67614dffb1267e00018f81a3</t>
        </is>
      </c>
      <c r="R2387" t="inlineStr">
        <is>
          <t>🚫重复</t>
        </is>
      </c>
      <c r="S2387" t="inlineStr">
        <is>
          <t>中小学教辅/教材</t>
        </is>
      </c>
      <c r="T2387" t="inlineStr">
        <is>
          <t>0.35</t>
        </is>
      </c>
      <c r="U2387" s="3">
        <v>46112.78107638889</v>
      </c>
      <c r="V2387"/>
      <c r="W2387" s="3">
        <v>46094</v>
      </c>
      <c r="X2387" t="inlineStr">
        <is>
          <t>03</t>
        </is>
      </c>
      <c r="Y2387" t="inlineStr">
        <is>
          <t>2026-Q1</t>
        </is>
      </c>
    </row>
    <row r="2388" ht="38.25" customHeight="1">
      <c r="A2388" t="inlineStr">
        <is>
          <t>2026新北师大版小学数学一二三四五六年级上下册教学PPT课件教案</t>
        </is>
      </c>
      <c r="B2388" t="inlineStr">
        <is>
          <t>recvdKAsZz25kR.jpg</t>
        </is>
      </c>
      <c r="C2388" s="2" t="str">
        <f>=HYPERLINK("https://xhslink.com/m/6IGUYP07APF", "https://xhslink.com/m/6IGUYP07APF")</f>
        <v>https://xhslink.com/m/6IGUYP07APF</v>
      </c>
      <c r="D2388"/>
      <c r="E2388">
        <v>2475</v>
      </c>
      <c r="F2388">
        <v>53.8</v>
      </c>
      <c r="G2388"/>
      <c r="H2388">
        <v>100</v>
      </c>
      <c r="I2388"/>
      <c r="J2388"/>
      <c r="K2388" t="inlineStr">
        <is>
          <t>小学数学课件</t>
        </is>
      </c>
      <c r="L2388"/>
      <c r="M2388" t="inlineStr">
        <is>
          <t>爱学习的小红帽的店</t>
        </is>
      </c>
      <c r="N2388">
        <v>4445</v>
      </c>
      <c r="O2388">
        <v>4.54</v>
      </c>
      <c r="P2388">
        <v>24000</v>
      </c>
      <c r="Q2388" t="inlineStr">
        <is>
          <t>67a7864ace073e00016c8aa6</t>
        </is>
      </c>
      <c r="R2388" t="inlineStr">
        <is>
          <t>🚫重复</t>
        </is>
      </c>
      <c r="S2388" t="inlineStr">
        <is>
          <t>中小学教辅/教材</t>
        </is>
      </c>
      <c r="T2388" t="inlineStr">
        <is>
          <t>0.56</t>
        </is>
      </c>
      <c r="U2388" s="3">
        <v>46112.78107638889</v>
      </c>
      <c r="V2388"/>
      <c r="W2388" s="3">
        <v>46094</v>
      </c>
      <c r="X2388" t="inlineStr">
        <is>
          <t>03</t>
        </is>
      </c>
      <c r="Y2388" t="inlineStr">
        <is>
          <t>2026-Q1</t>
        </is>
      </c>
    </row>
    <row r="2389" ht="38.25" customHeight="1">
      <c r="A2389" t="inlineStr">
        <is>
          <t>【2026新版】1-6年级上下册数学教案+课件+各种资料</t>
        </is>
      </c>
      <c r="B2389" t="inlineStr">
        <is>
          <t>recvdKAsZzFVmB.jpg</t>
        </is>
      </c>
      <c r="C2389" s="2" t="str">
        <f>=HYPERLINK("https://xhslink.com/m/34FR3hP49gO", "https://xhslink.com/m/34FR3hP49gO")</f>
        <v>https://xhslink.com/m/34FR3hP49gO</v>
      </c>
      <c r="D2389"/>
      <c r="E2389">
        <v>1548</v>
      </c>
      <c r="F2389">
        <v>19.9</v>
      </c>
      <c r="G2389"/>
      <c r="H2389">
        <v>150</v>
      </c>
      <c r="I2389"/>
      <c r="J2389"/>
      <c r="K2389" t="inlineStr">
        <is>
          <t>小学数学课件</t>
        </is>
      </c>
      <c r="L2389"/>
      <c r="M2389" t="inlineStr">
        <is>
          <t>花花老师的资料的店</t>
        </is>
      </c>
      <c r="N2389">
        <v>3035</v>
      </c>
      <c r="O2389">
        <v>3.92</v>
      </c>
      <c r="P2389">
        <v>13000</v>
      </c>
      <c r="Q2389" t="inlineStr">
        <is>
          <t>6812e146cdf4840001bfc8c3</t>
        </is>
      </c>
      <c r="R2389"/>
      <c r="S2389" t="inlineStr">
        <is>
          <t>中小学教辅/教材</t>
        </is>
      </c>
      <c r="T2389" t="inlineStr">
        <is>
          <t>0.51</t>
        </is>
      </c>
      <c r="U2389" s="3">
        <v>46112.78107638889</v>
      </c>
      <c r="V2389"/>
      <c r="W2389" s="3">
        <v>46094</v>
      </c>
      <c r="X2389" t="inlineStr">
        <is>
          <t>03</t>
        </is>
      </c>
      <c r="Y2389" t="inlineStr">
        <is>
          <t>2026-Q1</t>
        </is>
      </c>
    </row>
    <row r="2390" ht="38.25" customHeight="1">
      <c r="A2390" t="inlineStr">
        <is>
          <t>26春人教版小学数学下册数学整学期课件ppt</t>
        </is>
      </c>
      <c r="B2390" t="inlineStr">
        <is>
          <t>recvdKAsZzKPqK.jpg</t>
        </is>
      </c>
      <c r="C2390" s="2" t="str">
        <f>=HYPERLINK("https://xhslink.com/m/7moorN93c8n", "https://xhslink.com/m/7moorN93c8n")</f>
        <v>https://xhslink.com/m/7moorN93c8n</v>
      </c>
      <c r="D2390"/>
      <c r="E2390">
        <v>1233</v>
      </c>
      <c r="F2390">
        <v>5.88</v>
      </c>
      <c r="G2390"/>
      <c r="H2390">
        <v>350</v>
      </c>
      <c r="I2390"/>
      <c r="J2390"/>
      <c r="K2390" t="inlineStr">
        <is>
          <t>小学数学课件</t>
        </is>
      </c>
      <c r="L2390"/>
      <c r="M2390" t="inlineStr">
        <is>
          <t>小红薯698EBD56的店</t>
        </is>
      </c>
      <c r="N2390">
        <v>1565</v>
      </c>
      <c r="O2390">
        <v>4.46</v>
      </c>
      <c r="P2390">
        <v>3194</v>
      </c>
      <c r="Q2390" t="inlineStr">
        <is>
          <t>695c5d778a5a370001bf28d6</t>
        </is>
      </c>
      <c r="R2390"/>
      <c r="S2390" t="inlineStr">
        <is>
          <t>中小学教辅/教材</t>
        </is>
      </c>
      <c r="T2390" t="inlineStr">
        <is>
          <t>0.79</t>
        </is>
      </c>
      <c r="U2390" s="3">
        <v>46112.78107638889</v>
      </c>
      <c r="V2390"/>
      <c r="W2390" s="3">
        <v>46094</v>
      </c>
      <c r="X2390" t="inlineStr">
        <is>
          <t>03</t>
        </is>
      </c>
      <c r="Y2390" t="inlineStr">
        <is>
          <t>2026-Q1</t>
        </is>
      </c>
    </row>
    <row r="2391" ht="38.25" customHeight="1">
      <c r="A2391" t="inlineStr">
        <is>
          <t>26年春苏教版数学123456年级上下册核心素养教案课件二次备课反思</t>
        </is>
      </c>
      <c r="B2391" t="inlineStr">
        <is>
          <t>recvdKAsZzQsdR.jpg</t>
        </is>
      </c>
      <c r="C2391" s="2" t="str">
        <f>=HYPERLINK("https://xhslink.com/m/5MCSvCMxgPV", "https://xhslink.com/m/5MCSvCMxgPV")</f>
        <v>https://xhslink.com/m/5MCSvCMxgPV</v>
      </c>
      <c r="D2391"/>
      <c r="E2391">
        <v>1299</v>
      </c>
      <c r="F2391">
        <v>86.9</v>
      </c>
      <c r="G2391"/>
      <c r="H2391">
        <v>100</v>
      </c>
      <c r="I2391"/>
      <c r="J2391"/>
      <c r="K2391" t="inlineStr">
        <is>
          <t>小学数学课件</t>
        </is>
      </c>
      <c r="L2391"/>
      <c r="M2391" t="inlineStr">
        <is>
          <t>教案小仓管的店</t>
        </is>
      </c>
      <c r="N2391">
        <v>1620</v>
      </c>
      <c r="O2391">
        <v>4.47</v>
      </c>
      <c r="P2391">
        <v>7785</v>
      </c>
      <c r="Q2391" t="inlineStr">
        <is>
          <t>688482228fe347000178fd9c</t>
        </is>
      </c>
      <c r="R2391"/>
      <c r="S2391" t="inlineStr">
        <is>
          <t>中小学教辅/教材</t>
        </is>
      </c>
      <c r="T2391" t="inlineStr">
        <is>
          <t>0.80</t>
        </is>
      </c>
      <c r="U2391" s="3">
        <v>46112.78107638889</v>
      </c>
      <c r="V2391"/>
      <c r="W2391" s="3">
        <v>46094</v>
      </c>
      <c r="X2391" t="inlineStr">
        <is>
          <t>03</t>
        </is>
      </c>
      <c r="Y2391" t="inlineStr">
        <is>
          <t>2026-Q1</t>
        </is>
      </c>
    </row>
    <row r="2392" ht="38.25" customHeight="1">
      <c r="A2392" t="inlineStr">
        <is>
          <t>雅思写作冲7分速成模板+高分语料库  （预售，后涨价为299）</t>
        </is>
      </c>
      <c r="B2392" t="inlineStr">
        <is>
          <t>recvdKAsZz1jtF.jpg</t>
        </is>
      </c>
      <c r="C2392" s="2" t="str">
        <f>=HYPERLINK("https://xhslink.com/m/5M9wk5I7Ysa", "https://xhslink.com/m/5M9wk5I7Ysa")</f>
        <v>https://xhslink.com/m/5M9wk5I7Ysa</v>
      </c>
      <c r="D2392"/>
      <c r="E2392">
        <v>4583</v>
      </c>
      <c r="F2392">
        <v>299</v>
      </c>
      <c r="G2392"/>
      <c r="H2392">
        <v>300</v>
      </c>
      <c r="I2392">
        <v>1000</v>
      </c>
      <c r="J2392"/>
      <c r="K2392" t="inlineStr">
        <is>
          <t>雅思口语高分模板</t>
        </is>
      </c>
      <c r="L2392"/>
      <c r="M2392" t="inlineStr">
        <is>
          <t>Claire澳洲学姐（雅思口语9分）的店</t>
        </is>
      </c>
      <c r="N2392">
        <v>43000</v>
      </c>
      <c r="O2392">
        <v>4.56</v>
      </c>
      <c r="P2392">
        <v>22000</v>
      </c>
      <c r="Q2392" t="inlineStr">
        <is>
          <t>69004484b8a4f60001084f55</t>
        </is>
      </c>
      <c r="R2392" t="inlineStr">
        <is>
          <t>🚫重复</t>
        </is>
      </c>
      <c r="S2392" t="inlineStr">
        <is>
          <t>英语资料</t>
        </is>
      </c>
      <c r="T2392" t="inlineStr">
        <is>
          <t>0.11</t>
        </is>
      </c>
      <c r="U2392" s="3">
        <v>46112.78107638889</v>
      </c>
      <c r="V2392"/>
      <c r="W2392" s="3">
        <v>46094</v>
      </c>
      <c r="X2392" t="inlineStr">
        <is>
          <t>03</t>
        </is>
      </c>
      <c r="Y2392" t="inlineStr">
        <is>
          <t>2026-Q1</t>
        </is>
      </c>
    </row>
    <row r="2393" ht="38.25" customHeight="1">
      <c r="A2393" t="inlineStr">
        <is>
          <t>1-4月 睡熟了的水 Part 1+2+3 雅思口语原创高分素材 p2含串题</t>
        </is>
      </c>
      <c r="B2393" t="inlineStr">
        <is>
          <t>recvdKAsZzxcWJ.jpg</t>
        </is>
      </c>
      <c r="C2393" s="2" t="str">
        <f>=HYPERLINK("https://xhslink.com/m/8YnffFn8vwc", "https://xhslink.com/m/8YnffFn8vwc")</f>
        <v>https://xhslink.com/m/8YnffFn8vwc</v>
      </c>
      <c r="D2393"/>
      <c r="E2393">
        <v>3166</v>
      </c>
      <c r="F2393">
        <v>110</v>
      </c>
      <c r="G2393"/>
      <c r="H2393">
        <v>100</v>
      </c>
      <c r="I2393"/>
      <c r="J2393"/>
      <c r="K2393" t="inlineStr">
        <is>
          <t>雅思口语高分模板</t>
        </is>
      </c>
      <c r="L2393"/>
      <c r="M2393" t="inlineStr">
        <is>
          <t>睡熟了的水的店</t>
        </is>
      </c>
      <c r="N2393">
        <v>8899</v>
      </c>
      <c r="O2393">
        <v>4.38</v>
      </c>
      <c r="P2393">
        <v>7909</v>
      </c>
      <c r="Q2393" t="inlineStr">
        <is>
          <t>66d01da00eae590001d484e1</t>
        </is>
      </c>
      <c r="R2393"/>
      <c r="S2393" t="inlineStr">
        <is>
          <t>英语资料</t>
        </is>
      </c>
      <c r="T2393" t="inlineStr">
        <is>
          <t>0.36</t>
        </is>
      </c>
      <c r="U2393" s="3">
        <v>46112.78107638889</v>
      </c>
      <c r="V2393"/>
      <c r="W2393" s="3">
        <v>46094</v>
      </c>
      <c r="X2393" t="inlineStr">
        <is>
          <t>03</t>
        </is>
      </c>
      <c r="Y2393" t="inlineStr">
        <is>
          <t>2026-Q1</t>
        </is>
      </c>
    </row>
    <row r="2394" ht="38.25" customHeight="1">
      <c r="A2394" t="inlineStr">
        <is>
          <t>原创1-4月最新雅思口语945词万能模板+邪修作文万能模板全家桶</t>
        </is>
      </c>
      <c r="B2394" t="inlineStr">
        <is>
          <t>recvdKAsZzWERP.jpg</t>
        </is>
      </c>
      <c r="C2394" s="2" t="str">
        <f>=HYPERLINK("https://xhslink.com/m/4FbUDYW3If1", "https://xhslink.com/m/4FbUDYW3If1")</f>
        <v>https://xhslink.com/m/4FbUDYW3If1</v>
      </c>
      <c r="D2394"/>
      <c r="E2394">
        <v>1468</v>
      </c>
      <c r="F2394">
        <v>199.9</v>
      </c>
      <c r="G2394"/>
      <c r="H2394">
        <v>150</v>
      </c>
      <c r="I2394"/>
      <c r="J2394"/>
      <c r="K2394" t="inlineStr">
        <is>
          <t>雅思口语高分模板</t>
        </is>
      </c>
      <c r="L2394"/>
      <c r="M2394" t="inlineStr">
        <is>
          <t>魔仙堡在逃卷王的店</t>
        </is>
      </c>
      <c r="N2394">
        <v>1035</v>
      </c>
      <c r="O2394">
        <v>4.43</v>
      </c>
      <c r="P2394">
        <v>1544</v>
      </c>
      <c r="Q2394" t="inlineStr">
        <is>
          <t>68b30e7371b9e2000144f095</t>
        </is>
      </c>
      <c r="R2394" t="inlineStr">
        <is>
          <t>🚫重复</t>
        </is>
      </c>
      <c r="S2394" t="inlineStr">
        <is>
          <t>英语资料</t>
        </is>
      </c>
      <c r="T2394" t="inlineStr">
        <is>
          <t>1.42</t>
        </is>
      </c>
      <c r="U2394" s="3">
        <v>46112.78107638889</v>
      </c>
      <c r="V2394"/>
      <c r="W2394" s="3">
        <v>46094</v>
      </c>
      <c r="X2394" t="inlineStr">
        <is>
          <t>03</t>
        </is>
      </c>
      <c r="Y2394" t="inlineStr">
        <is>
          <t>2026-Q1</t>
        </is>
      </c>
    </row>
    <row r="2395" ht="38.25" customHeight="1">
      <c r="A2395" t="inlineStr">
        <is>
          <t>2026初中语文数学英语物理化生物史地道法知识点总结电子版多版本</t>
        </is>
      </c>
      <c r="B2395" t="inlineStr">
        <is>
          <t>recvdKAsZzVHJv.jpg</t>
        </is>
      </c>
      <c r="C2395" s="2" t="str">
        <f>=HYPERLINK("https://xhslink.com/m/7wZoadEZ4Ps", "https://xhslink.com/m/7wZoadEZ4Ps")</f>
        <v>https://xhslink.com/m/7wZoadEZ4Ps</v>
      </c>
      <c r="D2395"/>
      <c r="E2395">
        <v>26000</v>
      </c>
      <c r="F2395">
        <v>14.8</v>
      </c>
      <c r="G2395"/>
      <c r="H2395">
        <v>1000</v>
      </c>
      <c r="I2395">
        <v>3000</v>
      </c>
      <c r="J2395"/>
      <c r="K2395" t="inlineStr">
        <is>
          <t>初中物理知识点总结</t>
        </is>
      </c>
      <c r="L2395"/>
      <c r="M2395" t="inlineStr">
        <is>
          <t>赵老师的资料库的店</t>
        </is>
      </c>
      <c r="N2395">
        <v>15000</v>
      </c>
      <c r="O2395">
        <v>4.41</v>
      </c>
      <c r="P2395">
        <v>51000</v>
      </c>
      <c r="Q2395" t="inlineStr">
        <is>
          <t>672cd74310adb50001c57205</t>
        </is>
      </c>
      <c r="R2395" t="inlineStr">
        <is>
          <t>🚫重复</t>
        </is>
      </c>
      <c r="S2395" t="inlineStr">
        <is>
          <t>中小学教辅/教材</t>
        </is>
      </c>
      <c r="T2395" t="inlineStr">
        <is>
          <t>1.73</t>
        </is>
      </c>
      <c r="U2395" s="3">
        <v>46112.78107638889</v>
      </c>
      <c r="V2395"/>
      <c r="W2395" s="3">
        <v>46094</v>
      </c>
      <c r="X2395" t="inlineStr">
        <is>
          <t>03</t>
        </is>
      </c>
      <c r="Y2395" t="inlineStr">
        <is>
          <t>2026-Q1</t>
        </is>
      </c>
    </row>
    <row r="2396" ht="38.25" customHeight="1">
      <c r="A2396" t="inlineStr">
        <is>
          <t>一对一沟通简历制作/简历优化/简历修改/简历润色</t>
        </is>
      </c>
      <c r="B2396" t="inlineStr">
        <is>
          <t>recvdKAsZzk3zJ.jpg</t>
        </is>
      </c>
      <c r="C2396" s="2" t="str">
        <f>=HYPERLINK("https://xhslink.com/m/9qnYascpWiU", "https://xhslink.com/m/9qnYascpWiU")</f>
        <v>https://xhslink.com/m/9qnYascpWiU</v>
      </c>
      <c r="D2396"/>
      <c r="E2396">
        <v>13000</v>
      </c>
      <c r="F2396">
        <v>10</v>
      </c>
      <c r="G2396"/>
      <c r="H2396">
        <v>150</v>
      </c>
      <c r="I2396"/>
      <c r="J2396"/>
      <c r="K2396" t="inlineStr">
        <is>
          <t>简历定制服务</t>
        </is>
      </c>
      <c r="L2396" t="inlineStr">
        <is>
          <t>🔥低粉爆款</t>
        </is>
      </c>
      <c r="M2396" t="inlineStr">
        <is>
          <t>简历定制的店</t>
        </is>
      </c>
      <c r="N2396">
        <v>1063</v>
      </c>
      <c r="O2396">
        <v>4.23</v>
      </c>
      <c r="P2396">
        <v>13000</v>
      </c>
      <c r="Q2396" t="inlineStr">
        <is>
          <t>6556f6d352ae0b000139a70d</t>
        </is>
      </c>
      <c r="R2396"/>
      <c r="S2396" t="inlineStr">
        <is>
          <t>求职面试/职场</t>
        </is>
      </c>
      <c r="T2396" t="inlineStr">
        <is>
          <t>12.23</t>
        </is>
      </c>
      <c r="U2396" s="3">
        <v>46112.78107638889</v>
      </c>
      <c r="V2396"/>
      <c r="W2396" s="3">
        <v>46094</v>
      </c>
      <c r="X2396" t="inlineStr">
        <is>
          <t>03</t>
        </is>
      </c>
      <c r="Y2396" t="inlineStr">
        <is>
          <t>2026-Q1</t>
        </is>
      </c>
    </row>
    <row r="2397" ht="38.25" customHeight="1">
      <c r="A2397" t="inlineStr">
        <is>
          <t>工作汇报PPT逻辑图述职PPT模板含米菲笔记中页面合集200页</t>
        </is>
      </c>
      <c r="B2397" t="inlineStr">
        <is>
          <t>recvdKAsZzAG3v.jpg</t>
        </is>
      </c>
      <c r="C2397" s="2" t="str">
        <f>=HYPERLINK("https://xhslink.com/m/AyqSIIdWVkV", "https://xhslink.com/m/AyqSIIdWVkV")</f>
        <v>https://xhslink.com/m/AyqSIIdWVkV</v>
      </c>
      <c r="D2397"/>
      <c r="E2397">
        <v>3615</v>
      </c>
      <c r="F2397">
        <v>39.9</v>
      </c>
      <c r="G2397"/>
      <c r="H2397">
        <v>150</v>
      </c>
      <c r="I2397"/>
      <c r="J2397"/>
      <c r="K2397" t="inlineStr">
        <is>
          <t>工作汇报PPT模板</t>
        </is>
      </c>
      <c r="L2397"/>
      <c r="M2397" t="inlineStr">
        <is>
          <t>米菲PPT的店</t>
        </is>
      </c>
      <c r="N2397">
        <v>8145</v>
      </c>
      <c r="O2397">
        <v>4.55</v>
      </c>
      <c r="P2397">
        <v>8885</v>
      </c>
      <c r="Q2397" t="inlineStr">
        <is>
          <t>6825be9c29381d0001b6ac55</t>
        </is>
      </c>
      <c r="R2397"/>
      <c r="S2397" t="inlineStr">
        <is>
          <t>PPT模板</t>
        </is>
      </c>
      <c r="T2397" t="inlineStr">
        <is>
          <t>0.44</t>
        </is>
      </c>
      <c r="U2397" s="3">
        <v>46112.78107638889</v>
      </c>
      <c r="V2397"/>
      <c r="W2397" s="3">
        <v>46094</v>
      </c>
      <c r="X2397" t="inlineStr">
        <is>
          <t>03</t>
        </is>
      </c>
      <c r="Y2397" t="inlineStr">
        <is>
          <t>2026-Q1</t>
        </is>
      </c>
    </row>
    <row r="2398" ht="38.25" customHeight="1">
      <c r="A2398" t="inlineStr">
        <is>
          <t>中考物理一轮复习电子版（PPT讲解+知识点总结+真题演练）</t>
        </is>
      </c>
      <c r="B2398" t="inlineStr">
        <is>
          <t>recvdKAsZzE3vC.jpg</t>
        </is>
      </c>
      <c r="C2398" s="2" t="str">
        <f>=HYPERLINK("https://xhslink.com/m/5b70LXnTTAO", "https://xhslink.com/m/5b70LXnTTAO")</f>
        <v>https://xhslink.com/m/5b70LXnTTAO</v>
      </c>
      <c r="D2398"/>
      <c r="E2398">
        <v>773</v>
      </c>
      <c r="F2398">
        <v>5.9</v>
      </c>
      <c r="G2398"/>
      <c r="H2398">
        <v>300</v>
      </c>
      <c r="I2398"/>
      <c r="J2398"/>
      <c r="K2398" t="inlineStr">
        <is>
          <t>初中物理知识点总结</t>
        </is>
      </c>
      <c r="L2398"/>
      <c r="M2398" t="inlineStr">
        <is>
          <t>中考满分资料库的店</t>
        </is>
      </c>
      <c r="N2398">
        <v>2331</v>
      </c>
      <c r="O2398">
        <v>4.54</v>
      </c>
      <c r="P2398">
        <v>4135</v>
      </c>
      <c r="Q2398" t="inlineStr">
        <is>
          <t>6927bb6b4977f300011a90c5</t>
        </is>
      </c>
      <c r="R2398" t="inlineStr">
        <is>
          <t>🚫重复</t>
        </is>
      </c>
      <c r="S2398" t="inlineStr">
        <is>
          <t>中小学教辅/教材</t>
        </is>
      </c>
      <c r="T2398" t="inlineStr">
        <is>
          <t>0.33</t>
        </is>
      </c>
      <c r="U2398" s="3">
        <v>46112.78107638889</v>
      </c>
      <c r="V2398"/>
      <c r="W2398" s="3">
        <v>46094</v>
      </c>
      <c r="X2398" t="inlineStr">
        <is>
          <t>03</t>
        </is>
      </c>
      <c r="Y2398" t="inlineStr">
        <is>
          <t>2026-Q1</t>
        </is>
      </c>
    </row>
    <row r="2399" ht="38.25" customHeight="1">
      <c r="A2399" t="inlineStr">
        <is>
          <t>【多维全练】高中数学PDF+word基础提分</t>
        </is>
      </c>
      <c r="B2399" t="inlineStr">
        <is>
          <t>recvdKAsZzJw8z.jpg</t>
        </is>
      </c>
      <c r="C2399" s="2" t="str">
        <f>=HYPERLINK("https://xhslink.com/m/8ami3taZDdE", "https://xhslink.com/m/8ami3taZDdE")</f>
        <v>https://xhslink.com/m/8ami3taZDdE</v>
      </c>
      <c r="D2399"/>
      <c r="E2399">
        <v>4279</v>
      </c>
      <c r="F2399">
        <v>260</v>
      </c>
      <c r="G2399"/>
      <c r="H2399">
        <v>350</v>
      </c>
      <c r="I2399"/>
      <c r="J2399"/>
      <c r="K2399" t="inlineStr">
        <is>
          <t>PDF</t>
        </is>
      </c>
      <c r="L2399"/>
      <c r="M2399" t="inlineStr">
        <is>
          <t>轻峰教育的店</t>
        </is>
      </c>
      <c r="N2399">
        <v>10000</v>
      </c>
      <c r="O2399">
        <v>4.38</v>
      </c>
      <c r="P2399">
        <v>9749</v>
      </c>
      <c r="Q2399" t="inlineStr">
        <is>
          <t>6874c0084485460001e69c00</t>
        </is>
      </c>
      <c r="R2399" t="inlineStr">
        <is>
          <t>🚫重复</t>
        </is>
      </c>
      <c r="S2399" t="inlineStr">
        <is>
          <t>高中/高考资料</t>
        </is>
      </c>
      <c r="T2399" t="inlineStr">
        <is>
          <t>0.43</t>
        </is>
      </c>
      <c r="U2399" s="3">
        <v>46112.78107638889</v>
      </c>
      <c r="V2399"/>
      <c r="W2399" s="3">
        <v>46094</v>
      </c>
      <c r="X2399" t="inlineStr">
        <is>
          <t>03</t>
        </is>
      </c>
      <c r="Y2399" t="inlineStr">
        <is>
          <t>2026-Q1</t>
        </is>
      </c>
    </row>
    <row r="2400" ht="38.25" customHeight="1">
      <c r="A2400" t="inlineStr">
        <is>
          <t>初中数学初一初二初三七八九年级精品培优讲义辅导培训教材电子版</t>
        </is>
      </c>
      <c r="B2400" t="inlineStr">
        <is>
          <t>recvdKAsZzphnM.jpg</t>
        </is>
      </c>
      <c r="C2400" s="2" t="str">
        <f>=HYPERLINK("https://xhslink.com/m/6jvfFd5tTv8", "https://xhslink.com/m/6jvfFd5tTv8")</f>
        <v>https://xhslink.com/m/6jvfFd5tTv8</v>
      </c>
      <c r="D2400"/>
      <c r="E2400">
        <v>2533</v>
      </c>
      <c r="F2400">
        <v>400</v>
      </c>
      <c r="G2400"/>
      <c r="H2400">
        <v>250</v>
      </c>
      <c r="I2400"/>
      <c r="J2400"/>
      <c r="K2400" t="inlineStr">
        <is>
          <t>PDF</t>
        </is>
      </c>
      <c r="L2400"/>
      <c r="M2400" t="inlineStr">
        <is>
          <t>数理化的店</t>
        </is>
      </c>
      <c r="N2400">
        <v>5308</v>
      </c>
      <c r="O2400">
        <v>4.55</v>
      </c>
      <c r="P2400">
        <v>12000</v>
      </c>
      <c r="Q2400" t="inlineStr">
        <is>
          <t>685e46067ec78a0001b0249b</t>
        </is>
      </c>
      <c r="R2400" t="inlineStr">
        <is>
          <t>🚫重复</t>
        </is>
      </c>
      <c r="S2400" t="inlineStr">
        <is>
          <t>中小学教辅/教材</t>
        </is>
      </c>
      <c r="T2400" t="inlineStr">
        <is>
          <t>0.48</t>
        </is>
      </c>
      <c r="U2400" s="3">
        <v>46112.78107638889</v>
      </c>
      <c r="V2400"/>
      <c r="W2400" s="3">
        <v>46094</v>
      </c>
      <c r="X2400" t="inlineStr">
        <is>
          <t>03</t>
        </is>
      </c>
      <c r="Y2400" t="inlineStr">
        <is>
          <t>2026-Q1</t>
        </is>
      </c>
    </row>
    <row r="2401" ht="38.25" customHeight="1">
      <c r="A2401" t="inlineStr">
        <is>
          <t>结构化面试素材电子版PDF</t>
        </is>
      </c>
      <c r="B2401" t="inlineStr">
        <is>
          <t>recvdKAsZz1mVQ.jpg</t>
        </is>
      </c>
      <c r="C2401" s="2" t="str">
        <f>=HYPERLINK("https://xhslink.com/m/3tj1pvuzDtp", "https://xhslink.com/m/3tj1pvuzDtp")</f>
        <v>https://xhslink.com/m/3tj1pvuzDtp</v>
      </c>
      <c r="D2401"/>
      <c r="E2401">
        <v>1327</v>
      </c>
      <c r="F2401">
        <v>75.9</v>
      </c>
      <c r="G2401"/>
      <c r="H2401">
        <v>100</v>
      </c>
      <c r="I2401"/>
      <c r="J2401"/>
      <c r="K2401" t="inlineStr">
        <is>
          <t>PDF</t>
        </is>
      </c>
      <c r="L2401"/>
      <c r="M2401" t="inlineStr">
        <is>
          <t>公考蔡文姬的店</t>
        </is>
      </c>
      <c r="N2401">
        <v>15000</v>
      </c>
      <c r="O2401">
        <v>4.43</v>
      </c>
      <c r="P2401">
        <v>47000</v>
      </c>
      <c r="Q2401" t="inlineStr">
        <is>
          <t>693253345bbf6f00014d1b49</t>
        </is>
      </c>
      <c r="R2401" t="inlineStr">
        <is>
          <t>🚫重复</t>
        </is>
      </c>
      <c r="S2401" t="inlineStr">
        <is>
          <t>求职面试/职场</t>
        </is>
      </c>
      <c r="T2401" t="inlineStr">
        <is>
          <t>0.09</t>
        </is>
      </c>
      <c r="U2401" s="3">
        <v>46112.78107638889</v>
      </c>
      <c r="V2401"/>
      <c r="W2401" s="3">
        <v>46094</v>
      </c>
      <c r="X2401" t="inlineStr">
        <is>
          <t>03</t>
        </is>
      </c>
      <c r="Y2401" t="inlineStr">
        <is>
          <t>2026-Q1</t>
        </is>
      </c>
    </row>
    <row r="2402" ht="38.25" customHeight="1">
      <c r="A2402" t="inlineStr">
        <is>
          <t>初中数学中考数学各章节各版块知识点系统梳理复习清晰易懂快速记</t>
        </is>
      </c>
      <c r="B2402" t="inlineStr">
        <is>
          <t>recvdVfkBjVvj8.jpg</t>
        </is>
      </c>
      <c r="C2402" s="2" t="str">
        <f>=HYPERLINK("https://xhslink.com/m/5zJfTDKMcNU", "https://xhslink.com/m/5zJfTDKMcNU")</f>
        <v>https://xhslink.com/m/5zJfTDKMcNU</v>
      </c>
      <c r="D2402"/>
      <c r="E2402">
        <v>661</v>
      </c>
      <c r="F2402">
        <v>5.99</v>
      </c>
      <c r="G2402"/>
      <c r="H2402">
        <v>100</v>
      </c>
      <c r="I2402"/>
      <c r="J2402"/>
      <c r="K2402" t="inlineStr">
        <is>
          <t>中考资料</t>
        </is>
      </c>
      <c r="L2402"/>
      <c r="M2402" t="inlineStr">
        <is>
          <t>刘老师📖资料库的店</t>
        </is>
      </c>
      <c r="N2402">
        <v>670</v>
      </c>
      <c r="O2402">
        <v>4.07</v>
      </c>
      <c r="P2402">
        <v>1847</v>
      </c>
      <c r="Q2402" t="inlineStr">
        <is>
          <t>6807b07815d2b000018cb975</t>
        </is>
      </c>
      <c r="R2402"/>
      <c r="S2402" t="inlineStr">
        <is>
          <t>中小学教辅/教材</t>
        </is>
      </c>
      <c r="T2402" t="inlineStr">
        <is>
          <t>0.99</t>
        </is>
      </c>
      <c r="U2402" s="3">
        <v>46112.78107638889</v>
      </c>
      <c r="V2402"/>
      <c r="W2402" s="3">
        <v>46096</v>
      </c>
      <c r="X2402" t="inlineStr">
        <is>
          <t>03</t>
        </is>
      </c>
      <c r="Y2402" t="inlineStr">
        <is>
          <t>2026-Q1</t>
        </is>
      </c>
    </row>
    <row r="2403" ht="38.25" customHeight="1">
      <c r="A2403" t="inlineStr">
        <is>
          <t>初中数学中考真题—中考复习专项（通用版）</t>
        </is>
      </c>
      <c r="B2403" t="inlineStr">
        <is>
          <t>recvdVfldOLe7c.jpg</t>
        </is>
      </c>
      <c r="C2403" s="2" t="str">
        <f>=HYPERLINK("https://xhslink.com/m/8Ng3J57buGL", "https://xhslink.com/m/8Ng3J57buGL")</f>
        <v>https://xhslink.com/m/8Ng3J57buGL</v>
      </c>
      <c r="D2403"/>
      <c r="E2403">
        <v>1129</v>
      </c>
      <c r="F2403">
        <v>2</v>
      </c>
      <c r="G2403"/>
      <c r="H2403">
        <v>150</v>
      </c>
      <c r="I2403"/>
      <c r="J2403"/>
      <c r="K2403" t="inlineStr">
        <is>
          <t>中考资料</t>
        </is>
      </c>
      <c r="L2403"/>
      <c r="M2403" t="inlineStr">
        <is>
          <t>小琳同学的数学笔记的店</t>
        </is>
      </c>
      <c r="N2403">
        <v>6819</v>
      </c>
      <c r="O2403">
        <v>4.31</v>
      </c>
      <c r="P2403">
        <v>9441</v>
      </c>
      <c r="Q2403" t="inlineStr">
        <is>
          <t>67d8402153395800011a027c</t>
        </is>
      </c>
      <c r="R2403" t="inlineStr">
        <is>
          <t>🚫重复</t>
        </is>
      </c>
      <c r="S2403" t="inlineStr">
        <is>
          <t>中小学教辅/教材</t>
        </is>
      </c>
      <c r="T2403" t="inlineStr">
        <is>
          <t>0.17</t>
        </is>
      </c>
      <c r="U2403" s="3">
        <v>46112.78107638889</v>
      </c>
      <c r="V2403"/>
      <c r="W2403" s="3">
        <v>46096</v>
      </c>
      <c r="X2403" t="inlineStr">
        <is>
          <t>03</t>
        </is>
      </c>
      <c r="Y2403" t="inlineStr">
        <is>
          <t>2026-Q1</t>
        </is>
      </c>
    </row>
    <row r="2404" ht="38.25" customHeight="1">
      <c r="A2404" t="inlineStr">
        <is>
          <t>中考物理一轮复习知识点题型分类电子档PDF版，拍前一定要看说明</t>
        </is>
      </c>
      <c r="B2404" t="inlineStr">
        <is>
          <t>recvdVfldOWjjn.jpg</t>
        </is>
      </c>
      <c r="C2404" s="2" t="str">
        <f>=HYPERLINK("https://xhslink.com/m/1fmbrVpGqLU", "https://xhslink.com/m/1fmbrVpGqLU")</f>
        <v>https://xhslink.com/m/1fmbrVpGqLU</v>
      </c>
      <c r="D2404"/>
      <c r="E2404">
        <v>4819</v>
      </c>
      <c r="F2404">
        <v>5</v>
      </c>
      <c r="G2404"/>
      <c r="H2404">
        <v>1000</v>
      </c>
      <c r="I2404"/>
      <c r="J2404"/>
      <c r="K2404" t="inlineStr">
        <is>
          <t>中考资料</t>
        </is>
      </c>
      <c r="L2404"/>
      <c r="M2404" t="inlineStr">
        <is>
          <t>旋转木马老师的店</t>
        </is>
      </c>
      <c r="N2404">
        <v>4723</v>
      </c>
      <c r="O2404">
        <v>4.3</v>
      </c>
      <c r="P2404">
        <v>26000</v>
      </c>
      <c r="Q2404" t="inlineStr">
        <is>
          <t>67ec0c65b2c30c000128a813</t>
        </is>
      </c>
      <c r="R2404" t="inlineStr">
        <is>
          <t>🚫重复</t>
        </is>
      </c>
      <c r="S2404" t="inlineStr">
        <is>
          <t>中小学教辅/教材</t>
        </is>
      </c>
      <c r="T2404" t="inlineStr">
        <is>
          <t>1.02</t>
        </is>
      </c>
      <c r="U2404" s="3">
        <v>46112.78107638889</v>
      </c>
      <c r="V2404"/>
      <c r="W2404" s="3">
        <v>46096</v>
      </c>
      <c r="X2404" t="inlineStr">
        <is>
          <t>03</t>
        </is>
      </c>
      <c r="Y2404" t="inlineStr">
        <is>
          <t>2026-Q1</t>
        </is>
      </c>
    </row>
    <row r="2405" ht="38.25" customHeight="1">
      <c r="A2405" t="inlineStr">
        <is>
          <t>(电子)白得分老师版小升初语文专题考点梳理大全</t>
        </is>
      </c>
      <c r="B2405" t="inlineStr">
        <is>
          <t>recvdVfldOjTmd.jpg</t>
        </is>
      </c>
      <c r="C2405" s="2" t="str">
        <f>=HYPERLINK("https://xhslink.com/m/5s5gJoRLPrX", "https://xhslink.com/m/5s5gJoRLPrX")</f>
        <v>https://xhslink.com/m/5s5gJoRLPrX</v>
      </c>
      <c r="D2405"/>
      <c r="E2405">
        <v>2988</v>
      </c>
      <c r="F2405">
        <v>19.8</v>
      </c>
      <c r="G2405"/>
      <c r="H2405">
        <v>150</v>
      </c>
      <c r="I2405"/>
      <c r="J2405"/>
      <c r="K2405" t="inlineStr">
        <is>
          <t>小升初</t>
        </is>
      </c>
      <c r="L2405"/>
      <c r="M2405" t="inlineStr">
        <is>
          <t>白得分的店</t>
        </is>
      </c>
      <c r="N2405">
        <v>92000</v>
      </c>
      <c r="O2405">
        <v>4.58</v>
      </c>
      <c r="P2405">
        <v>93000</v>
      </c>
      <c r="Q2405" t="inlineStr">
        <is>
          <t>68116eeb9d91940001d83482</t>
        </is>
      </c>
      <c r="R2405"/>
      <c r="S2405" t="inlineStr">
        <is>
          <t>中小学教辅/教材</t>
        </is>
      </c>
      <c r="T2405" t="inlineStr">
        <is>
          <t>0.03</t>
        </is>
      </c>
      <c r="U2405" s="3">
        <v>46112.78107638889</v>
      </c>
      <c r="V2405"/>
      <c r="W2405" s="3">
        <v>46096</v>
      </c>
      <c r="X2405" t="inlineStr">
        <is>
          <t>03</t>
        </is>
      </c>
      <c r="Y2405" t="inlineStr">
        <is>
          <t>2026-Q1</t>
        </is>
      </c>
    </row>
    <row r="2406" ht="38.25" customHeight="1">
      <c r="A2406" t="inlineStr">
        <is>
          <t>小升初小古文文言文衔接阅读理解30篇【注解+练习】电子版资料</t>
        </is>
      </c>
      <c r="B2406" t="inlineStr">
        <is>
          <t>recvdVfldOXjb9.jpg</t>
        </is>
      </c>
      <c r="C2406" s="2" t="str">
        <f>=HYPERLINK("https://xhslink.com/m/6PZtvO3MBq7", "https://xhslink.com/m/6PZtvO3MBq7")</f>
        <v>https://xhslink.com/m/6PZtvO3MBq7</v>
      </c>
      <c r="D2406"/>
      <c r="E2406">
        <v>1369</v>
      </c>
      <c r="F2406">
        <v>11.9</v>
      </c>
      <c r="G2406"/>
      <c r="H2406">
        <v>100</v>
      </c>
      <c r="I2406"/>
      <c r="J2406"/>
      <c r="K2406" t="inlineStr">
        <is>
          <t>小升初</t>
        </is>
      </c>
      <c r="L2406"/>
      <c r="M2406" t="inlineStr">
        <is>
          <t>夏小夏老师的店</t>
        </is>
      </c>
      <c r="N2406">
        <v>30000</v>
      </c>
      <c r="O2406">
        <v>4.57</v>
      </c>
      <c r="P2406">
        <v>20000</v>
      </c>
      <c r="Q2406" t="inlineStr">
        <is>
          <t>683936108a6cef0001be9973</t>
        </is>
      </c>
      <c r="R2406" t="inlineStr">
        <is>
          <t>🚫重复</t>
        </is>
      </c>
      <c r="S2406" t="inlineStr">
        <is>
          <t>中小学教辅/教材</t>
        </is>
      </c>
      <c r="T2406" t="inlineStr">
        <is>
          <t>0.05</t>
        </is>
      </c>
      <c r="U2406" s="3">
        <v>46112.78107638889</v>
      </c>
      <c r="V2406"/>
      <c r="W2406" s="3">
        <v>46096</v>
      </c>
      <c r="X2406" t="inlineStr">
        <is>
          <t>03</t>
        </is>
      </c>
      <c r="Y2406" t="inlineStr">
        <is>
          <t>2026-Q1</t>
        </is>
      </c>
    </row>
    <row r="2407" ht="38.25" customHeight="1">
      <c r="A2407" t="inlineStr">
        <is>
          <t>小升初必练计算练习册（赠送20节知识点视频课程，共13小时）</t>
        </is>
      </c>
      <c r="B2407" t="inlineStr">
        <is>
          <t>recvdVfldO5f8t.jpg</t>
        </is>
      </c>
      <c r="C2407" s="2" t="str">
        <f>=HYPERLINK("https://xhslink.com/m/6oeK7hXrfE8", "https://xhslink.com/m/6oeK7hXrfE8")</f>
        <v>https://xhslink.com/m/6oeK7hXrfE8</v>
      </c>
      <c r="D2407"/>
      <c r="E2407">
        <v>329</v>
      </c>
      <c r="F2407">
        <v>58</v>
      </c>
      <c r="G2407"/>
      <c r="H2407">
        <v>100</v>
      </c>
      <c r="I2407"/>
      <c r="J2407"/>
      <c r="K2407" t="inlineStr">
        <is>
          <t>小升初</t>
        </is>
      </c>
      <c r="L2407"/>
      <c r="M2407" t="inlineStr">
        <is>
          <t>罗胖子数学的店</t>
        </is>
      </c>
      <c r="N2407">
        <v>13000</v>
      </c>
      <c r="O2407">
        <v>4.47</v>
      </c>
      <c r="P2407">
        <v>5000</v>
      </c>
      <c r="Q2407" t="inlineStr">
        <is>
          <t>693f968ef994e60001c61611</t>
        </is>
      </c>
      <c r="R2407"/>
      <c r="S2407" t="inlineStr">
        <is>
          <t>中小学教辅/教材</t>
        </is>
      </c>
      <c r="T2407" t="inlineStr">
        <is>
          <t>0.03</t>
        </is>
      </c>
      <c r="U2407" s="3">
        <v>46112.78107638889</v>
      </c>
      <c r="V2407"/>
      <c r="W2407" s="3">
        <v>46096</v>
      </c>
      <c r="X2407" t="inlineStr">
        <is>
          <t>03</t>
        </is>
      </c>
      <c r="Y2407" t="inlineStr">
        <is>
          <t>2026-Q1</t>
        </is>
      </c>
    </row>
    <row r="2408" ht="38.25" customHeight="1">
      <c r="A2408" t="inlineStr">
        <is>
          <t>六年级上下数学小升初每日练习题口算脱式混合解方程 PDF电子版</t>
        </is>
      </c>
      <c r="B2408" t="inlineStr">
        <is>
          <t>recvdVfldOzDyn.jpg</t>
        </is>
      </c>
      <c r="C2408" s="2" t="str">
        <f>=HYPERLINK("https://xhslink.com/m/h2s4NDVlFm", "https://xhslink.com/m/h2s4NDVlFm")</f>
        <v>https://xhslink.com/m/h2s4NDVlFm</v>
      </c>
      <c r="D2408"/>
      <c r="E2408">
        <v>2517</v>
      </c>
      <c r="F2408">
        <v>19.9</v>
      </c>
      <c r="G2408"/>
      <c r="H2408">
        <v>200</v>
      </c>
      <c r="I2408"/>
      <c r="J2408"/>
      <c r="K2408" t="inlineStr">
        <is>
          <t>小升初</t>
        </is>
      </c>
      <c r="L2408"/>
      <c r="M2408" t="inlineStr">
        <is>
          <t>齐齐sls1997887的店</t>
        </is>
      </c>
      <c r="N2408">
        <v>4034</v>
      </c>
      <c r="O2408">
        <v>4.44</v>
      </c>
      <c r="P2408">
        <v>4911</v>
      </c>
      <c r="Q2408" t="inlineStr">
        <is>
          <t>696667c844a6c90001f85065</t>
        </is>
      </c>
      <c r="R2408"/>
      <c r="S2408" t="inlineStr">
        <is>
          <t>中小学教辅/教材</t>
        </is>
      </c>
      <c r="T2408" t="inlineStr">
        <is>
          <t>0.62</t>
        </is>
      </c>
      <c r="U2408" s="3">
        <v>46112.78107638889</v>
      </c>
      <c r="V2408"/>
      <c r="W2408" s="3">
        <v>46096</v>
      </c>
      <c r="X2408" t="inlineStr">
        <is>
          <t>03</t>
        </is>
      </c>
      <c r="Y2408" t="inlineStr">
        <is>
          <t>2026-Q1</t>
        </is>
      </c>
    </row>
    <row r="2409" ht="38.25" customHeight="1">
      <c r="A2409" t="inlineStr">
        <is>
          <t>教资 英语科三资料（自动发货）（初中/高中）（看好下单不退款）</t>
        </is>
      </c>
      <c r="B2409" t="inlineStr">
        <is>
          <t>recvdVfldOOc37.jpg</t>
        </is>
      </c>
      <c r="C2409" s="2" t="str">
        <f>=HYPERLINK("https://xhslink.com/m/AIqWDnbIihz", "https://xhslink.com/m/AIqWDnbIihz")</f>
        <v>https://xhslink.com/m/AIqWDnbIihz</v>
      </c>
      <c r="D2409"/>
      <c r="E2409">
        <v>1992</v>
      </c>
      <c r="F2409">
        <v>25.5</v>
      </c>
      <c r="G2409"/>
      <c r="H2409">
        <v>200</v>
      </c>
      <c r="I2409"/>
      <c r="J2409"/>
      <c r="K2409" t="inlineStr">
        <is>
          <t>教务资料</t>
        </is>
      </c>
      <c r="L2409"/>
      <c r="M2409" t="inlineStr">
        <is>
          <t>诉 冬 时的店</t>
        </is>
      </c>
      <c r="N2409">
        <v>27000</v>
      </c>
      <c r="O2409">
        <v>4.51</v>
      </c>
      <c r="P2409">
        <v>6832</v>
      </c>
      <c r="Q2409" t="inlineStr">
        <is>
          <t>6964923f2c7c42000116f9e6</t>
        </is>
      </c>
      <c r="R2409" t="inlineStr">
        <is>
          <t>🚫重复</t>
        </is>
      </c>
      <c r="S2409" t="inlineStr">
        <is>
          <t>教资资料</t>
        </is>
      </c>
      <c r="T2409" t="inlineStr">
        <is>
          <t>0.07</t>
        </is>
      </c>
      <c r="U2409" s="3">
        <v>46112.78107638889</v>
      </c>
      <c r="V2409"/>
      <c r="W2409" s="3">
        <v>46096</v>
      </c>
      <c r="X2409" t="inlineStr">
        <is>
          <t>03</t>
        </is>
      </c>
      <c r="Y2409" t="inlineStr">
        <is>
          <t>2026-Q1</t>
        </is>
      </c>
    </row>
    <row r="2410" ht="38.25" customHeight="1">
      <c r="A2410" t="inlineStr">
        <is>
          <t>【秒发货】卡通PPT模板，选择对应编号即可</t>
        </is>
      </c>
      <c r="B2410" t="inlineStr">
        <is>
          <t>recvdVfldOx4GJ.jpg</t>
        </is>
      </c>
      <c r="C2410" s="2" t="str">
        <f>=HYPERLINK("https://xhslink.com/m/9cVf4VUQKbo", "https://xhslink.com/m/9cVf4VUQKbo")</f>
        <v>https://xhslink.com/m/9cVf4VUQKbo</v>
      </c>
      <c r="D2410"/>
      <c r="E2410">
        <v>3315</v>
      </c>
      <c r="F2410">
        <v>19.9</v>
      </c>
      <c r="G2410"/>
      <c r="H2410">
        <v>300</v>
      </c>
      <c r="I2410">
        <v>2000</v>
      </c>
      <c r="J2410"/>
      <c r="K2410" t="inlineStr">
        <is>
          <t>PPT</t>
        </is>
      </c>
      <c r="L2410"/>
      <c r="M2410" t="inlineStr">
        <is>
          <t>橘子i的店</t>
        </is>
      </c>
      <c r="N2410">
        <v>2155</v>
      </c>
      <c r="O2410">
        <v>4.29</v>
      </c>
      <c r="P2410">
        <v>3358</v>
      </c>
      <c r="Q2410" t="inlineStr">
        <is>
          <t>68f8a40dce94ee000160e012</t>
        </is>
      </c>
      <c r="R2410" t="inlineStr">
        <is>
          <t>🚫重复</t>
        </is>
      </c>
      <c r="S2410" t="inlineStr">
        <is>
          <t>PPT模板</t>
        </is>
      </c>
      <c r="T2410" t="inlineStr">
        <is>
          <t>1.54</t>
        </is>
      </c>
      <c r="U2410" s="3">
        <v>46112.78107638889</v>
      </c>
      <c r="V2410"/>
      <c r="W2410" s="3">
        <v>46096</v>
      </c>
      <c r="X2410" t="inlineStr">
        <is>
          <t>03</t>
        </is>
      </c>
      <c r="Y2410" t="inlineStr">
        <is>
          <t>2026-Q1</t>
        </is>
      </c>
    </row>
    <row r="2411" ht="38.25" customHeight="1">
      <c r="A2411" t="inlineStr">
        <is>
          <t>帮忙查粉笔省考模考排名</t>
        </is>
      </c>
      <c r="B2411" t="inlineStr">
        <is>
          <t>recvdVfldOm6RK.jpg</t>
        </is>
      </c>
      <c r="C2411" s="2" t="str">
        <f>=HYPERLINK("https://xhslink.com/m/14SyRW7cUK8", "https://xhslink.com/m/14SyRW7cUK8")</f>
        <v>https://xhslink.com/m/14SyRW7cUK8</v>
      </c>
      <c r="D2411"/>
      <c r="E2411">
        <v>1072</v>
      </c>
      <c r="F2411">
        <v>2.99</v>
      </c>
      <c r="G2411"/>
      <c r="H2411">
        <v>150</v>
      </c>
      <c r="I2411"/>
      <c r="J2411"/>
      <c r="K2411" t="inlineStr">
        <is>
          <t>省考</t>
        </is>
      </c>
      <c r="L2411" t="inlineStr">
        <is>
          <t>🔥低粉爆款</t>
        </is>
      </c>
      <c r="M2411" t="inlineStr">
        <is>
          <t>粉笔模考查询店的店</t>
        </is>
      </c>
      <c r="N2411">
        <v>111</v>
      </c>
      <c r="O2411">
        <v>4.08</v>
      </c>
      <c r="P2411">
        <v>1516</v>
      </c>
      <c r="Q2411" t="inlineStr">
        <is>
          <t>69161539c57d9c00018fe5fd</t>
        </is>
      </c>
      <c r="R2411"/>
      <c r="S2411" t="inlineStr">
        <is>
          <t>考公资料</t>
        </is>
      </c>
      <c r="T2411" t="inlineStr">
        <is>
          <t>9.66</t>
        </is>
      </c>
      <c r="U2411" s="3">
        <v>46112.78107638889</v>
      </c>
      <c r="V2411"/>
      <c r="W2411" s="3">
        <v>46096</v>
      </c>
      <c r="X2411" t="inlineStr">
        <is>
          <t>03</t>
        </is>
      </c>
      <c r="Y2411" t="inlineStr">
        <is>
          <t>2026-Q1</t>
        </is>
      </c>
    </row>
    <row r="2412" ht="38.25" customHeight="1">
      <c r="A2412" t="inlineStr">
        <is>
          <t>26年省考花生十三套卷一期二期</t>
        </is>
      </c>
      <c r="B2412" t="inlineStr">
        <is>
          <t>recvdVfldODpOB.jpg</t>
        </is>
      </c>
      <c r="C2412" s="2" t="str">
        <f>=HYPERLINK("https://xhslink.com/m/8FpIPnvu1wB", "https://xhslink.com/m/8FpIPnvu1wB")</f>
        <v>https://xhslink.com/m/8FpIPnvu1wB</v>
      </c>
      <c r="D2412"/>
      <c r="E2412">
        <v>947</v>
      </c>
      <c r="F2412">
        <v>3.99</v>
      </c>
      <c r="G2412"/>
      <c r="H2412">
        <v>150</v>
      </c>
      <c r="I2412"/>
      <c r="J2412"/>
      <c r="K2412" t="inlineStr">
        <is>
          <t>省考</t>
        </is>
      </c>
      <c r="L2412"/>
      <c r="M2412" t="inlineStr">
        <is>
          <t>上岸百科（已开通自动发货）的店</t>
        </is>
      </c>
      <c r="N2412">
        <v>471</v>
      </c>
      <c r="O2412">
        <v>4.33</v>
      </c>
      <c r="P2412">
        <v>6139</v>
      </c>
      <c r="Q2412" t="inlineStr">
        <is>
          <t>68e9c6e553446d0001043407</t>
        </is>
      </c>
      <c r="R2412"/>
      <c r="S2412" t="inlineStr">
        <is>
          <t>考公资料</t>
        </is>
      </c>
      <c r="T2412" t="inlineStr">
        <is>
          <t>2.01</t>
        </is>
      </c>
      <c r="U2412" s="3">
        <v>46112.78107638889</v>
      </c>
      <c r="V2412"/>
      <c r="W2412" s="3">
        <v>46096</v>
      </c>
      <c r="X2412" t="inlineStr">
        <is>
          <t>03</t>
        </is>
      </c>
      <c r="Y2412" t="inlineStr">
        <is>
          <t>2026-Q1</t>
        </is>
      </c>
    </row>
    <row r="2413" ht="38.25" customHeight="1">
      <c r="A2413" t="inlineStr">
        <is>
          <t>考研英语复试口语模版50问</t>
        </is>
      </c>
      <c r="B2413" t="inlineStr">
        <is>
          <t>__upload_recvdVfldOiZzT.jpg</t>
        </is>
      </c>
      <c r="C2413" s="2" t="str">
        <f>=HYPERLINK("https://xhslink.com/m/2fD3BEmR5Ho", "https://xhslink.com/m/2fD3BEmR5Ho")</f>
        <v>https://xhslink.com/m/2fD3BEmR5Ho</v>
      </c>
      <c r="D2413"/>
      <c r="E2413">
        <v>7056</v>
      </c>
      <c r="F2413">
        <v>3.9</v>
      </c>
      <c r="G2413"/>
      <c r="H2413">
        <v>900</v>
      </c>
      <c r="I2413"/>
      <c r="J2413">
        <v>100</v>
      </c>
      <c r="K2413" t="inlineStr">
        <is>
          <t>考研英语</t>
        </is>
      </c>
      <c r="L2413" t="inlineStr">
        <is>
          <t>🔥低粉爆款</t>
        </is>
      </c>
      <c r="M2413" t="inlineStr">
        <is>
          <t>思琪cc的店</t>
        </is>
      </c>
      <c r="N2413">
        <v>579</v>
      </c>
      <c r="O2413">
        <v>4.31</v>
      </c>
      <c r="P2413">
        <v>6935</v>
      </c>
      <c r="Q2413" t="inlineStr">
        <is>
          <t>691c851be8b9d40001db13cc</t>
        </is>
      </c>
      <c r="R2413"/>
      <c r="S2413" t="inlineStr">
        <is>
          <t>考研资料</t>
        </is>
      </c>
      <c r="T2413" t="inlineStr">
        <is>
          <t>12.19</t>
        </is>
      </c>
      <c r="U2413" s="3">
        <v>46112.78107638889</v>
      </c>
      <c r="V2413"/>
      <c r="W2413" s="3">
        <v>46096</v>
      </c>
      <c r="X2413" t="inlineStr">
        <is>
          <t>03</t>
        </is>
      </c>
      <c r="Y2413" t="inlineStr">
        <is>
          <t>2026-Q1</t>
        </is>
      </c>
    </row>
    <row r="2414" ht="38.25" customHeight="1">
      <c r="A2414" t="inlineStr">
        <is>
          <t>2026上半年教资笔试幼小初高备考资料包</t>
        </is>
      </c>
      <c r="B2414" t="inlineStr">
        <is>
          <t>recvdVfldOKGwE.jpg</t>
        </is>
      </c>
      <c r="C2414" s="2" t="str">
        <f>=HYPERLINK("https://xhslink.com/m/1uzzTdfmvz8", "https://xhslink.com/m/1uzzTdfmvz8")</f>
        <v>https://xhslink.com/m/1uzzTdfmvz8</v>
      </c>
      <c r="D2414"/>
      <c r="E2414">
        <v>4939</v>
      </c>
      <c r="F2414">
        <v>9.8</v>
      </c>
      <c r="G2414"/>
      <c r="H2414">
        <v>750</v>
      </c>
      <c r="I2414"/>
      <c r="J2414"/>
      <c r="K2414" t="inlineStr">
        <is>
          <t>教师资格证</t>
        </is>
      </c>
      <c r="L2414" t="inlineStr">
        <is>
          <t>🔥低粉爆款</t>
        </is>
      </c>
      <c r="M2414" t="inlineStr">
        <is>
          <t>悠悠可爱的店</t>
        </is>
      </c>
      <c r="N2414">
        <v>1296</v>
      </c>
      <c r="O2414">
        <v>4.65</v>
      </c>
      <c r="P2414">
        <v>16000</v>
      </c>
      <c r="Q2414" t="inlineStr">
        <is>
          <t>68fa50b0e37943000174250e</t>
        </is>
      </c>
      <c r="R2414" t="inlineStr">
        <is>
          <t>🚫重复</t>
        </is>
      </c>
      <c r="S2414" t="inlineStr">
        <is>
          <t>教资资料</t>
        </is>
      </c>
      <c r="T2414" t="inlineStr">
        <is>
          <t>3.81</t>
        </is>
      </c>
      <c r="U2414" s="3">
        <v>46112.78107638889</v>
      </c>
      <c r="V2414"/>
      <c r="W2414" s="3">
        <v>46096</v>
      </c>
      <c r="X2414" t="inlineStr">
        <is>
          <t>03</t>
        </is>
      </c>
      <c r="Y2414" t="inlineStr">
        <is>
          <t>2026-Q1</t>
        </is>
      </c>
    </row>
    <row r="2415" ht="38.25" customHeight="1">
      <c r="A2415" t="inlineStr">
        <is>
          <t>2026广东事业单位统考全套资料</t>
        </is>
      </c>
      <c r="B2415" t="inlineStr">
        <is>
          <t>recvdVfldOUEU2.jpg</t>
        </is>
      </c>
      <c r="C2415" s="2" t="str">
        <f>=HYPERLINK("https://xhslink.com/m/7SZfQinryML", "https://xhslink.com/m/7SZfQinryML")</f>
        <v>https://xhslink.com/m/7SZfQinryML</v>
      </c>
      <c r="D2415"/>
      <c r="E2415">
        <v>2556</v>
      </c>
      <c r="F2415">
        <v>12.8</v>
      </c>
      <c r="G2415"/>
      <c r="H2415">
        <v>1000</v>
      </c>
      <c r="I2415"/>
      <c r="J2415"/>
      <c r="K2415" t="inlineStr">
        <is>
          <t>事业单位</t>
        </is>
      </c>
      <c r="L2415" t="inlineStr">
        <is>
          <t>🔥低粉爆款</t>
        </is>
      </c>
      <c r="M2415" t="inlineStr">
        <is>
          <t>月中折桂枝的店</t>
        </is>
      </c>
      <c r="N2415">
        <v>374</v>
      </c>
      <c r="O2415">
        <v>4.62</v>
      </c>
      <c r="P2415">
        <v>4458</v>
      </c>
      <c r="Q2415" t="inlineStr">
        <is>
          <t>69401a2048f0e30001af0fe0</t>
        </is>
      </c>
      <c r="R2415" t="inlineStr">
        <is>
          <t>🚫重复</t>
        </is>
      </c>
      <c r="S2415" t="inlineStr">
        <is>
          <t>无匹配类别</t>
        </is>
      </c>
      <c r="T2415" t="inlineStr">
        <is>
          <t>6.83</t>
        </is>
      </c>
      <c r="U2415" s="3">
        <v>46112.78107638889</v>
      </c>
      <c r="V2415"/>
      <c r="W2415" s="3">
        <v>46096</v>
      </c>
      <c r="X2415" t="inlineStr">
        <is>
          <t>03</t>
        </is>
      </c>
      <c r="Y2415" t="inlineStr">
        <is>
          <t>2026-Q1</t>
        </is>
      </c>
    </row>
    <row r="2416" ht="38.25" customHeight="1">
      <c r="A2416" t="inlineStr">
        <is>
          <t>山东事业编历年真题+时政+系统网课+省情省况</t>
        </is>
      </c>
      <c r="B2416" t="inlineStr">
        <is>
          <t>recvdVfldOwzyt.jpg</t>
        </is>
      </c>
      <c r="C2416" s="2" t="str">
        <f>=HYPERLINK("https://xhslink.com/m/87nrwYLAJUe", "https://xhslink.com/m/87nrwYLAJUe")</f>
        <v>https://xhslink.com/m/87nrwYLAJUe</v>
      </c>
      <c r="D2416"/>
      <c r="E2416">
        <v>1719</v>
      </c>
      <c r="F2416">
        <v>2.89</v>
      </c>
      <c r="G2416"/>
      <c r="H2416">
        <v>900</v>
      </c>
      <c r="I2416"/>
      <c r="J2416"/>
      <c r="K2416" t="inlineStr">
        <is>
          <t>事业单位</t>
        </is>
      </c>
      <c r="L2416"/>
      <c r="M2416" t="inlineStr">
        <is>
          <t>叫我上岸泡泡的店</t>
        </is>
      </c>
      <c r="N2416">
        <v>830</v>
      </c>
      <c r="O2416">
        <v>4.6</v>
      </c>
      <c r="P2416">
        <v>4883</v>
      </c>
      <c r="Q2416" t="inlineStr">
        <is>
          <t>69759d94621e6f00010a28a8</t>
        </is>
      </c>
      <c r="R2416"/>
      <c r="S2416" t="inlineStr">
        <is>
          <t>考公资料</t>
        </is>
      </c>
      <c r="T2416" t="inlineStr">
        <is>
          <t>2.07</t>
        </is>
      </c>
      <c r="U2416" s="3">
        <v>46112.78107638889</v>
      </c>
      <c r="V2416"/>
      <c r="W2416" s="3">
        <v>46096</v>
      </c>
      <c r="X2416" t="inlineStr">
        <is>
          <t>03</t>
        </is>
      </c>
      <c r="Y2416" t="inlineStr">
        <is>
          <t>2026-Q1</t>
        </is>
      </c>
    </row>
    <row r="2417" ht="38.25" customHeight="1">
      <c r="A2417" t="inlineStr">
        <is>
          <t>2025公务员事业单位结构化面试必背素材 模板话术--电子版</t>
        </is>
      </c>
      <c r="B2417" t="inlineStr">
        <is>
          <t>recvdVfldOsIfh.jpg</t>
        </is>
      </c>
      <c r="C2417" s="2" t="str">
        <f>=HYPERLINK("https://xhslink.com/m/3RGUUDSAxI6", "https://xhslink.com/m/3RGUUDSAxI6")</f>
        <v>https://xhslink.com/m/3RGUUDSAxI6</v>
      </c>
      <c r="D2417"/>
      <c r="E2417">
        <v>1019</v>
      </c>
      <c r="F2417">
        <v>8.9</v>
      </c>
      <c r="G2417"/>
      <c r="H2417">
        <v>100</v>
      </c>
      <c r="I2417"/>
      <c r="J2417"/>
      <c r="K2417" t="inlineStr">
        <is>
          <t>事业单位</t>
        </is>
      </c>
      <c r="L2417"/>
      <c r="M2417" t="inlineStr">
        <is>
          <t>上岸学姐七七的店</t>
        </is>
      </c>
      <c r="N2417">
        <v>1010</v>
      </c>
      <c r="O2417">
        <v>4.12</v>
      </c>
      <c r="P2417">
        <v>5070</v>
      </c>
      <c r="Q2417" t="inlineStr">
        <is>
          <t>67f22a2bae4ae00001c4e1a4</t>
        </is>
      </c>
      <c r="R2417"/>
      <c r="S2417" t="inlineStr">
        <is>
          <t>考公资料</t>
        </is>
      </c>
      <c r="T2417" t="inlineStr">
        <is>
          <t>1.01</t>
        </is>
      </c>
      <c r="U2417" s="3">
        <v>46112.78107638889</v>
      </c>
      <c r="V2417"/>
      <c r="W2417" s="3">
        <v>46096</v>
      </c>
      <c r="X2417" t="inlineStr">
        <is>
          <t>03</t>
        </is>
      </c>
      <c r="Y2417" t="inlineStr">
        <is>
          <t>2026-Q1</t>
        </is>
      </c>
    </row>
    <row r="2418" ht="38.25" customHeight="1">
      <c r="A2418" t="inlineStr">
        <is>
          <t>25年事业单位全国联考ABCDE类历年真题+答案解析职测综应PDF版</t>
        </is>
      </c>
      <c r="B2418" t="inlineStr">
        <is>
          <t>recvdVfldOHFoK.jpg</t>
        </is>
      </c>
      <c r="C2418" s="2" t="str">
        <f>=HYPERLINK("https://xhslink.com/m/4fIjTWuQnpr", "https://xhslink.com/m/4fIjTWuQnpr")</f>
        <v>https://xhslink.com/m/4fIjTWuQnpr</v>
      </c>
      <c r="D2418"/>
      <c r="E2418">
        <v>1191</v>
      </c>
      <c r="F2418">
        <v>4.88</v>
      </c>
      <c r="G2418"/>
      <c r="H2418">
        <v>200</v>
      </c>
      <c r="I2418"/>
      <c r="J2418"/>
      <c r="K2418" t="inlineStr">
        <is>
          <t>事业单位</t>
        </is>
      </c>
      <c r="L2418"/>
      <c r="M2418" t="inlineStr">
        <is>
          <t>Lucky学姐（考证）的店</t>
        </is>
      </c>
      <c r="N2418">
        <v>634</v>
      </c>
      <c r="O2418">
        <v>4.45</v>
      </c>
      <c r="P2418">
        <v>9264</v>
      </c>
      <c r="Q2418" t="inlineStr">
        <is>
          <t>68d0264030aed40001e0f1b0</t>
        </is>
      </c>
      <c r="R2418" t="inlineStr">
        <is>
          <t>🚫重复</t>
        </is>
      </c>
      <c r="S2418" t="inlineStr">
        <is>
          <t>考公资料</t>
        </is>
      </c>
      <c r="T2418" t="inlineStr">
        <is>
          <t>1.88</t>
        </is>
      </c>
      <c r="U2418" s="3">
        <v>46112.78107638889</v>
      </c>
      <c r="V2418"/>
      <c r="W2418" s="3">
        <v>46096</v>
      </c>
      <c r="X2418" t="inlineStr">
        <is>
          <t>03</t>
        </is>
      </c>
      <c r="Y2418" t="inlineStr">
        <is>
          <t>2026-Q1</t>
        </is>
      </c>
    </row>
    <row r="2419" ht="38.25" customHeight="1">
      <c r="A2419" t="inlineStr">
        <is>
          <t>2026河北事业单位ABCDE类资料包职测综应笔记考点真题时政资料</t>
        </is>
      </c>
      <c r="B2419" t="inlineStr">
        <is>
          <t>recvdVfldOZtRr.jpg</t>
        </is>
      </c>
      <c r="C2419" s="2" t="str">
        <f>=HYPERLINK("https://xhslink.com/m/55AvCwUkBtA", "https://xhslink.com/m/55AvCwUkBtA")</f>
        <v>https://xhslink.com/m/55AvCwUkBtA</v>
      </c>
      <c r="D2419"/>
      <c r="E2419">
        <v>615</v>
      </c>
      <c r="F2419">
        <v>12.8</v>
      </c>
      <c r="G2419"/>
      <c r="H2419">
        <v>250</v>
      </c>
      <c r="I2419"/>
      <c r="J2419"/>
      <c r="K2419" t="inlineStr">
        <is>
          <t>事业单位</t>
        </is>
      </c>
      <c r="L2419"/>
      <c r="M2419" t="inlineStr">
        <is>
          <t>悠悠可爱的店</t>
        </is>
      </c>
      <c r="N2419">
        <v>1296</v>
      </c>
      <c r="O2419">
        <v>4.65</v>
      </c>
      <c r="P2419">
        <v>16000</v>
      </c>
      <c r="Q2419" t="inlineStr">
        <is>
          <t>694cae4cf489e4000188c818</t>
        </is>
      </c>
      <c r="R2419" t="inlineStr">
        <is>
          <t>🚫重复</t>
        </is>
      </c>
      <c r="S2419" t="inlineStr">
        <is>
          <t>无匹配类别</t>
        </is>
      </c>
      <c r="T2419" t="inlineStr">
        <is>
          <t>0.47</t>
        </is>
      </c>
      <c r="U2419" s="3">
        <v>46112.78107638889</v>
      </c>
      <c r="V2419"/>
      <c r="W2419" s="3">
        <v>46096</v>
      </c>
      <c r="X2419" t="inlineStr">
        <is>
          <t>03</t>
        </is>
      </c>
      <c r="Y2419" t="inlineStr">
        <is>
          <t>2026-Q1</t>
        </is>
      </c>
    </row>
    <row r="2420" ht="38.25" customHeight="1">
      <c r="A2420" t="inlineStr">
        <is>
          <t>2026初级会计职称题库app激活码 题库网课刷题APP</t>
        </is>
      </c>
      <c r="B2420" t="inlineStr">
        <is>
          <t>recvdVfldOMeHZ.jpg</t>
        </is>
      </c>
      <c r="C2420" s="2" t="str">
        <f>=HYPERLINK("https://xhslink.com/m/2rlnkgvGp0C", "https://xhslink.com/m/2rlnkgvGp0C")</f>
        <v>https://xhslink.com/m/2rlnkgvGp0C</v>
      </c>
      <c r="D2420"/>
      <c r="E2420">
        <v>1733</v>
      </c>
      <c r="F2420">
        <v>9</v>
      </c>
      <c r="G2420"/>
      <c r="H2420">
        <v>100</v>
      </c>
      <c r="I2420"/>
      <c r="J2420"/>
      <c r="K2420" t="inlineStr">
        <is>
          <t>初级会计2026备考</t>
        </is>
      </c>
      <c r="L2420"/>
      <c r="M2420" t="inlineStr">
        <is>
          <t>考证信息差的店</t>
        </is>
      </c>
      <c r="N2420">
        <v>2301</v>
      </c>
      <c r="O2420">
        <v>4.34</v>
      </c>
      <c r="P2420">
        <v>10000</v>
      </c>
      <c r="Q2420" t="inlineStr">
        <is>
          <t>67d7cb11ba9cf8000101fd21</t>
        </is>
      </c>
      <c r="R2420" t="inlineStr">
        <is>
          <t>🚫重复</t>
        </is>
      </c>
      <c r="S2420" t="inlineStr">
        <is>
          <t>会计资料</t>
        </is>
      </c>
      <c r="T2420" t="inlineStr">
        <is>
          <t>0.75</t>
        </is>
      </c>
      <c r="U2420" s="3">
        <v>46112.78107638889</v>
      </c>
      <c r="V2420"/>
      <c r="W2420" s="3">
        <v>46096</v>
      </c>
      <c r="X2420" t="inlineStr">
        <is>
          <t>03</t>
        </is>
      </c>
      <c r="Y2420" t="inlineStr">
        <is>
          <t>2026-Q1</t>
        </is>
      </c>
    </row>
    <row r="2421" ht="38.25" customHeight="1">
      <c r="A2421" t="inlineStr">
        <is>
          <t>2026法考ZH客观题精讲卷｜8科全｜高清电子版｜双网盘｜下单秒发</t>
        </is>
      </c>
      <c r="B2421" t="inlineStr">
        <is>
          <t>recvdVfldO0GBs.jpg</t>
        </is>
      </c>
      <c r="C2421" s="2" t="str">
        <f>=HYPERLINK("https://xhslink.com/m/3cU6XVRNwUL", "https://xhslink.com/m/3cU6XVRNwUL")</f>
        <v>https://xhslink.com/m/3cU6XVRNwUL</v>
      </c>
      <c r="D2421"/>
      <c r="E2421">
        <v>433</v>
      </c>
      <c r="F2421">
        <v>5.99</v>
      </c>
      <c r="G2421"/>
      <c r="H2421">
        <v>100</v>
      </c>
      <c r="I2421"/>
      <c r="J2421"/>
      <c r="K2421" t="inlineStr">
        <is>
          <t>司法考试</t>
        </is>
      </c>
      <c r="L2421" t="inlineStr">
        <is>
          <t>🔥低粉爆款</t>
        </is>
      </c>
      <c r="M2421" t="inlineStr">
        <is>
          <t>一休师姐的店</t>
        </is>
      </c>
      <c r="N2421">
        <v>63</v>
      </c>
      <c r="O2421">
        <v>4.12</v>
      </c>
      <c r="P2421">
        <v>1928</v>
      </c>
      <c r="Q2421" t="inlineStr">
        <is>
          <t>694013c5f489e40001b629b4</t>
        </is>
      </c>
      <c r="R2421"/>
      <c r="S2421" t="inlineStr">
        <is>
          <t>司法考试</t>
        </is>
      </c>
      <c r="T2421" t="inlineStr">
        <is>
          <t>6.87</t>
        </is>
      </c>
      <c r="U2421" s="3">
        <v>46112.78107638889</v>
      </c>
      <c r="V2421"/>
      <c r="W2421" s="3">
        <v>46096</v>
      </c>
      <c r="X2421" t="inlineStr">
        <is>
          <t>03</t>
        </is>
      </c>
      <c r="Y2421" t="inlineStr">
        <is>
          <t>2026-Q1</t>
        </is>
      </c>
    </row>
    <row r="2422" ht="38.25" customHeight="1">
      <c r="A2422" t="inlineStr">
        <is>
          <t>电子印章生成器PNG透明背景图片自带模板做章制作工具专业软件</t>
        </is>
      </c>
      <c r="B2422" t="inlineStr">
        <is>
          <t>recvdVfldOMYt1.jpg</t>
        </is>
      </c>
      <c r="C2422" s="2" t="str">
        <f>=HYPERLINK("https://xhslink.com/m/9mmGWnGTbUX", "https://xhslink.com/m/9mmGWnGTbUX")</f>
        <v>https://xhslink.com/m/9mmGWnGTbUX</v>
      </c>
      <c r="D2422"/>
      <c r="E2422">
        <v>6988</v>
      </c>
      <c r="F2422">
        <v>6.98</v>
      </c>
      <c r="G2422"/>
      <c r="H2422">
        <v>150</v>
      </c>
      <c r="I2422">
        <v>1000</v>
      </c>
      <c r="J2422"/>
      <c r="K2422" t="inlineStr">
        <is>
          <t>模板</t>
        </is>
      </c>
      <c r="L2422" t="inlineStr">
        <is>
          <t>🔥低粉爆款</t>
        </is>
      </c>
      <c r="M2422" t="inlineStr">
        <is>
          <t>美而学的店</t>
        </is>
      </c>
      <c r="N2422">
        <v>571</v>
      </c>
      <c r="O2422">
        <v>4.45</v>
      </c>
      <c r="P2422">
        <v>8979</v>
      </c>
      <c r="Q2422" t="inlineStr">
        <is>
          <t>66b2e19b28e4060001de95e5</t>
        </is>
      </c>
      <c r="R2422"/>
      <c r="S2422" t="inlineStr">
        <is>
          <t>软件应用</t>
        </is>
      </c>
      <c r="T2422" t="inlineStr">
        <is>
          <t>12.24</t>
        </is>
      </c>
      <c r="U2422" s="3">
        <v>46112.78107638889</v>
      </c>
      <c r="V2422"/>
      <c r="W2422" s="3">
        <v>46096</v>
      </c>
      <c r="X2422" t="inlineStr">
        <is>
          <t>03</t>
        </is>
      </c>
      <c r="Y2422" t="inlineStr">
        <is>
          <t>2026-Q1</t>
        </is>
      </c>
    </row>
    <row r="2423" ht="38.25" customHeight="1">
      <c r="A2423" t="inlineStr">
        <is>
          <t>本科毕业论文模板</t>
        </is>
      </c>
      <c r="B2423" t="inlineStr">
        <is>
          <t>recvdVfldOqUQv.jpg</t>
        </is>
      </c>
      <c r="C2423" s="2" t="str">
        <f>=HYPERLINK("https://xhslink.com/m/112V8o2V5Zt", "https://xhslink.com/m/112V8o2V5Zt")</f>
        <v>https://xhslink.com/m/112V8o2V5Zt</v>
      </c>
      <c r="D2423"/>
      <c r="E2423">
        <v>2386</v>
      </c>
      <c r="F2423">
        <v>0.99</v>
      </c>
      <c r="G2423"/>
      <c r="H2423">
        <v>400</v>
      </c>
      <c r="I2423"/>
      <c r="J2423"/>
      <c r="K2423" t="inlineStr">
        <is>
          <t>模板</t>
        </is>
      </c>
      <c r="L2423" t="inlineStr">
        <is>
          <t>🔥低粉爆款</t>
        </is>
      </c>
      <c r="M2423" t="inlineStr">
        <is>
          <t>林昭曌的店</t>
        </is>
      </c>
      <c r="N2423">
        <v>225</v>
      </c>
      <c r="O2423">
        <v>3.98</v>
      </c>
      <c r="P2423">
        <v>2399</v>
      </c>
      <c r="Q2423" t="inlineStr">
        <is>
          <t>692d1325e4338c00018af480</t>
        </is>
      </c>
      <c r="R2423"/>
      <c r="S2423" t="inlineStr">
        <is>
          <t>大学资料</t>
        </is>
      </c>
      <c r="T2423" t="inlineStr">
        <is>
          <t>10.60</t>
        </is>
      </c>
      <c r="U2423" s="3">
        <v>46112.78107638889</v>
      </c>
      <c r="V2423"/>
      <c r="W2423" s="3">
        <v>46096</v>
      </c>
      <c r="X2423" t="inlineStr">
        <is>
          <t>03</t>
        </is>
      </c>
      <c r="Y2423" t="inlineStr">
        <is>
          <t>2026-Q1</t>
        </is>
      </c>
    </row>
    <row r="2424" ht="38.25" customHeight="1">
      <c r="A2424" t="inlineStr">
        <is>
          <t>【希鱼牌模板出售】全色小绿Q40+配件〖只出售模板不接稿-发psd〗</t>
        </is>
      </c>
      <c r="B2424" t="inlineStr">
        <is>
          <t>recvdVfldO66TL.jpg</t>
        </is>
      </c>
      <c r="C2424" s="2" t="str">
        <f>=HYPERLINK("https://xhslink.com/m/9yL2naWTFLN", "https://xhslink.com/m/9yL2naWTFLN")</f>
        <v>https://xhslink.com/m/9yL2naWTFLN</v>
      </c>
      <c r="D2424"/>
      <c r="E2424">
        <v>857</v>
      </c>
      <c r="F2424">
        <v>0.66</v>
      </c>
      <c r="G2424"/>
      <c r="H2424">
        <v>600</v>
      </c>
      <c r="I2424"/>
      <c r="J2424"/>
      <c r="K2424" t="inlineStr">
        <is>
          <t>模板</t>
        </is>
      </c>
      <c r="L2424"/>
      <c r="M2424" t="inlineStr">
        <is>
          <t>冰冰鱼y的店</t>
        </is>
      </c>
      <c r="N2424">
        <v>3650</v>
      </c>
      <c r="O2424">
        <v>4.59</v>
      </c>
      <c r="P2424">
        <v>6083</v>
      </c>
      <c r="Q2424" t="inlineStr">
        <is>
          <t>694eb9b023d3ce0001af0fcd</t>
        </is>
      </c>
      <c r="R2424"/>
      <c r="S2424" t="inlineStr">
        <is>
          <t>设计素材</t>
        </is>
      </c>
      <c r="T2424" t="inlineStr">
        <is>
          <t>0.23</t>
        </is>
      </c>
      <c r="U2424" s="3">
        <v>46112.78107638889</v>
      </c>
      <c r="V2424"/>
      <c r="W2424" s="3">
        <v>46096</v>
      </c>
      <c r="X2424" t="inlineStr">
        <is>
          <t>03</t>
        </is>
      </c>
      <c r="Y2424" t="inlineStr">
        <is>
          <t>2026-Q1</t>
        </is>
      </c>
    </row>
    <row r="2425" ht="38.25" customHeight="1">
      <c r="A2425" t="inlineStr">
        <is>
          <t>答辩科研用ppt模版，800套+</t>
        </is>
      </c>
      <c r="B2425" t="inlineStr">
        <is>
          <t>recvdVfldOC5BV.jpg</t>
        </is>
      </c>
      <c r="C2425" s="2" t="str">
        <f>=HYPERLINK("https://xhslink.com/m/1mThuxpUGrY", "https://xhslink.com/m/1mThuxpUGrY")</f>
        <v>https://xhslink.com/m/1mThuxpUGrY</v>
      </c>
      <c r="D2425"/>
      <c r="E2425">
        <v>546</v>
      </c>
      <c r="F2425">
        <v>3.59</v>
      </c>
      <c r="G2425"/>
      <c r="H2425">
        <v>150</v>
      </c>
      <c r="I2425"/>
      <c r="J2425"/>
      <c r="K2425" t="inlineStr">
        <is>
          <t>模板</t>
        </is>
      </c>
      <c r="L2425"/>
      <c r="M2425" t="inlineStr">
        <is>
          <t>AnAAN的店</t>
        </is>
      </c>
      <c r="N2425">
        <v>233</v>
      </c>
      <c r="O2425">
        <v>4.31</v>
      </c>
      <c r="P2425">
        <v>749</v>
      </c>
      <c r="Q2425" t="inlineStr">
        <is>
          <t>69786d4106c7230001ae1a48</t>
        </is>
      </c>
      <c r="R2425"/>
      <c r="S2425" t="inlineStr">
        <is>
          <t>PPT模板</t>
        </is>
      </c>
      <c r="T2425" t="inlineStr">
        <is>
          <t>2.34</t>
        </is>
      </c>
      <c r="U2425" s="3">
        <v>46112.78107638889</v>
      </c>
      <c r="V2425"/>
      <c r="W2425" s="3">
        <v>46096</v>
      </c>
      <c r="X2425" t="inlineStr">
        <is>
          <t>03</t>
        </is>
      </c>
      <c r="Y2425" t="inlineStr">
        <is>
          <t>2026-Q1</t>
        </is>
      </c>
    </row>
    <row r="2426" ht="38.25" customHeight="1">
      <c r="A2426" t="inlineStr">
        <is>
          <t>【阿冷牌】模板请吃一口萌萌泡芙！次日左右出稿特价</t>
        </is>
      </c>
      <c r="B2426" t="inlineStr">
        <is>
          <t>recvdVfldOeCWf.jpg</t>
        </is>
      </c>
      <c r="C2426" s="2" t="str">
        <f>=HYPERLINK("https://xhslink.com/m/4kNbQd7a3SZ", "https://xhslink.com/m/4kNbQd7a3SZ")</f>
        <v>https://xhslink.com/m/4kNbQd7a3SZ</v>
      </c>
      <c r="D2426"/>
      <c r="E2426">
        <v>1105</v>
      </c>
      <c r="F2426">
        <v>12.9</v>
      </c>
      <c r="G2426"/>
      <c r="H2426">
        <v>250</v>
      </c>
      <c r="I2426"/>
      <c r="J2426"/>
      <c r="K2426" t="inlineStr">
        <is>
          <t>模板</t>
        </is>
      </c>
      <c r="L2426"/>
      <c r="M2426" t="inlineStr">
        <is>
          <t>薯条鱼（问前看商品页详情）的店</t>
        </is>
      </c>
      <c r="N2426">
        <v>1680</v>
      </c>
      <c r="O2426">
        <v>4.48</v>
      </c>
      <c r="P2426">
        <v>4160</v>
      </c>
      <c r="Q2426" t="inlineStr">
        <is>
          <t>694912124423c30001f076b3</t>
        </is>
      </c>
      <c r="R2426" t="inlineStr">
        <is>
          <t>🚫重复</t>
        </is>
      </c>
      <c r="S2426" t="inlineStr">
        <is>
          <t>PPT模板</t>
        </is>
      </c>
      <c r="T2426" t="inlineStr">
        <is>
          <t>0.66</t>
        </is>
      </c>
      <c r="U2426" s="3">
        <v>46112.78107638889</v>
      </c>
      <c r="V2426"/>
      <c r="W2426" s="3">
        <v>46096</v>
      </c>
      <c r="X2426" t="inlineStr">
        <is>
          <t>03</t>
        </is>
      </c>
      <c r="Y2426" t="inlineStr">
        <is>
          <t>2026-Q1</t>
        </is>
      </c>
    </row>
    <row r="2427" ht="38.25" customHeight="1">
      <c r="A2427" t="inlineStr">
        <is>
          <t>【高分模版】结构化面试综合分析专项2026</t>
        </is>
      </c>
      <c r="B2427" t="inlineStr">
        <is>
          <t>recvdVfldOVQlk.jpg</t>
        </is>
      </c>
      <c r="C2427" s="2" t="str">
        <f>=HYPERLINK("https://xhslink.com/m/9xGQejruOB1", "https://xhslink.com/m/9xGQejruOB1")</f>
        <v>https://xhslink.com/m/9xGQejruOB1</v>
      </c>
      <c r="D2427"/>
      <c r="E2427">
        <v>1585</v>
      </c>
      <c r="F2427">
        <v>29.9</v>
      </c>
      <c r="G2427"/>
      <c r="H2427">
        <v>450</v>
      </c>
      <c r="I2427">
        <v>1000</v>
      </c>
      <c r="J2427"/>
      <c r="K2427" t="inlineStr">
        <is>
          <t>模板</t>
        </is>
      </c>
      <c r="L2427"/>
      <c r="M2427" t="inlineStr">
        <is>
          <t>嘉一讲公考【9+1】的店</t>
        </is>
      </c>
      <c r="N2427">
        <v>65000</v>
      </c>
      <c r="O2427">
        <v>4.58</v>
      </c>
      <c r="P2427">
        <v>50000</v>
      </c>
      <c r="Q2427" t="inlineStr">
        <is>
          <t>696122c35739d500012128c7</t>
        </is>
      </c>
      <c r="R2427"/>
      <c r="S2427" t="inlineStr">
        <is>
          <t>求职面试/职场</t>
        </is>
      </c>
      <c r="T2427" t="inlineStr">
        <is>
          <t>0.02</t>
        </is>
      </c>
      <c r="U2427" s="3">
        <v>46112.78107638889</v>
      </c>
      <c r="V2427"/>
      <c r="W2427" s="3">
        <v>46096</v>
      </c>
      <c r="X2427" t="inlineStr">
        <is>
          <t>03</t>
        </is>
      </c>
      <c r="Y2427" t="inlineStr">
        <is>
          <t>2026-Q1</t>
        </is>
      </c>
    </row>
    <row r="2428" ht="38.25" customHeight="1">
      <c r="A2428" t="inlineStr">
        <is>
          <t>英语教学设计模板</t>
        </is>
      </c>
      <c r="B2428" t="inlineStr">
        <is>
          <t>recvdVfldOOcKm.jpg</t>
        </is>
      </c>
      <c r="C2428" s="2" t="str">
        <f>=HYPERLINK("https://xhslink.com/m/43EmSkAjldF", "https://xhslink.com/m/43EmSkAjldF")</f>
        <v>https://xhslink.com/m/43EmSkAjldF</v>
      </c>
      <c r="D2428"/>
      <c r="E2428">
        <v>1409</v>
      </c>
      <c r="F2428">
        <v>19.9</v>
      </c>
      <c r="G2428"/>
      <c r="H2428">
        <v>100</v>
      </c>
      <c r="I2428"/>
      <c r="J2428"/>
      <c r="K2428" t="inlineStr">
        <is>
          <t>模板</t>
        </is>
      </c>
      <c r="L2428"/>
      <c r="M2428" t="inlineStr">
        <is>
          <t>小鹿岸上见的店</t>
        </is>
      </c>
      <c r="N2428">
        <v>7315</v>
      </c>
      <c r="O2428">
        <v>4.34</v>
      </c>
      <c r="P2428">
        <v>5990</v>
      </c>
      <c r="Q2428" t="inlineStr">
        <is>
          <t>67ca45e0964845000180082b</t>
        </is>
      </c>
      <c r="R2428" t="inlineStr">
        <is>
          <t>🚫重复</t>
        </is>
      </c>
      <c r="S2428" t="inlineStr">
        <is>
          <t>中小学教辅/教材</t>
        </is>
      </c>
      <c r="T2428" t="inlineStr">
        <is>
          <t>0.19</t>
        </is>
      </c>
      <c r="U2428" s="3">
        <v>46112.78107638889</v>
      </c>
      <c r="V2428"/>
      <c r="W2428" s="3">
        <v>46096</v>
      </c>
      <c r="X2428" t="inlineStr">
        <is>
          <t>03</t>
        </is>
      </c>
      <c r="Y2428" t="inlineStr">
        <is>
          <t>2026-Q1</t>
        </is>
      </c>
    </row>
    <row r="2429" ht="38.25" customHeight="1">
      <c r="A2429" t="inlineStr">
        <is>
          <t>卫生系统招聘卫健委事业编题库app</t>
        </is>
      </c>
      <c r="B2429" t="inlineStr">
        <is>
          <t>recvdVfldO3ibX.jpg</t>
        </is>
      </c>
      <c r="C2429" s="2" t="str">
        <f>=HYPERLINK("https://xhslink.com/m/4e7Dge198Hk", "https://xhslink.com/m/4e7Dge198Hk")</f>
        <v>https://xhslink.com/m/4e7Dge198Hk</v>
      </c>
      <c r="D2429"/>
      <c r="E2429">
        <v>19000</v>
      </c>
      <c r="F2429">
        <v>18.9</v>
      </c>
      <c r="G2429"/>
      <c r="H2429">
        <v>250</v>
      </c>
      <c r="I2429"/>
      <c r="J2429"/>
      <c r="K2429" t="inlineStr">
        <is>
          <t>医学</t>
        </is>
      </c>
      <c r="L2429" t="inlineStr">
        <is>
          <t>🔥低粉爆款</t>
        </is>
      </c>
      <c r="M2429" t="inlineStr">
        <is>
          <t>小倩学姐教育咨询的店</t>
        </is>
      </c>
      <c r="N2429">
        <v>3807</v>
      </c>
      <c r="O2429">
        <v>4.62</v>
      </c>
      <c r="P2429">
        <v>22000</v>
      </c>
      <c r="Q2429" t="inlineStr">
        <is>
          <t>672d9ad710adb50001c9035e</t>
        </is>
      </c>
      <c r="R2429" t="inlineStr">
        <is>
          <t>🚫重复</t>
        </is>
      </c>
      <c r="S2429" t="inlineStr">
        <is>
          <t>软件应用</t>
        </is>
      </c>
      <c r="T2429" t="inlineStr">
        <is>
          <t>4.99</t>
        </is>
      </c>
      <c r="U2429" s="3">
        <v>46112.78107638889</v>
      </c>
      <c r="V2429"/>
      <c r="W2429" s="3">
        <v>46096</v>
      </c>
      <c r="X2429" t="inlineStr">
        <is>
          <t>03</t>
        </is>
      </c>
      <c r="Y2429" t="inlineStr">
        <is>
          <t>2026-Q1</t>
        </is>
      </c>
    </row>
    <row r="2430" ht="38.25" customHeight="1">
      <c r="A2430" t="inlineStr">
        <is>
          <t>2026上半年教资笔试幼小初高备考资料包</t>
        </is>
      </c>
      <c r="B2430" t="inlineStr">
        <is>
          <t>recvdVfldOC3jH.jpg</t>
        </is>
      </c>
      <c r="C2430" s="2" t="str">
        <f>=HYPERLINK("https://xhslink.com/m/1JcUOzop3Ju", "https://xhslink.com/m/1JcUOzop3Ju")</f>
        <v>https://xhslink.com/m/1JcUOzop3Ju</v>
      </c>
      <c r="D2430"/>
      <c r="E2430">
        <v>4939</v>
      </c>
      <c r="F2430">
        <v>12.8</v>
      </c>
      <c r="G2430"/>
      <c r="H2430">
        <v>750</v>
      </c>
      <c r="I2430"/>
      <c r="J2430"/>
      <c r="K2430" t="inlineStr">
        <is>
          <t>教资笔试通关资料包</t>
        </is>
      </c>
      <c r="L2430" t="inlineStr">
        <is>
          <t>🔥低粉爆款</t>
        </is>
      </c>
      <c r="M2430" t="inlineStr">
        <is>
          <t>悠悠可爱的店</t>
        </is>
      </c>
      <c r="N2430">
        <v>1296</v>
      </c>
      <c r="O2430">
        <v>4.65</v>
      </c>
      <c r="P2430">
        <v>16000</v>
      </c>
      <c r="Q2430" t="inlineStr">
        <is>
          <t>694568b9bd92f50001d5ddc3</t>
        </is>
      </c>
      <c r="R2430" t="inlineStr">
        <is>
          <t>🚫重复</t>
        </is>
      </c>
      <c r="S2430" t="inlineStr">
        <is>
          <t>教资资料</t>
        </is>
      </c>
      <c r="T2430" t="inlineStr">
        <is>
          <t>3.81</t>
        </is>
      </c>
      <c r="U2430" s="3">
        <v>46112.78107638889</v>
      </c>
      <c r="V2430"/>
      <c r="W2430" s="3">
        <v>46096</v>
      </c>
      <c r="X2430" t="inlineStr">
        <is>
          <t>03</t>
        </is>
      </c>
      <c r="Y2430" t="inlineStr">
        <is>
          <t>2026-Q1</t>
        </is>
      </c>
    </row>
    <row r="2431" ht="38.25" customHeight="1">
      <c r="A2431" t="inlineStr">
        <is>
          <t>【不买老师同款】电子版手帐内页会员 250+款</t>
        </is>
      </c>
      <c r="B2431" t="inlineStr">
        <is>
          <t>recvdVfldOuSda.jpg</t>
        </is>
      </c>
      <c r="C2431" s="2" t="str">
        <f>=HYPERLINK("https://xhslink.com/m/2wCWk8voWlW", "https://xhslink.com/m/2wCWk8voWlW")</f>
        <v>https://xhslink.com/m/2wCWk8voWlW</v>
      </c>
      <c r="D2431"/>
      <c r="E2431">
        <v>6271</v>
      </c>
      <c r="F2431">
        <v>49.99</v>
      </c>
      <c r="G2431"/>
      <c r="H2431">
        <v>150</v>
      </c>
      <c r="I2431"/>
      <c r="J2431"/>
      <c r="K2431" t="inlineStr">
        <is>
          <t>电子手账</t>
        </is>
      </c>
      <c r="L2431"/>
      <c r="M2431" t="inlineStr">
        <is>
          <t>再也不买了的店</t>
        </is>
      </c>
      <c r="N2431">
        <v>29000</v>
      </c>
      <c r="O2431">
        <v>4.3</v>
      </c>
      <c r="P2431">
        <v>8304</v>
      </c>
      <c r="Q2431" t="inlineStr">
        <is>
          <t>65f6986e0dd1aa0001f0b21d</t>
        </is>
      </c>
      <c r="R2431"/>
      <c r="S2431" t="inlineStr">
        <is>
          <t>无匹配类别</t>
        </is>
      </c>
      <c r="T2431" t="inlineStr">
        <is>
          <t>0.22</t>
        </is>
      </c>
      <c r="U2431" s="3">
        <v>46112.78107638889</v>
      </c>
      <c r="V2431"/>
      <c r="W2431" s="3">
        <v>46096</v>
      </c>
      <c r="X2431" t="inlineStr">
        <is>
          <t>03</t>
        </is>
      </c>
      <c r="Y2431" t="inlineStr">
        <is>
          <t>2026-Q1</t>
        </is>
      </c>
    </row>
    <row r="2432" ht="38.25" customHeight="1">
      <c r="A2432" t="inlineStr">
        <is>
          <t>量子与猫 · 2026全年计划日程本|电子手账|Goodnotes模板|Notability学习笔记</t>
        </is>
      </c>
      <c r="B2432" t="inlineStr">
        <is>
          <t>recvdVfldOdW48.jpg</t>
        </is>
      </c>
      <c r="C2432" s="2" t="str">
        <f>=HYPERLINK("https://xhslink.com/m/7NyO2IoL8Kf", "https://xhslink.com/m/7NyO2IoL8Kf")</f>
        <v>https://xhslink.com/m/7NyO2IoL8Kf</v>
      </c>
      <c r="D2432"/>
      <c r="E2432">
        <v>7021</v>
      </c>
      <c r="F2432">
        <v>99.99</v>
      </c>
      <c r="G2432"/>
      <c r="H2432">
        <v>100</v>
      </c>
      <c r="I2432"/>
      <c r="J2432"/>
      <c r="K2432" t="inlineStr">
        <is>
          <t>电子手账</t>
        </is>
      </c>
      <c r="L2432"/>
      <c r="M2432" t="inlineStr">
        <is>
          <t>量子与猫🌟的店</t>
        </is>
      </c>
      <c r="N2432">
        <v>39000</v>
      </c>
      <c r="O2432">
        <v>4.29</v>
      </c>
      <c r="P2432">
        <v>12000</v>
      </c>
      <c r="Q2432" t="inlineStr">
        <is>
          <t>65901b5fc76db1000117ff7b</t>
        </is>
      </c>
      <c r="R2432" t="inlineStr">
        <is>
          <t>🚫重复</t>
        </is>
      </c>
      <c r="S2432" t="inlineStr">
        <is>
          <t>无匹配类别</t>
        </is>
      </c>
      <c r="T2432" t="inlineStr">
        <is>
          <t>0.18</t>
        </is>
      </c>
      <c r="U2432" s="3">
        <v>46112.78107638889</v>
      </c>
      <c r="V2432"/>
      <c r="W2432" s="3">
        <v>46096</v>
      </c>
      <c r="X2432" t="inlineStr">
        <is>
          <t>03</t>
        </is>
      </c>
      <c r="Y2432" t="inlineStr">
        <is>
          <t>2026-Q1</t>
        </is>
      </c>
    </row>
    <row r="2433" ht="38.25" customHeight="1">
      <c r="A2433" t="inlineStr">
        <is>
          <t>自动发货（无水印）2026年电子手帐丨《2026 every holiday diary</t>
        </is>
      </c>
      <c r="B2433" t="inlineStr">
        <is>
          <t>recvdVfldOm1Rq.jpg</t>
        </is>
      </c>
      <c r="C2433" s="2" t="str">
        <f>=HYPERLINK("https://xhslink.com/m/2Ju4Css0wzi", "https://xhslink.com/m/2Ju4Css0wzi")</f>
        <v>https://xhslink.com/m/2Ju4Css0wzi</v>
      </c>
      <c r="D2433"/>
      <c r="E2433">
        <v>338</v>
      </c>
      <c r="F2433">
        <v>1.99</v>
      </c>
      <c r="G2433"/>
      <c r="H2433">
        <v>100</v>
      </c>
      <c r="I2433"/>
      <c r="J2433"/>
      <c r="K2433" t="inlineStr">
        <is>
          <t>电子手账</t>
        </is>
      </c>
      <c r="L2433"/>
      <c r="M2433" t="inlineStr">
        <is>
          <t>zuzu的手帐屋的店</t>
        </is>
      </c>
      <c r="N2433">
        <v>4207</v>
      </c>
      <c r="O2433">
        <v>4.13</v>
      </c>
      <c r="P2433">
        <v>1999</v>
      </c>
      <c r="Q2433" t="inlineStr">
        <is>
          <t>6951e77c8ff5d400018f988e</t>
        </is>
      </c>
      <c r="R2433"/>
      <c r="S2433" t="inlineStr">
        <is>
          <t>生活成长</t>
        </is>
      </c>
      <c r="T2433" t="inlineStr">
        <is>
          <t>0.08</t>
        </is>
      </c>
      <c r="U2433" s="3">
        <v>46112.78107638889</v>
      </c>
      <c r="V2433"/>
      <c r="W2433" s="3">
        <v>46096</v>
      </c>
      <c r="X2433" t="inlineStr">
        <is>
          <t>03</t>
        </is>
      </c>
      <c r="Y2433" t="inlineStr">
        <is>
          <t>2026-Q1</t>
        </is>
      </c>
    </row>
    <row r="2434" ht="38.25" customHeight="1">
      <c r="A2434" t="inlineStr">
        <is>
          <t>房屋出租合同模板房屋租赁模板【Word电子版】</t>
        </is>
      </c>
      <c r="B2434" t="inlineStr">
        <is>
          <t>recvdVfldO6SKH.jpg</t>
        </is>
      </c>
      <c r="C2434" s="2" t="str">
        <f>=HYPERLINK("https://xhslink.com/m/AQURXqtoiw0", "https://xhslink.com/m/AQURXqtoiw0")</f>
        <v>https://xhslink.com/m/AQURXqtoiw0</v>
      </c>
      <c r="D2434"/>
      <c r="E2434">
        <v>6814</v>
      </c>
      <c r="F2434">
        <v>0.99</v>
      </c>
      <c r="G2434"/>
      <c r="H2434">
        <v>300</v>
      </c>
      <c r="I2434"/>
      <c r="J2434"/>
      <c r="K2434" t="inlineStr">
        <is>
          <t>房屋租赁合同模板</t>
        </is>
      </c>
      <c r="L2434" t="inlineStr">
        <is>
          <t>🔥低粉爆款</t>
        </is>
      </c>
      <c r="M2434" t="inlineStr">
        <is>
          <t>宜开心啦的店</t>
        </is>
      </c>
      <c r="N2434">
        <v>1165</v>
      </c>
      <c r="O2434">
        <v>4.54</v>
      </c>
      <c r="P2434">
        <v>25000</v>
      </c>
      <c r="Q2434" t="inlineStr">
        <is>
          <t>67ea652c5020170001aa0a8f</t>
        </is>
      </c>
      <c r="R2434" t="inlineStr">
        <is>
          <t>🚫重复</t>
        </is>
      </c>
      <c r="S2434" t="inlineStr">
        <is>
          <t>无匹配类别</t>
        </is>
      </c>
      <c r="T2434" t="inlineStr">
        <is>
          <t>5.85</t>
        </is>
      </c>
      <c r="U2434" s="3">
        <v>46112.78107638889</v>
      </c>
      <c r="V2434"/>
      <c r="W2434" s="3">
        <v>46096</v>
      </c>
      <c r="X2434" t="inlineStr">
        <is>
          <t>03</t>
        </is>
      </c>
      <c r="Y2434" t="inlineStr">
        <is>
          <t>2026-Q1</t>
        </is>
      </c>
    </row>
    <row r="2435" ht="38.25" customHeight="1">
      <c r="A2435" t="inlineStr">
        <is>
          <t>房屋出租合同模板房屋租赁模板【Word电子版】自动发货</t>
        </is>
      </c>
      <c r="B2435" t="inlineStr">
        <is>
          <t>recvdVfldOd4U1.jpg</t>
        </is>
      </c>
      <c r="C2435" s="2" t="str">
        <f>=HYPERLINK("https://xhslink.com/m/6oRFzuPDu0r", "https://xhslink.com/m/6oRFzuPDu0r")</f>
        <v>https://xhslink.com/m/6oRFzuPDu0r</v>
      </c>
      <c r="D2435"/>
      <c r="E2435">
        <v>909</v>
      </c>
      <c r="F2435">
        <v>1.99</v>
      </c>
      <c r="G2435"/>
      <c r="H2435">
        <v>250</v>
      </c>
      <c r="I2435"/>
      <c r="J2435"/>
      <c r="K2435" t="inlineStr">
        <is>
          <t>房屋租赁合同模板</t>
        </is>
      </c>
      <c r="L2435"/>
      <c r="M2435" t="inlineStr">
        <is>
          <t>腿毛大帝的店</t>
        </is>
      </c>
      <c r="N2435">
        <v>1564</v>
      </c>
      <c r="O2435">
        <v>4.06</v>
      </c>
      <c r="P2435">
        <v>7580</v>
      </c>
      <c r="Q2435" t="inlineStr">
        <is>
          <t>6948dbb223d3ce0001f77938</t>
        </is>
      </c>
      <c r="R2435" t="inlineStr">
        <is>
          <t>🚫重复</t>
        </is>
      </c>
      <c r="S2435" t="inlineStr">
        <is>
          <t>无匹配类别</t>
        </is>
      </c>
      <c r="T2435" t="inlineStr">
        <is>
          <t>0.58</t>
        </is>
      </c>
      <c r="U2435" s="3">
        <v>46112.78107638889</v>
      </c>
      <c r="V2435"/>
      <c r="W2435" s="3">
        <v>46096</v>
      </c>
      <c r="X2435" t="inlineStr">
        <is>
          <t>03</t>
        </is>
      </c>
      <c r="Y2435" t="inlineStr">
        <is>
          <t>2026-Q1</t>
        </is>
      </c>
    </row>
    <row r="2436" ht="38.25" customHeight="1">
      <c r="A2436" t="inlineStr">
        <is>
          <t>25房屋租赁合同电子版 附物品清单</t>
        </is>
      </c>
      <c r="B2436" t="inlineStr">
        <is>
          <t>recvdVfldOinSw.jpg</t>
        </is>
      </c>
      <c r="C2436" s="2" t="str">
        <f>=HYPERLINK("https://xhslink.com/m/8FuvSPGmnBw", "https://xhslink.com/m/8FuvSPGmnBw")</f>
        <v>https://xhslink.com/m/8FuvSPGmnBw</v>
      </c>
      <c r="D2436"/>
      <c r="E2436">
        <v>1365</v>
      </c>
      <c r="F2436">
        <v>1.99</v>
      </c>
      <c r="G2436"/>
      <c r="H2436">
        <v>250</v>
      </c>
      <c r="I2436"/>
      <c r="J2436"/>
      <c r="K2436" t="inlineStr">
        <is>
          <t>房屋租赁合同模板</t>
        </is>
      </c>
      <c r="L2436"/>
      <c r="M2436" t="inlineStr">
        <is>
          <t>素雅素材的店</t>
        </is>
      </c>
      <c r="N2436">
        <v>2638</v>
      </c>
      <c r="O2436">
        <v>4.37</v>
      </c>
      <c r="P2436">
        <v>68000</v>
      </c>
      <c r="Q2436" t="inlineStr">
        <is>
          <t>6810fe48dd59fa000151a3bb</t>
        </is>
      </c>
      <c r="R2436"/>
      <c r="S2436" t="inlineStr">
        <is>
          <t>无匹配类别</t>
        </is>
      </c>
      <c r="T2436" t="inlineStr">
        <is>
          <t>0.52</t>
        </is>
      </c>
      <c r="U2436" s="3">
        <v>46112.78107638889</v>
      </c>
      <c r="V2436"/>
      <c r="W2436" s="3">
        <v>46096</v>
      </c>
      <c r="X2436" t="inlineStr">
        <is>
          <t>03</t>
        </is>
      </c>
      <c r="Y2436" t="inlineStr">
        <is>
          <t>2026-Q1</t>
        </is>
      </c>
    </row>
    <row r="2437" ht="38.25" customHeight="1">
      <c r="A2437" t="inlineStr">
        <is>
          <t>【全套】新房装修预算表＋风格效果图＋装修手册＋报价模板</t>
        </is>
      </c>
      <c r="B2437" t="inlineStr">
        <is>
          <t>recvdVfldOvSng.jpg</t>
        </is>
      </c>
      <c r="C2437" s="2" t="str">
        <f>=HYPERLINK("https://xhslink.com/m/9N2FGOP6dCw", "https://xhslink.com/m/9N2FGOP6dCw")</f>
        <v>https://xhslink.com/m/9N2FGOP6dCw</v>
      </c>
      <c r="D2437"/>
      <c r="E2437">
        <v>6102</v>
      </c>
      <c r="F2437">
        <v>28.9</v>
      </c>
      <c r="G2437"/>
      <c r="H2437">
        <v>350</v>
      </c>
      <c r="I2437"/>
      <c r="J2437"/>
      <c r="K2437" t="inlineStr">
        <is>
          <t>装修预算表</t>
        </is>
      </c>
      <c r="L2437"/>
      <c r="M2437" t="inlineStr">
        <is>
          <t>虎爸(入住啦)的店</t>
        </is>
      </c>
      <c r="N2437">
        <v>2174</v>
      </c>
      <c r="O2437">
        <v>4.33</v>
      </c>
      <c r="P2437">
        <v>8040</v>
      </c>
      <c r="Q2437" t="inlineStr">
        <is>
          <t>687c5064071cdc00015d28d8</t>
        </is>
      </c>
      <c r="R2437" t="inlineStr">
        <is>
          <t>🚫重复</t>
        </is>
      </c>
      <c r="S2437" t="inlineStr">
        <is>
          <t>生活成长</t>
        </is>
      </c>
      <c r="T2437" t="inlineStr">
        <is>
          <t>2.81</t>
        </is>
      </c>
      <c r="U2437" s="3">
        <v>46112.78107638889</v>
      </c>
      <c r="V2437"/>
      <c r="W2437" s="3">
        <v>46096</v>
      </c>
      <c r="X2437" t="inlineStr">
        <is>
          <t>03</t>
        </is>
      </c>
      <c r="Y2437" t="inlineStr">
        <is>
          <t>2026-Q1</t>
        </is>
      </c>
    </row>
    <row r="2438" ht="38.25" customHeight="1">
      <c r="A2438" t="inlineStr">
        <is>
          <t>SCL90在线心理测试/焦虑抑郁/躯体化/睡眠障碍/下单2分钟自动发货</t>
        </is>
      </c>
      <c r="B2438" t="inlineStr">
        <is>
          <t>recvdVfldOsto9.jpg</t>
        </is>
      </c>
      <c r="C2438" s="2" t="str">
        <f>=HYPERLINK("https://xhslink.com/m/20F5MhLcuGY", "https://xhslink.com/m/20F5MhLcuGY")</f>
        <v>https://xhslink.com/m/20F5MhLcuGY</v>
      </c>
      <c r="D2438"/>
      <c r="E2438">
        <v>60000</v>
      </c>
      <c r="F2438">
        <v>0.99</v>
      </c>
      <c r="G2438">
        <v>0.84</v>
      </c>
      <c r="H2438">
        <v>350</v>
      </c>
      <c r="I2438"/>
      <c r="J2438"/>
      <c r="K2438" t="inlineStr">
        <is>
          <t>心理</t>
        </is>
      </c>
      <c r="L2438" t="inlineStr">
        <is>
          <t>🔥低粉爆款</t>
        </is>
      </c>
      <c r="M2438" t="inlineStr">
        <is>
          <t>成长小窝的店</t>
        </is>
      </c>
      <c r="N2438">
        <v>6892</v>
      </c>
      <c r="O2438">
        <v>4.56</v>
      </c>
      <c r="P2438">
        <v>9533</v>
      </c>
      <c r="Q2438" t="inlineStr">
        <is>
          <t>68f30a171fc8270001cc42ac</t>
        </is>
      </c>
      <c r="R2438"/>
      <c r="S2438" t="inlineStr">
        <is>
          <t>生活成长</t>
        </is>
      </c>
      <c r="T2438" t="inlineStr">
        <is>
          <t>8.71</t>
        </is>
      </c>
      <c r="U2438" s="3">
        <v>46112.78107638889</v>
      </c>
      <c r="V2438"/>
      <c r="W2438" s="3">
        <v>46096</v>
      </c>
      <c r="X2438" t="inlineStr">
        <is>
          <t>03</t>
        </is>
      </c>
      <c r="Y2438" t="inlineStr">
        <is>
          <t>2026-Q1</t>
        </is>
      </c>
    </row>
    <row r="2439" ht="38.25" customHeight="1">
      <c r="A2439" t="inlineStr">
        <is>
          <t>2025高考高三总复习一轮二轮语文数学英语物理化生政治史地电子版</t>
        </is>
      </c>
      <c r="B2439" t="inlineStr">
        <is>
          <t>recvdVfldO6Nsx.jpg</t>
        </is>
      </c>
      <c r="C2439" s="2" t="str">
        <f>=HYPERLINK("https://xhslink.com/m/8gbzXVZkfpd", "https://xhslink.com/m/8gbzXVZkfpd")</f>
        <v>https://xhslink.com/m/8gbzXVZkfpd</v>
      </c>
      <c r="D2439"/>
      <c r="E2439">
        <v>9719</v>
      </c>
      <c r="F2439">
        <v>39.9</v>
      </c>
      <c r="G2439"/>
      <c r="H2439">
        <v>400</v>
      </c>
      <c r="I2439"/>
      <c r="J2439"/>
      <c r="K2439" t="inlineStr">
        <is>
          <t>高考</t>
        </is>
      </c>
      <c r="L2439"/>
      <c r="M2439" t="inlineStr">
        <is>
          <t>高分资料库的店</t>
        </is>
      </c>
      <c r="N2439">
        <v>8853</v>
      </c>
      <c r="O2439">
        <v>4.44</v>
      </c>
      <c r="P2439">
        <v>31000</v>
      </c>
      <c r="Q2439" t="inlineStr">
        <is>
          <t>672ef2254c39cc0001236403</t>
        </is>
      </c>
      <c r="R2439" t="inlineStr">
        <is>
          <t>🚫重复</t>
        </is>
      </c>
      <c r="S2439" t="inlineStr">
        <is>
          <t>高中/高考资料</t>
        </is>
      </c>
      <c r="T2439" t="inlineStr">
        <is>
          <t>1.10</t>
        </is>
      </c>
      <c r="U2439" s="3">
        <v>46112.78107638889</v>
      </c>
      <c r="V2439"/>
      <c r="W2439" s="3">
        <v>46096</v>
      </c>
      <c r="X2439" t="inlineStr">
        <is>
          <t>03</t>
        </is>
      </c>
      <c r="Y2439" t="inlineStr">
        <is>
          <t>2026-Q1</t>
        </is>
      </c>
    </row>
    <row r="2440" ht="38.25" customHeight="1">
      <c r="A2440" t="inlineStr">
        <is>
          <t>2026 中考数学压轴题-电子版</t>
        </is>
      </c>
      <c r="B2440" t="inlineStr">
        <is>
          <t>recvdVfldO6et5.jpg</t>
        </is>
      </c>
      <c r="C2440" s="2" t="str">
        <f>=HYPERLINK("https://xhslink.com/m/5xOCJUM8yI0", "https://xhslink.com/m/5xOCJUM8yI0")</f>
        <v>https://xhslink.com/m/5xOCJUM8yI0</v>
      </c>
      <c r="D2440"/>
      <c r="E2440">
        <v>2124</v>
      </c>
      <c r="F2440">
        <v>9.9</v>
      </c>
      <c r="G2440"/>
      <c r="H2440">
        <v>450</v>
      </c>
      <c r="I2440">
        <v>1000</v>
      </c>
      <c r="J2440"/>
      <c r="K2440" t="inlineStr">
        <is>
          <t>中考</t>
        </is>
      </c>
      <c r="L2440"/>
      <c r="M2440" t="inlineStr">
        <is>
          <t>程老师的数学园地的店</t>
        </is>
      </c>
      <c r="N2440">
        <v>13000</v>
      </c>
      <c r="O2440">
        <v>4.59</v>
      </c>
      <c r="P2440">
        <v>10000</v>
      </c>
      <c r="Q2440" t="inlineStr">
        <is>
          <t>67b884ee97592600017a9e58</t>
        </is>
      </c>
      <c r="R2440" t="inlineStr">
        <is>
          <t>🚫重复</t>
        </is>
      </c>
      <c r="S2440" t="inlineStr">
        <is>
          <t>中小学教辅/教材</t>
        </is>
      </c>
      <c r="T2440" t="inlineStr">
        <is>
          <t>0.16</t>
        </is>
      </c>
      <c r="U2440" s="3">
        <v>46112.78107638889</v>
      </c>
      <c r="V2440"/>
      <c r="W2440" s="3">
        <v>46096</v>
      </c>
      <c r="X2440" t="inlineStr">
        <is>
          <t>03</t>
        </is>
      </c>
      <c r="Y2440" t="inlineStr">
        <is>
          <t>2026-Q1</t>
        </is>
      </c>
    </row>
    <row r="2441" ht="38.25" customHeight="1">
      <c r="A2441" t="inlineStr">
        <is>
          <t>五上1-8单元知识汇总</t>
        </is>
      </c>
      <c r="B2441" t="inlineStr">
        <is>
          <t>recvdVfldOZKvz.jpg</t>
        </is>
      </c>
      <c r="C2441" s="2" t="str">
        <f>=HYPERLINK("https://xhslink.com/m/9tzs0mmLYVy", "https://xhslink.com/m/9tzs0mmLYVy")</f>
        <v>https://xhslink.com/m/9tzs0mmLYVy</v>
      </c>
      <c r="D2441"/>
      <c r="E2441">
        <v>1611</v>
      </c>
      <c r="F2441">
        <v>4.9</v>
      </c>
      <c r="G2441"/>
      <c r="H2441">
        <v>200</v>
      </c>
      <c r="I2441">
        <v>1000</v>
      </c>
      <c r="J2441"/>
      <c r="K2441" t="inlineStr">
        <is>
          <t>小学资料</t>
        </is>
      </c>
      <c r="L2441"/>
      <c r="M2441" t="inlineStr">
        <is>
          <t>兔卿老师的店</t>
        </is>
      </c>
      <c r="N2441">
        <v>1939</v>
      </c>
      <c r="O2441">
        <v>4.3</v>
      </c>
      <c r="P2441">
        <v>2334</v>
      </c>
      <c r="Q2441" t="inlineStr">
        <is>
          <t>69417dbbf547e300014ff87a</t>
        </is>
      </c>
      <c r="R2441"/>
      <c r="S2441" t="inlineStr">
        <is>
          <t>中小学教辅/教材</t>
        </is>
      </c>
      <c r="T2441" t="inlineStr">
        <is>
          <t>0.83</t>
        </is>
      </c>
      <c r="U2441" s="3">
        <v>46112.78107638889</v>
      </c>
      <c r="V2441"/>
      <c r="W2441" s="3">
        <v>46096</v>
      </c>
      <c r="X2441" t="inlineStr">
        <is>
          <t>03</t>
        </is>
      </c>
      <c r="Y2441" t="inlineStr">
        <is>
          <t>2026-Q1</t>
        </is>
      </c>
    </row>
    <row r="2442" ht="38.25" customHeight="1">
      <c r="A2442" t="inlineStr">
        <is>
          <t>人教版八年级上下册数学重难点题型训练期中期末考前必刷题电子版</t>
        </is>
      </c>
      <c r="B2442" t="inlineStr">
        <is>
          <t>recve8Kxw8QPl5.jpg</t>
        </is>
      </c>
      <c r="C2442" s="2" t="str">
        <f>=HYPERLINK("https://xhslink.com/m/4BVBdPYkF5m", "https://xhslink.com/m/4BVBdPYkF5m")</f>
        <v>https://xhslink.com/m/4BVBdPYkF5m</v>
      </c>
      <c r="D2442"/>
      <c r="E2442">
        <v>475</v>
      </c>
      <c r="F2442">
        <v>5.9</v>
      </c>
      <c r="G2442"/>
      <c r="H2442">
        <v>100</v>
      </c>
      <c r="I2442"/>
      <c r="J2442"/>
      <c r="K2442" t="inlineStr">
        <is>
          <t>八下数学</t>
        </is>
      </c>
      <c r="L2442"/>
      <c r="M2442" t="inlineStr">
        <is>
          <t>爱分享的张老师的店</t>
        </is>
      </c>
      <c r="N2442">
        <v>1920</v>
      </c>
      <c r="O2442">
        <v>4.44</v>
      </c>
      <c r="P2442">
        <v>11000</v>
      </c>
      <c r="Q2442" t="inlineStr">
        <is>
          <t>69ae8f8e0635fd0001174f4e</t>
        </is>
      </c>
      <c r="R2442" t="inlineStr">
        <is>
          <t>🚫重复</t>
        </is>
      </c>
      <c r="S2442" t="inlineStr">
        <is>
          <t>中小学教辅/教材</t>
        </is>
      </c>
      <c r="T2442" t="inlineStr">
        <is>
          <t>0.25</t>
        </is>
      </c>
      <c r="U2442" s="3">
        <v>46112.78107638889</v>
      </c>
      <c r="V2442"/>
      <c r="W2442" s="3">
        <v>46098</v>
      </c>
      <c r="X2442" t="inlineStr">
        <is>
          <t>03</t>
        </is>
      </c>
      <c r="Y2442" t="inlineStr">
        <is>
          <t>2026-Q1</t>
        </is>
      </c>
    </row>
    <row r="2443" ht="38.25" customHeight="1">
      <c r="A2443" t="inlineStr">
        <is>
          <t>【原创正版】RPI 恋爱占有欲测试情侣依赖关系安全感心理测评</t>
        </is>
      </c>
      <c r="B2443" t="inlineStr">
        <is>
          <t>recve8Kxw8lPwc.jpg</t>
        </is>
      </c>
      <c r="C2443" s="2" t="str">
        <f>=HYPERLINK("https://xhslink.com/m/2fyMALFQXaa", "https://xhslink.com/m/2fyMALFQXaa")</f>
        <v>https://xhslink.com/m/2fyMALFQXaa</v>
      </c>
      <c r="D2443"/>
      <c r="E2443">
        <v>60000</v>
      </c>
      <c r="F2443">
        <v>9.9</v>
      </c>
      <c r="G2443"/>
      <c r="H2443">
        <v>300</v>
      </c>
      <c r="I2443"/>
      <c r="J2443"/>
      <c r="K2443" t="inlineStr">
        <is>
          <t>心理</t>
        </is>
      </c>
      <c r="L2443" t="inlineStr">
        <is>
          <t>🔥低粉爆款</t>
        </is>
      </c>
      <c r="M2443" t="inlineStr">
        <is>
          <t>MULI情感研究院的店</t>
        </is>
      </c>
      <c r="N2443">
        <v>658</v>
      </c>
      <c r="O2443">
        <v>4.1</v>
      </c>
      <c r="P2443">
        <v>60000</v>
      </c>
      <c r="Q2443" t="inlineStr">
        <is>
          <t>69017a8bae1c170001269149</t>
        </is>
      </c>
      <c r="R2443"/>
      <c r="S2443" t="inlineStr">
        <is>
          <t>生活成长</t>
        </is>
      </c>
      <c r="T2443" t="inlineStr">
        <is>
          <t>91.19</t>
        </is>
      </c>
      <c r="U2443" s="3">
        <v>46112.78107638889</v>
      </c>
      <c r="V2443"/>
      <c r="W2443" s="3">
        <v>46098</v>
      </c>
      <c r="X2443" t="inlineStr">
        <is>
          <t>03</t>
        </is>
      </c>
      <c r="Y2443" t="inlineStr">
        <is>
          <t>2026-Q1</t>
        </is>
      </c>
    </row>
    <row r="2444" ht="38.25" customHeight="1">
      <c r="A2444" t="inlineStr">
        <is>
          <t>未泱英文阅读读书卡（首月体验）一个月</t>
        </is>
      </c>
      <c r="B2444" t="inlineStr">
        <is>
          <t>recve8Kxw85k5r.jpg</t>
        </is>
      </c>
      <c r="C2444" s="2" t="str">
        <f>=HYPERLINK("https://xhslink.com/m/8wzupqUnIq2", "https://xhslink.com/m/8wzupqUnIq2")</f>
        <v>https://xhslink.com/m/8wzupqUnIq2</v>
      </c>
      <c r="D2444"/>
      <c r="E2444">
        <v>13000</v>
      </c>
      <c r="F2444">
        <v>300</v>
      </c>
      <c r="G2444"/>
      <c r="H2444">
        <v>550</v>
      </c>
      <c r="I2444"/>
      <c r="J2444"/>
      <c r="K2444" t="inlineStr">
        <is>
          <t>英语</t>
        </is>
      </c>
      <c r="L2444"/>
      <c r="M2444" t="inlineStr">
        <is>
          <t>未泱阅读的店</t>
        </is>
      </c>
      <c r="N2444">
        <v>69000</v>
      </c>
      <c r="O2444">
        <v>4.5</v>
      </c>
      <c r="P2444">
        <v>90000</v>
      </c>
      <c r="Q2444" t="inlineStr">
        <is>
          <t>6626fb8601363300018cb2b3</t>
        </is>
      </c>
      <c r="R2444" t="inlineStr">
        <is>
          <t>🚫重复</t>
        </is>
      </c>
      <c r="S2444" t="inlineStr">
        <is>
          <t>英语资料</t>
        </is>
      </c>
      <c r="T2444" t="inlineStr">
        <is>
          <t>0.19</t>
        </is>
      </c>
      <c r="U2444" s="3">
        <v>46112.78107638889</v>
      </c>
      <c r="V2444"/>
      <c r="W2444" s="3">
        <v>46098</v>
      </c>
      <c r="X2444" t="inlineStr">
        <is>
          <t>03</t>
        </is>
      </c>
      <c r="Y2444" t="inlineStr">
        <is>
          <t>2026-Q1</t>
        </is>
      </c>
    </row>
    <row r="2445" ht="38.25" customHeight="1">
      <c r="A2445" t="inlineStr">
        <is>
          <t>【D202】大学英语四六级CET46核心1500词汇高频1000词汇PDF电子版</t>
        </is>
      </c>
      <c r="B2445" t="inlineStr">
        <is>
          <t>recve8Kxw8KXpv.jpg</t>
        </is>
      </c>
      <c r="C2445" s="2" t="str">
        <f>=HYPERLINK("https://xhslink.com/m/726GjEANhcM", "https://xhslink.com/m/726GjEANhcM")</f>
        <v>https://xhslink.com/m/726GjEANhcM</v>
      </c>
      <c r="D2445"/>
      <c r="E2445">
        <v>12000</v>
      </c>
      <c r="F2445">
        <v>0.99</v>
      </c>
      <c r="G2445"/>
      <c r="H2445">
        <v>300</v>
      </c>
      <c r="I2445"/>
      <c r="J2445"/>
      <c r="K2445" t="inlineStr">
        <is>
          <t>英语</t>
        </is>
      </c>
      <c r="L2445" t="inlineStr">
        <is>
          <t>🔥低粉爆款</t>
        </is>
      </c>
      <c r="M2445" t="inlineStr">
        <is>
          <t>妙言老师的店</t>
        </is>
      </c>
      <c r="N2445">
        <v>2459</v>
      </c>
      <c r="O2445">
        <v>4.6</v>
      </c>
      <c r="P2445">
        <v>35000</v>
      </c>
      <c r="Q2445" t="inlineStr">
        <is>
          <t>688f72be86c0df000148e03e</t>
        </is>
      </c>
      <c r="R2445" t="inlineStr">
        <is>
          <t>🚫重复</t>
        </is>
      </c>
      <c r="S2445" t="inlineStr">
        <is>
          <t>英语资料</t>
        </is>
      </c>
      <c r="T2445" t="inlineStr">
        <is>
          <t>4.88</t>
        </is>
      </c>
      <c r="U2445" s="3">
        <v>46112.78107638889</v>
      </c>
      <c r="V2445"/>
      <c r="W2445" s="3">
        <v>46098</v>
      </c>
      <c r="X2445" t="inlineStr">
        <is>
          <t>03</t>
        </is>
      </c>
      <c r="Y2445" t="inlineStr">
        <is>
          <t>2026-Q1</t>
        </is>
      </c>
    </row>
    <row r="2446" ht="38.25" customHeight="1">
      <c r="A2446" t="inlineStr">
        <is>
          <t>专升本大学语文资料包电子版 文学常识学习教材复习资料练习题库</t>
        </is>
      </c>
      <c r="B2446" t="inlineStr">
        <is>
          <t>recve8Kxw87dtx.jpg</t>
        </is>
      </c>
      <c r="C2446" s="2" t="str">
        <f>=HYPERLINK("https://xhslink.com/m/7MQ4PvrhSjr", "https://xhslink.com/m/7MQ4PvrhSjr")</f>
        <v>https://xhslink.com/m/7MQ4PvrhSjr</v>
      </c>
      <c r="D2446"/>
      <c r="E2446">
        <v>2198</v>
      </c>
      <c r="F2446">
        <v>6.8</v>
      </c>
      <c r="G2446"/>
      <c r="H2446">
        <v>200</v>
      </c>
      <c r="I2446"/>
      <c r="J2446"/>
      <c r="K2446" t="inlineStr">
        <is>
          <t>大学</t>
        </is>
      </c>
      <c r="L2446"/>
      <c r="M2446" t="inlineStr">
        <is>
          <t>小狗冻干的店</t>
        </is>
      </c>
      <c r="N2446">
        <v>886</v>
      </c>
      <c r="O2446">
        <v>4.23</v>
      </c>
      <c r="P2446">
        <v>3985</v>
      </c>
      <c r="Q2446" t="inlineStr">
        <is>
          <t>68a4741c7313330001da9e40</t>
        </is>
      </c>
      <c r="R2446" t="inlineStr">
        <is>
          <t>🚫重复</t>
        </is>
      </c>
      <c r="S2446" t="inlineStr">
        <is>
          <t>大学资料</t>
        </is>
      </c>
      <c r="T2446" t="inlineStr">
        <is>
          <t>2.48</t>
        </is>
      </c>
      <c r="U2446" s="3">
        <v>46112.78107638889</v>
      </c>
      <c r="V2446"/>
      <c r="W2446" s="3">
        <v>46098</v>
      </c>
      <c r="X2446" t="inlineStr">
        <is>
          <t>03</t>
        </is>
      </c>
      <c r="Y2446" t="inlineStr">
        <is>
          <t>2026-Q1</t>
        </is>
      </c>
    </row>
    <row r="2447" ht="38.25" customHeight="1">
      <c r="A2447" t="inlineStr">
        <is>
          <t>2026上教师资格证教资十年历年真题综合素质教育知识与能力可打印</t>
        </is>
      </c>
      <c r="B2447" t="inlineStr">
        <is>
          <t>recve8Kxw8p00K.jpg</t>
        </is>
      </c>
      <c r="C2447" s="2" t="str">
        <f>=HYPERLINK("https://xhslink.com/m/4a1j5ziBrJw", "https://xhslink.com/m/4a1j5ziBrJw")</f>
        <v>https://xhslink.com/m/4a1j5ziBrJw</v>
      </c>
      <c r="D2447"/>
      <c r="E2447">
        <v>1309</v>
      </c>
      <c r="F2447">
        <v>2</v>
      </c>
      <c r="G2447"/>
      <c r="H2447">
        <v>300</v>
      </c>
      <c r="I2447"/>
      <c r="J2447"/>
      <c r="K2447" t="inlineStr">
        <is>
          <t>教师资料</t>
        </is>
      </c>
      <c r="L2447" t="inlineStr">
        <is>
          <t>🔥低粉爆款</t>
        </is>
      </c>
      <c r="M2447" t="inlineStr">
        <is>
          <t>上岸吧你的店</t>
        </is>
      </c>
      <c r="N2447">
        <v>295</v>
      </c>
      <c r="O2447">
        <v>4.19</v>
      </c>
      <c r="P2447">
        <v>3196</v>
      </c>
      <c r="Q2447" t="inlineStr">
        <is>
          <t>69467710f17edd0001b2e85c</t>
        </is>
      </c>
      <c r="R2447" t="inlineStr">
        <is>
          <t>🚫重复</t>
        </is>
      </c>
      <c r="S2447" t="inlineStr">
        <is>
          <t>教资资料</t>
        </is>
      </c>
      <c r="T2447" t="inlineStr">
        <is>
          <t>4.44</t>
        </is>
      </c>
      <c r="U2447" s="3">
        <v>46112.78107638889</v>
      </c>
      <c r="V2447"/>
      <c r="W2447" s="3">
        <v>46098</v>
      </c>
      <c r="X2447" t="inlineStr">
        <is>
          <t>03</t>
        </is>
      </c>
      <c r="Y2447" t="inlineStr">
        <is>
          <t>2026-Q1</t>
        </is>
      </c>
    </row>
    <row r="2448" ht="38.25" customHeight="1">
      <c r="A2448" t="inlineStr">
        <is>
          <t>26上（资料已更新）教师资格证笔试科三重点笔记上岸熊合作</t>
        </is>
      </c>
      <c r="B2448" t="inlineStr">
        <is>
          <t>recve8Kxw8cGnP.jpg</t>
        </is>
      </c>
      <c r="C2448" s="2" t="str">
        <f>=HYPERLINK("https://xhslink.com/m/7WPRbFzMAVE", "https://xhslink.com/m/7WPRbFzMAVE")</f>
        <v>https://xhslink.com/m/7WPRbFzMAVE</v>
      </c>
      <c r="D2448"/>
      <c r="E2448">
        <v>9420</v>
      </c>
      <c r="F2448">
        <v>59.7</v>
      </c>
      <c r="G2448"/>
      <c r="H2448">
        <v>150</v>
      </c>
      <c r="I2448"/>
      <c r="J2448"/>
      <c r="K2448" t="inlineStr">
        <is>
          <t>教务资料</t>
        </is>
      </c>
      <c r="L2448" t="inlineStr">
        <is>
          <t>🔥低粉爆款</t>
        </is>
      </c>
      <c r="M2448" t="inlineStr">
        <is>
          <t>草莓学姐的店</t>
        </is>
      </c>
      <c r="N2448">
        <v>2415</v>
      </c>
      <c r="O2448">
        <v>4.45</v>
      </c>
      <c r="P2448">
        <v>16000</v>
      </c>
      <c r="Q2448" t="inlineStr">
        <is>
          <t>6850db6ac200860001e55c92</t>
        </is>
      </c>
      <c r="R2448" t="inlineStr">
        <is>
          <t>🚫重复</t>
        </is>
      </c>
      <c r="S2448" t="inlineStr">
        <is>
          <t>教资资料</t>
        </is>
      </c>
      <c r="T2448" t="inlineStr">
        <is>
          <t>3.90</t>
        </is>
      </c>
      <c r="U2448" s="3">
        <v>46112.78107638889</v>
      </c>
      <c r="V2448"/>
      <c r="W2448" s="3">
        <v>46098</v>
      </c>
      <c r="X2448" t="inlineStr">
        <is>
          <t>03</t>
        </is>
      </c>
      <c r="Y2448" t="inlineStr">
        <is>
          <t>2026-Q1</t>
        </is>
      </c>
    </row>
    <row r="2449" ht="38.25" customHeight="1">
      <c r="A2449" t="inlineStr">
        <is>
          <t>四种性格色彩搭配职场人格类型性格色彩在线测试 职场适配性测试</t>
        </is>
      </c>
      <c r="B2449" t="inlineStr">
        <is>
          <t>recven67lIJBjd.jpg</t>
        </is>
      </c>
      <c r="C2449" s="2" t="str">
        <f>=HYPERLINK("https://xhslink.com/m/8rZVlBCjUxg", "https://xhslink.com/m/8rZVlBCjUxg")</f>
        <v>https://xhslink.com/m/8rZVlBCjUxg</v>
      </c>
      <c r="D2449"/>
      <c r="E2449">
        <v>5936</v>
      </c>
      <c r="F2449">
        <v>2.99</v>
      </c>
      <c r="G2449"/>
      <c r="H2449">
        <v>450</v>
      </c>
      <c r="I2449"/>
      <c r="J2449"/>
      <c r="K2449" t="inlineStr">
        <is>
          <t>职场</t>
        </is>
      </c>
      <c r="L2449" t="inlineStr">
        <is>
          <t>🔥低粉爆款</t>
        </is>
      </c>
      <c r="M2449" t="inlineStr">
        <is>
          <t>瑾凡性格测试的店</t>
        </is>
      </c>
      <c r="N2449">
        <v>488</v>
      </c>
      <c r="O2449">
        <v>3.99</v>
      </c>
      <c r="P2449">
        <v>7758</v>
      </c>
      <c r="Q2449" t="inlineStr">
        <is>
          <t>68c4c51455f59b0001f2190c</t>
        </is>
      </c>
      <c r="R2449"/>
      <c r="S2449" t="inlineStr">
        <is>
          <t>生活成长</t>
        </is>
      </c>
      <c r="T2449" t="inlineStr">
        <is>
          <t>12.16</t>
        </is>
      </c>
      <c r="U2449" s="3">
        <v>46112.78107638889</v>
      </c>
      <c r="V2449"/>
      <c r="W2449" s="3">
        <v>46101</v>
      </c>
      <c r="X2449" t="inlineStr">
        <is>
          <t>03</t>
        </is>
      </c>
      <c r="Y2449" t="inlineStr">
        <is>
          <t>2026-Q1</t>
        </is>
      </c>
    </row>
    <row r="2450" ht="38.25" customHeight="1">
      <c r="A2450" t="inlineStr">
        <is>
          <t>时光学 · 回话有招口才技巧 职场社交处世语言艺术 好好接话高情商聊天术</t>
        </is>
      </c>
      <c r="B2450" t="inlineStr">
        <is>
          <t>recven67lIqAbl.jpg</t>
        </is>
      </c>
      <c r="C2450" s="2" t="str">
        <f>=HYPERLINK("https://xhslink.com/m/2t0wxNiKO3b", "https://xhslink.com/m/2t0wxNiKO3b")</f>
        <v>https://xhslink.com/m/2t0wxNiKO3b</v>
      </c>
      <c r="D2450"/>
      <c r="E2450">
        <v>66000</v>
      </c>
      <c r="F2450">
        <v>26.8</v>
      </c>
      <c r="G2450"/>
      <c r="H2450">
        <v>200</v>
      </c>
      <c r="I2450">
        <v>1000</v>
      </c>
      <c r="J2450"/>
      <c r="K2450" t="inlineStr">
        <is>
          <t>职场</t>
        </is>
      </c>
      <c r="L2450"/>
      <c r="M2450" t="inlineStr">
        <is>
          <t>时光学图书旗舰店</t>
        </is>
      </c>
      <c r="N2450">
        <v>57000</v>
      </c>
      <c r="O2450">
        <v>4.6</v>
      </c>
      <c r="P2450">
        <v>216000</v>
      </c>
      <c r="Q2450" t="inlineStr">
        <is>
          <t>66cc3961b1e5760001a30c3d</t>
        </is>
      </c>
      <c r="R2450"/>
      <c r="S2450" t="inlineStr">
        <is>
          <t>生活成长</t>
        </is>
      </c>
      <c r="T2450" t="inlineStr">
        <is>
          <t>1.16</t>
        </is>
      </c>
      <c r="U2450" s="3">
        <v>46112.78107638889</v>
      </c>
      <c r="V2450"/>
      <c r="W2450" s="3">
        <v>46101</v>
      </c>
      <c r="X2450" t="inlineStr">
        <is>
          <t>03</t>
        </is>
      </c>
      <c r="Y2450" t="inlineStr">
        <is>
          <t>2026-Q1</t>
        </is>
      </c>
    </row>
    <row r="2451" ht="38.25" customHeight="1">
      <c r="A2451" t="inlineStr">
        <is>
          <t>凑单专用0.1元｜1毛钱养号虚拟图片素材手机壁纸，虚拟无物流发货</t>
        </is>
      </c>
      <c r="B2451" t="inlineStr">
        <is>
          <t>recven67lI2ASm.jpg</t>
        </is>
      </c>
      <c r="C2451" s="2" t="str">
        <f>=HYPERLINK("https://xhslink.com/m/7dBIjZ3PqKw", "https://xhslink.com/m/7dBIjZ3PqKw")</f>
        <v>https://xhslink.com/m/7dBIjZ3PqKw</v>
      </c>
      <c r="D2451"/>
      <c r="E2451">
        <v>638</v>
      </c>
      <c r="F2451">
        <v>0.15</v>
      </c>
      <c r="G2451"/>
      <c r="H2451">
        <v>150</v>
      </c>
      <c r="I2451"/>
      <c r="J2451"/>
      <c r="K2451" t="inlineStr">
        <is>
          <t>素材</t>
        </is>
      </c>
      <c r="L2451" t="inlineStr">
        <is>
          <t>🔥低粉爆款</t>
        </is>
      </c>
      <c r="M2451" t="inlineStr">
        <is>
          <t>深海小鱼77的店</t>
        </is>
      </c>
      <c r="N2451">
        <v>66</v>
      </c>
      <c r="O2451">
        <v>4.06</v>
      </c>
      <c r="P2451">
        <v>640</v>
      </c>
      <c r="Q2451" t="inlineStr">
        <is>
          <t>692dae142aa9d000012a9ffc</t>
        </is>
      </c>
      <c r="R2451"/>
      <c r="S2451" t="inlineStr">
        <is>
          <t>头像壁纸</t>
        </is>
      </c>
      <c r="T2451" t="inlineStr">
        <is>
          <t>9.67</t>
        </is>
      </c>
      <c r="U2451" s="3">
        <v>46112.78107638889</v>
      </c>
      <c r="V2451"/>
      <c r="W2451" s="3">
        <v>46101</v>
      </c>
      <c r="X2451" t="inlineStr">
        <is>
          <t>03</t>
        </is>
      </c>
      <c r="Y2451" t="inlineStr">
        <is>
          <t>2026-Q1</t>
        </is>
      </c>
    </row>
    <row r="2452" ht="38.25" customHeight="1">
      <c r="A2452" t="inlineStr">
        <is>
          <t>【超级返场】aw.epoch往期贴纸包合集</t>
        </is>
      </c>
      <c r="B2452" t="inlineStr">
        <is>
          <t>recven67lIclgl.jpg</t>
        </is>
      </c>
      <c r="C2452" s="2" t="str">
        <f>=HYPERLINK("https://xhslink.com/m/94DZL5CMyYw", "https://xhslink.com/m/94DZL5CMyYw")</f>
        <v>https://xhslink.com/m/94DZL5CMyYw</v>
      </c>
      <c r="D2452"/>
      <c r="E2452">
        <v>1898</v>
      </c>
      <c r="F2452">
        <v>17.7</v>
      </c>
      <c r="G2452"/>
      <c r="H2452">
        <v>350</v>
      </c>
      <c r="I2452"/>
      <c r="J2452"/>
      <c r="K2452" t="inlineStr">
        <is>
          <t>素材</t>
        </is>
      </c>
      <c r="L2452"/>
      <c r="M2452" t="inlineStr">
        <is>
          <t>aw.epoch（寻江浙沪集市的店</t>
        </is>
      </c>
      <c r="N2452">
        <v>24000</v>
      </c>
      <c r="O2452">
        <v>4.65</v>
      </c>
      <c r="P2452">
        <v>15000</v>
      </c>
      <c r="Q2452" t="inlineStr">
        <is>
          <t>67a3303475ca3a000162fe74</t>
        </is>
      </c>
      <c r="R2452"/>
      <c r="S2452" t="inlineStr">
        <is>
          <t>设计素材</t>
        </is>
      </c>
      <c r="T2452" t="inlineStr">
        <is>
          <t>0.08</t>
        </is>
      </c>
      <c r="U2452" s="3">
        <v>46112.78107638889</v>
      </c>
      <c r="V2452"/>
      <c r="W2452" s="3">
        <v>46101</v>
      </c>
      <c r="X2452" t="inlineStr">
        <is>
          <t>03</t>
        </is>
      </c>
      <c r="Y2452" t="inlineStr">
        <is>
          <t>2026-Q1</t>
        </is>
      </c>
    </row>
    <row r="2453" ht="38.25" customHeight="1">
      <c r="A2453" t="inlineStr">
        <is>
          <t>新屿言 · 34.0圣诞系列造景贴纸3D立体场景小屋手账装饰素材DIY解压贴素材</t>
        </is>
      </c>
      <c r="B2453" t="inlineStr">
        <is>
          <t>recven67lIHtRq.jpg</t>
        </is>
      </c>
      <c r="C2453" s="2" t="str">
        <f>=HYPERLINK("https://xhslink.com/m/26EFsWy9OKN", "https://xhslink.com/m/26EFsWy9OKN")</f>
        <v>https://xhslink.com/m/26EFsWy9OKN</v>
      </c>
      <c r="D2453"/>
      <c r="E2453">
        <v>2079</v>
      </c>
      <c r="F2453">
        <v>7.8</v>
      </c>
      <c r="G2453"/>
      <c r="H2453">
        <v>100</v>
      </c>
      <c r="I2453"/>
      <c r="J2453"/>
      <c r="K2453" t="inlineStr">
        <is>
          <t>素材</t>
        </is>
      </c>
      <c r="L2453"/>
      <c r="M2453" t="inlineStr">
        <is>
          <t>新屿言的店</t>
        </is>
      </c>
      <c r="N2453">
        <v>6613</v>
      </c>
      <c r="O2453">
        <v>4.28</v>
      </c>
      <c r="P2453">
        <v>15000</v>
      </c>
      <c r="Q2453" t="inlineStr">
        <is>
          <t>693a7137838dce000169e9ac</t>
        </is>
      </c>
      <c r="R2453"/>
      <c r="S2453" t="inlineStr">
        <is>
          <t>设计素材</t>
        </is>
      </c>
      <c r="T2453" t="inlineStr">
        <is>
          <t>0.31</t>
        </is>
      </c>
      <c r="U2453" s="3">
        <v>46112.78107638889</v>
      </c>
      <c r="V2453"/>
      <c r="W2453" s="3">
        <v>46101</v>
      </c>
      <c r="X2453" t="inlineStr">
        <is>
          <t>03</t>
        </is>
      </c>
      <c r="Y2453" t="inlineStr">
        <is>
          <t>2026-Q1</t>
        </is>
      </c>
    </row>
    <row r="2454" ht="38.25" customHeight="1">
      <c r="A2454" t="inlineStr">
        <is>
          <t>【笔记同款】2026英语四六级高频词·四六级1500核心词电子版pdf</t>
        </is>
      </c>
      <c r="B2454" t="inlineStr">
        <is>
          <t>recven67lIRqeI.jpg</t>
        </is>
      </c>
      <c r="C2454" s="2" t="str">
        <f>=HYPERLINK("https://xhslink.com/m/AeNaFh7MD3O", "https://xhslink.com/m/AeNaFh7MD3O")</f>
        <v>https://xhslink.com/m/AeNaFh7MD3O</v>
      </c>
      <c r="D2454"/>
      <c r="E2454">
        <v>6604</v>
      </c>
      <c r="F2454">
        <v>16.99</v>
      </c>
      <c r="G2454"/>
      <c r="H2454">
        <v>100</v>
      </c>
      <c r="I2454"/>
      <c r="J2454"/>
      <c r="K2454" t="inlineStr">
        <is>
          <t>四级考试</t>
        </is>
      </c>
      <c r="L2454" t="inlineStr">
        <is>
          <t>🔥低粉爆款</t>
        </is>
      </c>
      <c r="M2454" t="inlineStr">
        <is>
          <t>彩虹学姐的店</t>
        </is>
      </c>
      <c r="N2454">
        <v>669</v>
      </c>
      <c r="O2454">
        <v>4.14</v>
      </c>
      <c r="P2454">
        <v>7365</v>
      </c>
      <c r="Q2454" t="inlineStr">
        <is>
          <t>6882fa569e8374000113855f</t>
        </is>
      </c>
      <c r="R2454" t="inlineStr">
        <is>
          <t>🚫重复</t>
        </is>
      </c>
      <c r="S2454" t="inlineStr">
        <is>
          <t>英语资料</t>
        </is>
      </c>
      <c r="T2454" t="inlineStr">
        <is>
          <t>9.87</t>
        </is>
      </c>
      <c r="U2454" s="3">
        <v>46112.78107638889</v>
      </c>
      <c r="V2454"/>
      <c r="W2454" s="3">
        <v>46101</v>
      </c>
      <c r="X2454" t="inlineStr">
        <is>
          <t>03</t>
        </is>
      </c>
      <c r="Y2454" t="inlineStr">
        <is>
          <t>2026-Q1</t>
        </is>
      </c>
    </row>
    <row r="2455" ht="38.25" customHeight="1">
      <c r="A2455" t="inlineStr">
        <is>
          <t>高中英语688高频词汇35篇爽文记忆法丨英汉互译默写丨mp3音频</t>
        </is>
      </c>
      <c r="B2455" t="inlineStr">
        <is>
          <t>recven67lI2sKN.jpg</t>
        </is>
      </c>
      <c r="C2455" s="2" t="str">
        <f>=HYPERLINK("https://xhslink.com/m/ATFl1dSjjcq", "https://xhslink.com/m/ATFl1dSjjcq")</f>
        <v>https://xhslink.com/m/ATFl1dSjjcq</v>
      </c>
      <c r="D2455"/>
      <c r="E2455">
        <v>1640</v>
      </c>
      <c r="F2455">
        <v>9.99</v>
      </c>
      <c r="G2455"/>
      <c r="H2455">
        <v>150</v>
      </c>
      <c r="I2455"/>
      <c r="J2455"/>
      <c r="K2455" t="inlineStr">
        <is>
          <t>高中英语</t>
        </is>
      </c>
      <c r="L2455"/>
      <c r="M2455" t="inlineStr">
        <is>
          <t>奈奈学姐的学习百宝箱的店</t>
        </is>
      </c>
      <c r="N2455">
        <v>15000</v>
      </c>
      <c r="O2455">
        <v>4.62</v>
      </c>
      <c r="P2455">
        <v>11000</v>
      </c>
      <c r="Q2455" t="inlineStr">
        <is>
          <t>689091a402d7b00001357af1</t>
        </is>
      </c>
      <c r="R2455" t="inlineStr">
        <is>
          <t>🚫重复</t>
        </is>
      </c>
      <c r="S2455" t="inlineStr">
        <is>
          <t>高中/高考资料</t>
        </is>
      </c>
      <c r="T2455" t="inlineStr">
        <is>
          <t>0.11</t>
        </is>
      </c>
      <c r="U2455" s="3">
        <v>46112.78107638889</v>
      </c>
      <c r="V2455"/>
      <c r="W2455" s="3">
        <v>46101</v>
      </c>
      <c r="X2455" t="inlineStr">
        <is>
          <t>03</t>
        </is>
      </c>
      <c r="Y2455" t="inlineStr">
        <is>
          <t>2026-Q1</t>
        </is>
      </c>
    </row>
    <row r="2456" ht="38.25" customHeight="1">
      <c r="A2456" t="inlineStr">
        <is>
          <t>26届高考英语1月各题型专项练习合集（PDF+WORD版）含答案解析</t>
        </is>
      </c>
      <c r="B2456" t="inlineStr">
        <is>
          <t>recven67lIAKeo.jpg</t>
        </is>
      </c>
      <c r="C2456" s="2" t="str">
        <f>=HYPERLINK("https://xhslink.com/m/4tQk4c5TvJA", "https://xhslink.com/m/4tQk4c5TvJA")</f>
        <v>https://xhslink.com/m/4tQk4c5TvJA</v>
      </c>
      <c r="D2456"/>
      <c r="E2456">
        <v>1478</v>
      </c>
      <c r="F2456">
        <v>39.9</v>
      </c>
      <c r="G2456"/>
      <c r="H2456">
        <v>550</v>
      </c>
      <c r="I2456"/>
      <c r="J2456"/>
      <c r="K2456" t="inlineStr">
        <is>
          <t>高中英语</t>
        </is>
      </c>
      <c r="L2456"/>
      <c r="M2456" t="inlineStr">
        <is>
          <t>高中英语加工厂的店</t>
        </is>
      </c>
      <c r="N2456">
        <v>5450</v>
      </c>
      <c r="O2456">
        <v>4.44</v>
      </c>
      <c r="P2456">
        <v>5796</v>
      </c>
      <c r="Q2456" t="inlineStr">
        <is>
          <t>699f20c636330e0001ae2e1c</t>
        </is>
      </c>
      <c r="R2456" t="inlineStr">
        <is>
          <t>🚫重复</t>
        </is>
      </c>
      <c r="S2456" t="inlineStr">
        <is>
          <t>高中/高考资料</t>
        </is>
      </c>
      <c r="T2456" t="inlineStr">
        <is>
          <t>0.27</t>
        </is>
      </c>
      <c r="U2456" s="3">
        <v>46112.78107638889</v>
      </c>
      <c r="V2456"/>
      <c r="W2456" s="3">
        <v>46101</v>
      </c>
      <c r="X2456" t="inlineStr">
        <is>
          <t>03</t>
        </is>
      </c>
      <c r="Y2456" t="inlineStr">
        <is>
          <t>2026-Q1</t>
        </is>
      </c>
    </row>
    <row r="2457" ht="38.25" customHeight="1">
      <c r="A2457" t="inlineStr">
        <is>
          <t>天星教育 · 【高考一模精选卷】26版金考卷特快专递第1-6期特刊高三估分攻略</t>
        </is>
      </c>
      <c r="B2457" t="inlineStr">
        <is>
          <t>recven67lIu7Pd.jpg</t>
        </is>
      </c>
      <c r="C2457" s="2" t="str">
        <f>=HYPERLINK("https://xhslink.com/m/8hH0kJkDQrx", "https://xhslink.com/m/8hH0kJkDQrx")</f>
        <v>https://xhslink.com/m/8hH0kJkDQrx</v>
      </c>
      <c r="D2457"/>
      <c r="E2457">
        <v>15000</v>
      </c>
      <c r="F2457">
        <v>13.8</v>
      </c>
      <c r="G2457"/>
      <c r="H2457">
        <v>550</v>
      </c>
      <c r="I2457"/>
      <c r="J2457"/>
      <c r="K2457" t="inlineStr">
        <is>
          <t>高中英语</t>
        </is>
      </c>
      <c r="L2457"/>
      <c r="M2457" t="inlineStr">
        <is>
          <t>天星教育旗舰店</t>
        </is>
      </c>
      <c r="N2457">
        <v>229000</v>
      </c>
      <c r="O2457">
        <v>4.8</v>
      </c>
      <c r="P2457">
        <v>147000</v>
      </c>
      <c r="Q2457" t="inlineStr">
        <is>
          <t>691eb897ce3eb5000179ec63</t>
        </is>
      </c>
      <c r="R2457" t="inlineStr">
        <is>
          <t>🚫重复</t>
        </is>
      </c>
      <c r="S2457" t="inlineStr">
        <is>
          <t>高中/高考资料</t>
        </is>
      </c>
      <c r="T2457" t="inlineStr">
        <is>
          <t>0.07</t>
        </is>
      </c>
      <c r="U2457" s="3">
        <v>46112.78107638889</v>
      </c>
      <c r="V2457"/>
      <c r="W2457" s="3">
        <v>46101</v>
      </c>
      <c r="X2457" t="inlineStr">
        <is>
          <t>03</t>
        </is>
      </c>
      <c r="Y2457" t="inlineStr">
        <is>
          <t>2026-Q1</t>
        </is>
      </c>
    </row>
    <row r="2458" ht="38.25" customHeight="1">
      <c r="A2458" t="inlineStr">
        <is>
          <t>2025高考高三总复习一轮二轮语文数学英语物理化生政治史地电子版</t>
        </is>
      </c>
      <c r="B2458" t="inlineStr">
        <is>
          <t>recven67lILCmA.jpg</t>
        </is>
      </c>
      <c r="C2458" s="2" t="str">
        <f>=HYPERLINK("https://xhslink.com/m/maFHnLXrL6", "https://xhslink.com/m/maFHnLXrL6")</f>
        <v>https://xhslink.com/m/maFHnLXrL6</v>
      </c>
      <c r="D2458"/>
      <c r="E2458">
        <v>9756</v>
      </c>
      <c r="F2458">
        <v>9.9</v>
      </c>
      <c r="G2458"/>
      <c r="H2458">
        <v>400</v>
      </c>
      <c r="I2458"/>
      <c r="J2458"/>
      <c r="K2458" t="inlineStr">
        <is>
          <t>高中英语</t>
        </is>
      </c>
      <c r="L2458"/>
      <c r="M2458" t="inlineStr">
        <is>
          <t>高分资料库的店</t>
        </is>
      </c>
      <c r="N2458">
        <v>8881</v>
      </c>
      <c r="O2458">
        <v>4.43</v>
      </c>
      <c r="P2458">
        <v>31000</v>
      </c>
      <c r="Q2458" t="inlineStr">
        <is>
          <t>672ef2254c39cc00012363e5</t>
        </is>
      </c>
      <c r="R2458" t="inlineStr">
        <is>
          <t>🚫重复</t>
        </is>
      </c>
      <c r="S2458" t="inlineStr">
        <is>
          <t>高中/高考资料</t>
        </is>
      </c>
      <c r="T2458" t="inlineStr">
        <is>
          <t>1.10</t>
        </is>
      </c>
      <c r="U2458" s="3">
        <v>46112.78107638889</v>
      </c>
      <c r="V2458"/>
      <c r="W2458" s="3">
        <v>46101</v>
      </c>
      <c r="X2458" t="inlineStr">
        <is>
          <t>03</t>
        </is>
      </c>
      <c r="Y2458" t="inlineStr">
        <is>
          <t>2026-Q1</t>
        </is>
      </c>
    </row>
    <row r="2459" ht="38.25" customHeight="1">
      <c r="A2459" t="inlineStr">
        <is>
          <t>人教版高中英语必修1-选修4 全7册书单词表汇总 无水印（PDF版）</t>
        </is>
      </c>
      <c r="B2459" t="inlineStr">
        <is>
          <t>recven67lIMVQc.jpg</t>
        </is>
      </c>
      <c r="C2459" s="2" t="str">
        <f>=HYPERLINK("https://xhslink.com/m/5sx4g1yEVCG", "https://xhslink.com/m/5sx4g1yEVCG")</f>
        <v>https://xhslink.com/m/5sx4g1yEVCG</v>
      </c>
      <c r="D2459"/>
      <c r="E2459">
        <v>1210</v>
      </c>
      <c r="F2459">
        <v>2.6</v>
      </c>
      <c r="G2459"/>
      <c r="H2459">
        <v>100</v>
      </c>
      <c r="I2459"/>
      <c r="J2459"/>
      <c r="K2459" t="inlineStr">
        <is>
          <t>高中英语</t>
        </is>
      </c>
      <c r="L2459"/>
      <c r="M2459" t="inlineStr">
        <is>
          <t>元宝团子呀的店</t>
        </is>
      </c>
      <c r="N2459">
        <v>1510</v>
      </c>
      <c r="O2459">
        <v>4.4</v>
      </c>
      <c r="P2459">
        <v>11000</v>
      </c>
      <c r="Q2459" t="inlineStr">
        <is>
          <t>67d1ab55d9b11700011586d0</t>
        </is>
      </c>
      <c r="R2459" t="inlineStr">
        <is>
          <t>🚫重复</t>
        </is>
      </c>
      <c r="S2459" t="inlineStr">
        <is>
          <t>高中/高考资料</t>
        </is>
      </c>
      <c r="T2459" t="inlineStr">
        <is>
          <t>0.80</t>
        </is>
      </c>
      <c r="U2459" s="3">
        <v>46112.78107638889</v>
      </c>
      <c r="V2459"/>
      <c r="W2459" s="3">
        <v>46101</v>
      </c>
      <c r="X2459" t="inlineStr">
        <is>
          <t>03</t>
        </is>
      </c>
      <c r="Y2459" t="inlineStr">
        <is>
          <t>2026-Q1</t>
        </is>
      </c>
    </row>
    <row r="2460" ht="38.25" customHeight="1">
      <c r="A2460" t="inlineStr">
        <is>
          <t>初中/高中教资笔试科目三历年真题试题</t>
        </is>
      </c>
      <c r="B2460" t="inlineStr">
        <is>
          <t>recven67lIsF0z.jpg</t>
        </is>
      </c>
      <c r="C2460" s="2" t="str">
        <f>=HYPERLINK("https://xhslink.com/m/6e9oVriXXmE", "https://xhslink.com/m/6e9oVriXXmE")</f>
        <v>https://xhslink.com/m/6e9oVriXXmE</v>
      </c>
      <c r="D2460"/>
      <c r="E2460">
        <v>4633</v>
      </c>
      <c r="F2460">
        <v>3.8</v>
      </c>
      <c r="G2460"/>
      <c r="H2460">
        <v>100</v>
      </c>
      <c r="I2460"/>
      <c r="J2460"/>
      <c r="K2460" t="inlineStr">
        <is>
          <t>高中英语</t>
        </is>
      </c>
      <c r="L2460" t="inlineStr">
        <is>
          <t>🔥低粉爆款</t>
        </is>
      </c>
      <c r="M2460" t="inlineStr">
        <is>
          <t>过过考试资料库的店</t>
        </is>
      </c>
      <c r="N2460">
        <v>1214</v>
      </c>
      <c r="O2460">
        <v>4.42</v>
      </c>
      <c r="P2460">
        <v>7076</v>
      </c>
      <c r="Q2460" t="inlineStr">
        <is>
          <t>6655ab36b4ff490001f45bee</t>
        </is>
      </c>
      <c r="R2460" t="inlineStr">
        <is>
          <t>🚫重复</t>
        </is>
      </c>
      <c r="S2460" t="inlineStr">
        <is>
          <t>教资资料</t>
        </is>
      </c>
      <c r="T2460" t="inlineStr">
        <is>
          <t>3.82</t>
        </is>
      </c>
      <c r="U2460" s="3">
        <v>46112.78107638889</v>
      </c>
      <c r="V2460"/>
      <c r="W2460" s="3">
        <v>46101</v>
      </c>
      <c r="X2460" t="inlineStr">
        <is>
          <t>03</t>
        </is>
      </c>
      <c r="Y2460" t="inlineStr">
        <is>
          <t>2026-Q1</t>
        </is>
      </c>
    </row>
    <row r="2461" ht="38.25" customHeight="1">
      <c r="A2461" t="inlineStr">
        <is>
          <t>华理社 · 【现货】初中+高中英语时文阅读提分训练3+X 小升初 789年级 中考</t>
        </is>
      </c>
      <c r="B2461" t="inlineStr">
        <is>
          <t>recven67lIK1M3.jpg</t>
        </is>
      </c>
      <c r="C2461" s="2" t="str">
        <f>=HYPERLINK("https://xhslink.com/m/7cpFcaU44Y7", "https://xhslink.com/m/7cpFcaU44Y7")</f>
        <v>https://xhslink.com/m/7cpFcaU44Y7</v>
      </c>
      <c r="D2461"/>
      <c r="E2461">
        <v>7383</v>
      </c>
      <c r="F2461">
        <v>39</v>
      </c>
      <c r="G2461"/>
      <c r="H2461">
        <v>250</v>
      </c>
      <c r="I2461"/>
      <c r="J2461"/>
      <c r="K2461" t="inlineStr">
        <is>
          <t>高中英语</t>
        </is>
      </c>
      <c r="L2461"/>
      <c r="M2461" t="inlineStr">
        <is>
          <t>华理社旗舰店</t>
        </is>
      </c>
      <c r="N2461">
        <v>15000</v>
      </c>
      <c r="O2461">
        <v>4.91</v>
      </c>
      <c r="P2461">
        <v>48000</v>
      </c>
      <c r="Q2461" t="inlineStr">
        <is>
          <t>6912ea3d571d66000160568e</t>
        </is>
      </c>
      <c r="R2461" t="inlineStr">
        <is>
          <t>🚫重复</t>
        </is>
      </c>
      <c r="S2461" t="inlineStr">
        <is>
          <t>中小学教辅/教材</t>
        </is>
      </c>
      <c r="T2461" t="inlineStr">
        <is>
          <t>0.49</t>
        </is>
      </c>
      <c r="U2461" s="3">
        <v>46112.78107638889</v>
      </c>
      <c r="V2461"/>
      <c r="W2461" s="3">
        <v>46101</v>
      </c>
      <c r="X2461" t="inlineStr">
        <is>
          <t>03</t>
        </is>
      </c>
      <c r="Y2461" t="inlineStr">
        <is>
          <t>2026-Q1</t>
        </is>
      </c>
    </row>
    <row r="2462" ht="38.25" customHeight="1">
      <c r="A2462" t="inlineStr">
        <is>
          <t>高考1990-2025高考历年全国卷+地方卷（九科）</t>
        </is>
      </c>
      <c r="B2462" t="inlineStr">
        <is>
          <t>recven67lI9qhc.jpg</t>
        </is>
      </c>
      <c r="C2462" s="2" t="str">
        <f>=HYPERLINK("https://xhslink.com/m/4wD2uLANhXg", "https://xhslink.com/m/4wD2uLANhXg")</f>
        <v>https://xhslink.com/m/4wD2uLANhXg</v>
      </c>
      <c r="D2462"/>
      <c r="E2462">
        <v>4835</v>
      </c>
      <c r="F2462">
        <v>3.9</v>
      </c>
      <c r="G2462"/>
      <c r="H2462">
        <v>750</v>
      </c>
      <c r="I2462">
        <v>1000</v>
      </c>
      <c r="J2462"/>
      <c r="K2462" t="inlineStr">
        <is>
          <t>高中英语</t>
        </is>
      </c>
      <c r="L2462" t="inlineStr">
        <is>
          <t>🔥低粉爆款</t>
        </is>
      </c>
      <c r="M2462" t="inlineStr">
        <is>
          <t>于老师的资料库的店</t>
        </is>
      </c>
      <c r="N2462">
        <v>1018</v>
      </c>
      <c r="O2462">
        <v>4.41</v>
      </c>
      <c r="P2462">
        <v>6423</v>
      </c>
      <c r="Q2462" t="inlineStr">
        <is>
          <t>682aebcdbeab0300016b4160</t>
        </is>
      </c>
      <c r="R2462"/>
      <c r="S2462" t="inlineStr">
        <is>
          <t>高中/高考资料</t>
        </is>
      </c>
      <c r="T2462" t="inlineStr">
        <is>
          <t>4.75</t>
        </is>
      </c>
      <c r="U2462" s="3">
        <v>46112.78107638889</v>
      </c>
      <c r="V2462"/>
      <c r="W2462" s="3">
        <v>46101</v>
      </c>
      <c r="X2462" t="inlineStr">
        <is>
          <t>03</t>
        </is>
      </c>
      <c r="Y2462" t="inlineStr">
        <is>
          <t>2026-Q1</t>
        </is>
      </c>
    </row>
    <row r="2463" ht="38.25" customHeight="1">
      <c r="A2463" t="inlineStr">
        <is>
          <t>26届高考英语12月各题型专项练习合集（PDF+WORD版）含答案解析</t>
        </is>
      </c>
      <c r="B2463" t="inlineStr">
        <is>
          <t>recven67lI3Iun.jpg</t>
        </is>
      </c>
      <c r="C2463" s="2" t="str">
        <f>=HYPERLINK("https://xhslink.com/m/6LgtmGVKyXV", "https://xhslink.com/m/6LgtmGVKyXV")</f>
        <v>https://xhslink.com/m/6LgtmGVKyXV</v>
      </c>
      <c r="D2463"/>
      <c r="E2463">
        <v>2427</v>
      </c>
      <c r="F2463">
        <v>3.6</v>
      </c>
      <c r="G2463"/>
      <c r="H2463">
        <v>1000</v>
      </c>
      <c r="I2463">
        <v>1000</v>
      </c>
      <c r="J2463"/>
      <c r="K2463" t="inlineStr">
        <is>
          <t>高中英语</t>
        </is>
      </c>
      <c r="L2463"/>
      <c r="M2463" t="inlineStr">
        <is>
          <t>高中英语加工厂的店</t>
        </is>
      </c>
      <c r="N2463">
        <v>5450</v>
      </c>
      <c r="O2463">
        <v>4.44</v>
      </c>
      <c r="P2463">
        <v>5796</v>
      </c>
      <c r="Q2463" t="inlineStr">
        <is>
          <t>695a861aa35123000137a305</t>
        </is>
      </c>
      <c r="R2463" t="inlineStr">
        <is>
          <t>🚫重复</t>
        </is>
      </c>
      <c r="S2463" t="inlineStr">
        <is>
          <t>高中/高考资料</t>
        </is>
      </c>
      <c r="T2463" t="inlineStr">
        <is>
          <t>0.45</t>
        </is>
      </c>
      <c r="U2463" s="3">
        <v>46112.78107638889</v>
      </c>
      <c r="V2463"/>
      <c r="W2463" s="3">
        <v>46101</v>
      </c>
      <c r="X2463" t="inlineStr">
        <is>
          <t>03</t>
        </is>
      </c>
      <c r="Y2463" t="inlineStr">
        <is>
          <t>2026-Q1</t>
        </is>
      </c>
    </row>
    <row r="2464" ht="38.25" customHeight="1">
      <c r="A2464" t="inlineStr">
        <is>
          <t>2026年高考总复习资料电子版 高三 新高考复习 一轮二轮讲义课件</t>
        </is>
      </c>
      <c r="B2464" t="inlineStr">
        <is>
          <t>recven67lIIOmC.jpg</t>
        </is>
      </c>
      <c r="C2464" s="2" t="str">
        <f>=HYPERLINK("https://xhslink.com/m/7zBgpHffook", "https://xhslink.com/m/7zBgpHffook")</f>
        <v>https://xhslink.com/m/7zBgpHffook</v>
      </c>
      <c r="D2464"/>
      <c r="E2464">
        <v>532</v>
      </c>
      <c r="F2464">
        <v>4.9</v>
      </c>
      <c r="G2464"/>
      <c r="H2464">
        <v>150</v>
      </c>
      <c r="I2464"/>
      <c r="J2464"/>
      <c r="K2464" t="inlineStr">
        <is>
          <t>高中英语</t>
        </is>
      </c>
      <c r="L2464"/>
      <c r="M2464" t="inlineStr">
        <is>
          <t>知识资料库的店</t>
        </is>
      </c>
      <c r="N2464">
        <v>299</v>
      </c>
      <c r="O2464">
        <v>4.21</v>
      </c>
      <c r="P2464">
        <v>1729</v>
      </c>
      <c r="Q2464" t="inlineStr">
        <is>
          <t>689ecef866d44d0001f5a6c8</t>
        </is>
      </c>
      <c r="R2464"/>
      <c r="S2464" t="inlineStr">
        <is>
          <t>高中/高考资料</t>
        </is>
      </c>
      <c r="T2464" t="inlineStr">
        <is>
          <t>1.78</t>
        </is>
      </c>
      <c r="U2464" s="3">
        <v>46112.78107638889</v>
      </c>
      <c r="V2464"/>
      <c r="W2464" s="3">
        <v>46101</v>
      </c>
      <c r="X2464" t="inlineStr">
        <is>
          <t>03</t>
        </is>
      </c>
      <c r="Y2464" t="inlineStr">
        <is>
          <t>2026-Q1</t>
        </is>
      </c>
    </row>
    <row r="2465" ht="38.25" customHeight="1">
      <c r="A2465" t="inlineStr">
        <is>
          <t>二十一世纪学生英文报时文精读 小学初中px 英语晨读美文小学 ys</t>
        </is>
      </c>
      <c r="B2465" t="inlineStr">
        <is>
          <t>recven67lIFFQG.jpg</t>
        </is>
      </c>
      <c r="C2465" s="2" t="str">
        <f>=HYPERLINK("https://xhslink.com/m/8BjPY6HmjVU", "https://xhslink.com/m/8BjPY6HmjVU")</f>
        <v>https://xhslink.com/m/8BjPY6HmjVU</v>
      </c>
      <c r="D2465"/>
      <c r="E2465">
        <v>1408</v>
      </c>
      <c r="F2465">
        <v>26.8</v>
      </c>
      <c r="G2465"/>
      <c r="H2465">
        <v>100</v>
      </c>
      <c r="I2465"/>
      <c r="J2465"/>
      <c r="K2465" t="inlineStr">
        <is>
          <t>初中英语</t>
        </is>
      </c>
      <c r="L2465"/>
      <c r="M2465" t="inlineStr">
        <is>
          <t>陪读诺诺妈的店</t>
        </is>
      </c>
      <c r="N2465">
        <v>1892</v>
      </c>
      <c r="O2465">
        <v>4.24</v>
      </c>
      <c r="P2465">
        <v>11000</v>
      </c>
      <c r="Q2465" t="inlineStr">
        <is>
          <t>69aa6aa0befcbd0001aba666</t>
        </is>
      </c>
      <c r="R2465" t="inlineStr">
        <is>
          <t>🚫重复</t>
        </is>
      </c>
      <c r="S2465" t="inlineStr">
        <is>
          <t>中小学教辅/教材</t>
        </is>
      </c>
      <c r="T2465" t="inlineStr">
        <is>
          <t>0.74</t>
        </is>
      </c>
      <c r="U2465" s="3">
        <v>46112.78107638889</v>
      </c>
      <c r="V2465"/>
      <c r="W2465" s="3">
        <v>46101</v>
      </c>
      <c r="X2465" t="inlineStr">
        <is>
          <t>03</t>
        </is>
      </c>
      <c r="Y2465" t="inlineStr">
        <is>
          <t>2026-Q1</t>
        </is>
      </c>
    </row>
    <row r="2466" ht="38.25" customHeight="1">
      <c r="A2466" t="inlineStr">
        <is>
          <t>2026新人教英语课件｜七上/七下/八上/八下｜单课时拍下请备注</t>
        </is>
      </c>
      <c r="B2466" t="inlineStr">
        <is>
          <t>recven67lIsOlM.jpg</t>
        </is>
      </c>
      <c r="C2466" s="2" t="str">
        <f>=HYPERLINK("https://xhslink.com/m/80EElyzwZzU", "https://xhslink.com/m/80EElyzwZzU")</f>
        <v>https://xhslink.com/m/80EElyzwZzU</v>
      </c>
      <c r="D2466"/>
      <c r="E2466">
        <v>8371</v>
      </c>
      <c r="F2466">
        <v>199</v>
      </c>
      <c r="G2466"/>
      <c r="H2466">
        <v>350</v>
      </c>
      <c r="I2466"/>
      <c r="J2466"/>
      <c r="K2466" t="inlineStr">
        <is>
          <t>初中英语</t>
        </is>
      </c>
      <c r="L2466"/>
      <c r="M2466" t="inlineStr">
        <is>
          <t>Christina在努力的店</t>
        </is>
      </c>
      <c r="N2466">
        <v>14000</v>
      </c>
      <c r="O2466">
        <v>4.43</v>
      </c>
      <c r="P2466">
        <v>27000</v>
      </c>
      <c r="Q2466" t="inlineStr">
        <is>
          <t>69523ef600d76200019f5cbc</t>
        </is>
      </c>
      <c r="R2466" t="inlineStr">
        <is>
          <t>🚫重复</t>
        </is>
      </c>
      <c r="S2466" t="inlineStr">
        <is>
          <t>中小学教辅/教材</t>
        </is>
      </c>
      <c r="T2466" t="inlineStr">
        <is>
          <t>0.60</t>
        </is>
      </c>
      <c r="U2466" s="3">
        <v>46112.78107638889</v>
      </c>
      <c r="V2466"/>
      <c r="W2466" s="3">
        <v>46101</v>
      </c>
      <c r="X2466" t="inlineStr">
        <is>
          <t>03</t>
        </is>
      </c>
      <c r="Y2466" t="inlineStr">
        <is>
          <t>2026-Q1</t>
        </is>
      </c>
    </row>
    <row r="2467" ht="38.25" customHeight="1">
      <c r="A2467" t="inlineStr">
        <is>
          <t>2026年全国中考初中语数英政史地生物化含答案解析</t>
        </is>
      </c>
      <c r="B2467" t="inlineStr">
        <is>
          <t>recven67lIhICI.jpg</t>
        </is>
      </c>
      <c r="C2467" s="2" t="str">
        <f>=HYPERLINK("https://xhslink.com/m/F7ReU16EQ1", "https://xhslink.com/m/F7ReU16EQ1")</f>
        <v>https://xhslink.com/m/F7ReU16EQ1</v>
      </c>
      <c r="D2467"/>
      <c r="E2467">
        <v>717</v>
      </c>
      <c r="F2467">
        <v>4.9</v>
      </c>
      <c r="G2467"/>
      <c r="H2467">
        <v>200</v>
      </c>
      <c r="I2467"/>
      <c r="J2467"/>
      <c r="K2467" t="inlineStr">
        <is>
          <t>初中英语</t>
        </is>
      </c>
      <c r="L2467"/>
      <c r="M2467" t="inlineStr">
        <is>
          <t>南希老师今天很nice的店</t>
        </is>
      </c>
      <c r="N2467">
        <v>1330</v>
      </c>
      <c r="O2467">
        <v>4.51</v>
      </c>
      <c r="P2467">
        <v>3345</v>
      </c>
      <c r="Q2467" t="inlineStr">
        <is>
          <t>6885e7bf4f80eb00018184a3</t>
        </is>
      </c>
      <c r="R2467"/>
      <c r="S2467" t="inlineStr">
        <is>
          <t>中小学教辅/教材</t>
        </is>
      </c>
      <c r="T2467" t="inlineStr">
        <is>
          <t>0.54</t>
        </is>
      </c>
      <c r="U2467" s="3">
        <v>46112.78107638889</v>
      </c>
      <c r="V2467"/>
      <c r="W2467" s="3">
        <v>46101</v>
      </c>
      <c r="X2467" t="inlineStr">
        <is>
          <t>03</t>
        </is>
      </c>
      <c r="Y2467" t="inlineStr">
        <is>
          <t>2026-Q1</t>
        </is>
      </c>
    </row>
    <row r="2468" ht="38.25" customHeight="1">
      <c r="A2468" t="inlineStr">
        <is>
          <t>初中英语语法小纸条，中考英语语法知识梳理电子版（pdf+word）</t>
        </is>
      </c>
      <c r="B2468" t="inlineStr">
        <is>
          <t>recven67lIQhDc.jpg</t>
        </is>
      </c>
      <c r="C2468" s="2" t="str">
        <f>=HYPERLINK("https://xhslink.com/m/5VUqOeJvaO6", "https://xhslink.com/m/5VUqOeJvaO6")</f>
        <v>https://xhslink.com/m/5VUqOeJvaO6</v>
      </c>
      <c r="D2468"/>
      <c r="E2468">
        <v>8467</v>
      </c>
      <c r="F2468">
        <v>8.8</v>
      </c>
      <c r="G2468"/>
      <c r="H2468">
        <v>1000</v>
      </c>
      <c r="I2468"/>
      <c r="J2468"/>
      <c r="K2468" t="inlineStr">
        <is>
          <t>初中英语</t>
        </is>
      </c>
      <c r="L2468"/>
      <c r="M2468" t="inlineStr">
        <is>
          <t>学界小筑的店</t>
        </is>
      </c>
      <c r="N2468">
        <v>3320</v>
      </c>
      <c r="O2468">
        <v>4.55</v>
      </c>
      <c r="P2468">
        <v>17000</v>
      </c>
      <c r="Q2468" t="inlineStr">
        <is>
          <t>67eceeb91e01cb0001ee0ceb</t>
        </is>
      </c>
      <c r="R2468" t="inlineStr">
        <is>
          <t>🚫重复</t>
        </is>
      </c>
      <c r="S2468" t="inlineStr">
        <is>
          <t>中小学教辅/教材</t>
        </is>
      </c>
      <c r="T2468" t="inlineStr">
        <is>
          <t>2.55</t>
        </is>
      </c>
      <c r="U2468" s="3">
        <v>46112.78107638889</v>
      </c>
      <c r="V2468"/>
      <c r="W2468" s="3">
        <v>46101</v>
      </c>
      <c r="X2468" t="inlineStr">
        <is>
          <t>03</t>
        </is>
      </c>
      <c r="Y2468" t="inlineStr">
        <is>
          <t>2026-Q1</t>
        </is>
      </c>
    </row>
    <row r="2469" ht="38.25" customHeight="1">
      <c r="A2469" t="inlineStr">
        <is>
          <t>2026新人教版初中英语七八九年级上下册PPT课件教案学案教学设计</t>
        </is>
      </c>
      <c r="B2469" t="inlineStr">
        <is>
          <t>recven67lIGyB3.jpg</t>
        </is>
      </c>
      <c r="C2469" s="2" t="str">
        <f>=HYPERLINK("https://xhslink.com/m/9ByvLzzhgLw", "https://xhslink.com/m/9ByvLzzhgLw")</f>
        <v>https://xhslink.com/m/9ByvLzzhgLw</v>
      </c>
      <c r="D2469"/>
      <c r="E2469">
        <v>3944</v>
      </c>
      <c r="F2469">
        <v>18.8</v>
      </c>
      <c r="G2469"/>
      <c r="H2469">
        <v>150</v>
      </c>
      <c r="I2469"/>
      <c r="J2469"/>
      <c r="K2469" t="inlineStr">
        <is>
          <t>初中英语</t>
        </is>
      </c>
      <c r="L2469"/>
      <c r="M2469" t="inlineStr">
        <is>
          <t>张老师智慧屋的店</t>
        </is>
      </c>
      <c r="N2469">
        <v>4121</v>
      </c>
      <c r="O2469">
        <v>4.28</v>
      </c>
      <c r="P2469">
        <v>10000</v>
      </c>
      <c r="Q2469" t="inlineStr">
        <is>
          <t>682c12db7d841b00018b9e18</t>
        </is>
      </c>
      <c r="R2469" t="inlineStr">
        <is>
          <t>🚫重复</t>
        </is>
      </c>
      <c r="S2469" t="inlineStr">
        <is>
          <t>中小学教辅/教材</t>
        </is>
      </c>
      <c r="T2469" t="inlineStr">
        <is>
          <t>0.96</t>
        </is>
      </c>
      <c r="U2469" s="3">
        <v>46112.78107638889</v>
      </c>
      <c r="V2469"/>
      <c r="W2469" s="3">
        <v>46101</v>
      </c>
      <c r="X2469" t="inlineStr">
        <is>
          <t>03</t>
        </is>
      </c>
      <c r="Y2469" t="inlineStr">
        <is>
          <t>2026-Q1</t>
        </is>
      </c>
    </row>
    <row r="2470" ht="38.25" customHeight="1">
      <c r="A2470" t="inlineStr">
        <is>
          <t>初中英语核心688词汇21篇爽文记忆法+688词汇表+英汉默写+mp3音频</t>
        </is>
      </c>
      <c r="B2470" t="inlineStr">
        <is>
          <t>recven67lIt0B7.jpg</t>
        </is>
      </c>
      <c r="C2470" s="2" t="str">
        <f>=HYPERLINK("https://xhslink.com/m/A6GXegFcVHJ", "https://xhslink.com/m/A6GXegFcVHJ")</f>
        <v>https://xhslink.com/m/A6GXegFcVHJ</v>
      </c>
      <c r="D2470"/>
      <c r="E2470">
        <v>1132</v>
      </c>
      <c r="F2470">
        <v>9.99</v>
      </c>
      <c r="G2470"/>
      <c r="H2470">
        <v>100</v>
      </c>
      <c r="I2470"/>
      <c r="J2470"/>
      <c r="K2470" t="inlineStr">
        <is>
          <t>初中英语</t>
        </is>
      </c>
      <c r="L2470"/>
      <c r="M2470" t="inlineStr">
        <is>
          <t>奈奈学姐的学习百宝箱的店</t>
        </is>
      </c>
      <c r="N2470">
        <v>15000</v>
      </c>
      <c r="O2470">
        <v>4.62</v>
      </c>
      <c r="P2470">
        <v>11000</v>
      </c>
      <c r="Q2470" t="inlineStr">
        <is>
          <t>68fc710ac074c500012c82c9</t>
        </is>
      </c>
      <c r="R2470" t="inlineStr">
        <is>
          <t>🚫重复</t>
        </is>
      </c>
      <c r="S2470" t="inlineStr">
        <is>
          <t>中小学教辅/教材</t>
        </is>
      </c>
      <c r="T2470" t="inlineStr">
        <is>
          <t>0.08</t>
        </is>
      </c>
      <c r="U2470" s="3">
        <v>46112.78107638889</v>
      </c>
      <c r="V2470"/>
      <c r="W2470" s="3">
        <v>46101</v>
      </c>
      <c r="X2470" t="inlineStr">
        <is>
          <t>03</t>
        </is>
      </c>
      <c r="Y2470" t="inlineStr">
        <is>
          <t>2026-Q1</t>
        </is>
      </c>
    </row>
    <row r="2471" ht="38.25" customHeight="1">
      <c r="A2471" t="inlineStr">
        <is>
          <t>2026春季新人教版初中英语七八九年级上下册PPT课件教案音频练习</t>
        </is>
      </c>
      <c r="B2471" t="inlineStr">
        <is>
          <t>recven67lIgXVD.jpg</t>
        </is>
      </c>
      <c r="C2471" s="2" t="str">
        <f>=HYPERLINK("https://xhslink.com/m/23wDZSxesE5", "https://xhslink.com/m/23wDZSxesE5")</f>
        <v>https://xhslink.com/m/23wDZSxesE5</v>
      </c>
      <c r="D2471"/>
      <c r="E2471">
        <v>2988</v>
      </c>
      <c r="F2471">
        <v>9.9</v>
      </c>
      <c r="G2471"/>
      <c r="H2471">
        <v>150</v>
      </c>
      <c r="I2471"/>
      <c r="J2471"/>
      <c r="K2471" t="inlineStr">
        <is>
          <t>初中英语</t>
        </is>
      </c>
      <c r="L2471"/>
      <c r="M2471" t="inlineStr">
        <is>
          <t>爱学习的小红帽的店</t>
        </is>
      </c>
      <c r="N2471">
        <v>4481</v>
      </c>
      <c r="O2471">
        <v>4.59</v>
      </c>
      <c r="P2471">
        <v>24000</v>
      </c>
      <c r="Q2471" t="inlineStr">
        <is>
          <t>67bbf2b97198db000123d965</t>
        </is>
      </c>
      <c r="R2471" t="inlineStr">
        <is>
          <t>🚫重复</t>
        </is>
      </c>
      <c r="S2471" t="inlineStr">
        <is>
          <t>中小学教辅/教材</t>
        </is>
      </c>
      <c r="T2471" t="inlineStr">
        <is>
          <t>0.67</t>
        </is>
      </c>
      <c r="U2471" s="3">
        <v>46112.78107638889</v>
      </c>
      <c r="V2471"/>
      <c r="W2471" s="3">
        <v>46101</v>
      </c>
      <c r="X2471" t="inlineStr">
        <is>
          <t>03</t>
        </is>
      </c>
      <c r="Y2471" t="inlineStr">
        <is>
          <t>2026-Q1</t>
        </is>
      </c>
    </row>
    <row r="2472" ht="38.25" customHeight="1">
      <c r="A2472" t="inlineStr">
        <is>
          <t>2025年初三中考总复习语文数学英语一轮二轮专题专项训练电子版</t>
        </is>
      </c>
      <c r="B2472" t="inlineStr">
        <is>
          <t>recven67lIqZnl.jpg</t>
        </is>
      </c>
      <c r="C2472" s="2" t="str">
        <f>=HYPERLINK("https://xhslink.com/m/3ipA2sArOl0", "https://xhslink.com/m/3ipA2sArOl0")</f>
        <v>https://xhslink.com/m/3ipA2sArOl0</v>
      </c>
      <c r="D2472"/>
      <c r="E2472">
        <v>3407</v>
      </c>
      <c r="F2472">
        <v>9.9</v>
      </c>
      <c r="G2472"/>
      <c r="H2472">
        <v>200</v>
      </c>
      <c r="I2472"/>
      <c r="J2472"/>
      <c r="K2472" t="inlineStr">
        <is>
          <t>初中英语</t>
        </is>
      </c>
      <c r="L2472"/>
      <c r="M2472" t="inlineStr">
        <is>
          <t>赵老师的资料库的店</t>
        </is>
      </c>
      <c r="N2472">
        <v>15000</v>
      </c>
      <c r="O2472">
        <v>4.38</v>
      </c>
      <c r="P2472">
        <v>52000</v>
      </c>
      <c r="Q2472" t="inlineStr">
        <is>
          <t>677a10e8568edd0001ca0d21</t>
        </is>
      </c>
      <c r="R2472" t="inlineStr">
        <is>
          <t>🚫重复</t>
        </is>
      </c>
      <c r="S2472" t="inlineStr">
        <is>
          <t>中小学教辅/教材</t>
        </is>
      </c>
      <c r="T2472" t="inlineStr">
        <is>
          <t>0.23</t>
        </is>
      </c>
      <c r="U2472" s="3">
        <v>46112.78107638889</v>
      </c>
      <c r="V2472"/>
      <c r="W2472" s="3">
        <v>46101</v>
      </c>
      <c r="X2472" t="inlineStr">
        <is>
          <t>03</t>
        </is>
      </c>
      <c r="Y2472" t="inlineStr">
        <is>
          <t>2026-Q1</t>
        </is>
      </c>
    </row>
    <row r="2473" ht="38.25" customHeight="1">
      <c r="A2473" t="inlineStr">
        <is>
          <t>初中英语单词3500词词汇总结汇总速记高频词完整版电子版可打印</t>
        </is>
      </c>
      <c r="B2473" t="inlineStr">
        <is>
          <t>recven67lICE52.jpg</t>
        </is>
      </c>
      <c r="C2473" s="2" t="str">
        <f>=HYPERLINK("https://xhslink.com/m/4R4qgCDmLAH", "https://xhslink.com/m/4R4qgCDmLAH")</f>
        <v>https://xhslink.com/m/4R4qgCDmLAH</v>
      </c>
      <c r="D2473"/>
      <c r="E2473">
        <v>3694</v>
      </c>
      <c r="F2473">
        <v>2.9</v>
      </c>
      <c r="G2473"/>
      <c r="H2473">
        <v>600</v>
      </c>
      <c r="I2473"/>
      <c r="J2473"/>
      <c r="K2473" t="inlineStr">
        <is>
          <t>初中英语</t>
        </is>
      </c>
      <c r="L2473"/>
      <c r="M2473" t="inlineStr">
        <is>
          <t>阿星老师教初中的店</t>
        </is>
      </c>
      <c r="N2473">
        <v>1554</v>
      </c>
      <c r="O2473">
        <v>4.6</v>
      </c>
      <c r="P2473">
        <v>5137</v>
      </c>
      <c r="Q2473" t="inlineStr">
        <is>
          <t>6874789b8748d70001f197c7</t>
        </is>
      </c>
      <c r="R2473"/>
      <c r="S2473" t="inlineStr">
        <is>
          <t>中小学教辅/教材</t>
        </is>
      </c>
      <c r="T2473" t="inlineStr">
        <is>
          <t>2.38</t>
        </is>
      </c>
      <c r="U2473" s="3">
        <v>46112.78107638889</v>
      </c>
      <c r="V2473"/>
      <c r="W2473" s="3">
        <v>46101</v>
      </c>
      <c r="X2473" t="inlineStr">
        <is>
          <t>03</t>
        </is>
      </c>
      <c r="Y2473" t="inlineStr">
        <is>
          <t>2026-Q1</t>
        </is>
      </c>
    </row>
    <row r="2474" ht="38.25" customHeight="1">
      <c r="A2474" t="inlineStr">
        <is>
          <t>初三寒假 英语讲义 2026版</t>
        </is>
      </c>
      <c r="B2474" t="inlineStr">
        <is>
          <t>recven67lIALqB.jpg</t>
        </is>
      </c>
      <c r="C2474" s="2" t="str">
        <f>=HYPERLINK("https://xhslink.com/m/20JGv6BxhEg", "https://xhslink.com/m/20JGv6BxhEg")</f>
        <v>https://xhslink.com/m/20JGv6BxhEg</v>
      </c>
      <c r="D2474"/>
      <c r="E2474">
        <v>706</v>
      </c>
      <c r="F2474">
        <v>29.9</v>
      </c>
      <c r="G2474"/>
      <c r="H2474">
        <v>400</v>
      </c>
      <c r="I2474"/>
      <c r="J2474"/>
      <c r="K2474" t="inlineStr">
        <is>
          <t>初中英语</t>
        </is>
      </c>
      <c r="L2474"/>
      <c r="M2474" t="inlineStr">
        <is>
          <t>周末自编资料（英语）的店</t>
        </is>
      </c>
      <c r="N2474">
        <v>5044</v>
      </c>
      <c r="O2474">
        <v>3.97</v>
      </c>
      <c r="P2474">
        <v>6093</v>
      </c>
      <c r="Q2474" t="inlineStr">
        <is>
          <t>695ddc4aa3512300017f5174</t>
        </is>
      </c>
      <c r="R2474"/>
      <c r="S2474" t="inlineStr">
        <is>
          <t>中小学教辅/教材</t>
        </is>
      </c>
      <c r="T2474" t="inlineStr">
        <is>
          <t>0.14</t>
        </is>
      </c>
      <c r="U2474" s="3">
        <v>46112.78107638889</v>
      </c>
      <c r="V2474"/>
      <c r="W2474" s="3">
        <v>46101</v>
      </c>
      <c r="X2474" t="inlineStr">
        <is>
          <t>03</t>
        </is>
      </c>
      <c r="Y2474" t="inlineStr">
        <is>
          <t>2026-Q1</t>
        </is>
      </c>
    </row>
    <row r="2475" ht="38.25" customHeight="1">
      <c r="A2475" t="inlineStr">
        <is>
          <t>15天背完初中3500词分类实用小册子必背短语核心高频词</t>
        </is>
      </c>
      <c r="B2475" t="inlineStr">
        <is>
          <t>recven67lIvhtM.jpg</t>
        </is>
      </c>
      <c r="C2475" s="2" t="str">
        <f>=HYPERLINK("https://xhslink.com/m/2JCZUgfF0I5", "https://xhslink.com/m/2JCZUgfF0I5")</f>
        <v>https://xhslink.com/m/2JCZUgfF0I5</v>
      </c>
      <c r="D2475"/>
      <c r="E2475">
        <v>2738</v>
      </c>
      <c r="F2475">
        <v>3.99</v>
      </c>
      <c r="G2475"/>
      <c r="H2475">
        <v>300</v>
      </c>
      <c r="I2475"/>
      <c r="J2475"/>
      <c r="K2475" t="inlineStr">
        <is>
          <t>初中英语</t>
        </is>
      </c>
      <c r="L2475"/>
      <c r="M2475" t="inlineStr">
        <is>
          <t>红叶资料的店</t>
        </is>
      </c>
      <c r="N2475">
        <v>1405</v>
      </c>
      <c r="O2475">
        <v>4.39</v>
      </c>
      <c r="P2475">
        <v>5443</v>
      </c>
      <c r="Q2475" t="inlineStr">
        <is>
          <t>684d22f3e17b8a0001abe886</t>
        </is>
      </c>
      <c r="R2475" t="inlineStr">
        <is>
          <t>🚫重复</t>
        </is>
      </c>
      <c r="S2475" t="inlineStr">
        <is>
          <t>中小学教辅/教材</t>
        </is>
      </c>
      <c r="T2475" t="inlineStr">
        <is>
          <t>1.95</t>
        </is>
      </c>
      <c r="U2475" s="3">
        <v>46112.78107638889</v>
      </c>
      <c r="V2475"/>
      <c r="W2475" s="3">
        <v>46101</v>
      </c>
      <c r="X2475" t="inlineStr">
        <is>
          <t>03</t>
        </is>
      </c>
      <c r="Y2475" t="inlineStr">
        <is>
          <t>2026-Q1</t>
        </is>
      </c>
    </row>
    <row r="2476" ht="38.25" customHeight="1">
      <c r="A2476" t="inlineStr">
        <is>
          <t>2026初中语文数学英语物理化生物史地道法知识点总结电子版多版本</t>
        </is>
      </c>
      <c r="B2476" t="inlineStr">
        <is>
          <t>recven67lIJO7t.jpg</t>
        </is>
      </c>
      <c r="C2476" s="2" t="str">
        <f>=HYPERLINK("https://xhslink.com/m/3E5rBjXqVId", "https://xhslink.com/m/3E5rBjXqVId")</f>
        <v>https://xhslink.com/m/3E5rBjXqVId</v>
      </c>
      <c r="D2476"/>
      <c r="E2476">
        <v>26000</v>
      </c>
      <c r="F2476">
        <v>19.8</v>
      </c>
      <c r="G2476"/>
      <c r="H2476">
        <v>750</v>
      </c>
      <c r="I2476">
        <v>3000</v>
      </c>
      <c r="J2476"/>
      <c r="K2476" t="inlineStr">
        <is>
          <t>初中英语</t>
        </is>
      </c>
      <c r="L2476"/>
      <c r="M2476" t="inlineStr">
        <is>
          <t>赵老师的资料库的店</t>
        </is>
      </c>
      <c r="N2476">
        <v>15000</v>
      </c>
      <c r="O2476">
        <v>4.38</v>
      </c>
      <c r="P2476">
        <v>52000</v>
      </c>
      <c r="Q2476" t="inlineStr">
        <is>
          <t>672cd74310adb50001c571ba</t>
        </is>
      </c>
      <c r="R2476" t="inlineStr">
        <is>
          <t>🚫重复</t>
        </is>
      </c>
      <c r="S2476" t="inlineStr">
        <is>
          <t>中小学教辅/教材</t>
        </is>
      </c>
      <c r="T2476" t="inlineStr">
        <is>
          <t>1.73</t>
        </is>
      </c>
      <c r="U2476" s="3">
        <v>46112.78107638889</v>
      </c>
      <c r="V2476"/>
      <c r="W2476" s="3">
        <v>46101</v>
      </c>
      <c r="X2476" t="inlineStr">
        <is>
          <t>03</t>
        </is>
      </c>
      <c r="Y2476" t="inlineStr">
        <is>
          <t>2026-Q1</t>
        </is>
      </c>
    </row>
    <row r="2477" ht="38.25" customHeight="1">
      <c r="A2477" t="inlineStr">
        <is>
          <t>中考初中英语完形填空高频固定搭配课件（电子版）可打印</t>
        </is>
      </c>
      <c r="B2477" t="inlineStr">
        <is>
          <t>recven67lI7uhH.jpg</t>
        </is>
      </c>
      <c r="C2477" s="2" t="str">
        <f>=HYPERLINK("https://xhslink.com/m/wApvtJ9OEo", "https://xhslink.com/m/wApvtJ9OEo")</f>
        <v>https://xhslink.com/m/wApvtJ9OEo</v>
      </c>
      <c r="D2477"/>
      <c r="E2477">
        <v>1934</v>
      </c>
      <c r="F2477">
        <v>9.9</v>
      </c>
      <c r="G2477"/>
      <c r="H2477">
        <v>100</v>
      </c>
      <c r="I2477">
        <v>1000</v>
      </c>
      <c r="J2477"/>
      <c r="K2477" t="inlineStr">
        <is>
          <t>初中英语</t>
        </is>
      </c>
      <c r="L2477"/>
      <c r="M2477" t="inlineStr">
        <is>
          <t>米兰上岸村的店</t>
        </is>
      </c>
      <c r="N2477">
        <v>1595</v>
      </c>
      <c r="O2477">
        <v>4.43</v>
      </c>
      <c r="P2477">
        <v>17000</v>
      </c>
      <c r="Q2477" t="inlineStr">
        <is>
          <t>691d9123603b4e0001ca954a</t>
        </is>
      </c>
      <c r="R2477"/>
      <c r="S2477" t="inlineStr">
        <is>
          <t>中小学教辅/教材</t>
        </is>
      </c>
      <c r="T2477" t="inlineStr">
        <is>
          <t>1.21</t>
        </is>
      </c>
      <c r="U2477" s="3">
        <v>46112.78107638889</v>
      </c>
      <c r="V2477"/>
      <c r="W2477" s="3">
        <v>46101</v>
      </c>
      <c r="X2477" t="inlineStr">
        <is>
          <t>03</t>
        </is>
      </c>
      <c r="Y2477" t="inlineStr">
        <is>
          <t>2026-Q1</t>
        </is>
      </c>
    </row>
    <row r="2478" ht="38.25" customHeight="1">
      <c r="A2478" t="inlineStr">
        <is>
          <t>2026春七年级下册人教版英语知识点总结专项练习</t>
        </is>
      </c>
      <c r="B2478" t="inlineStr">
        <is>
          <t>recven67lIIDd9.jpg</t>
        </is>
      </c>
      <c r="C2478" s="2" t="str">
        <f>=HYPERLINK("https://xhslink.com/m/4IVzA4WSh1C", "https://xhslink.com/m/4IVzA4WSh1C")</f>
        <v>https://xhslink.com/m/4IVzA4WSh1C</v>
      </c>
      <c r="D2478"/>
      <c r="E2478">
        <v>677</v>
      </c>
      <c r="F2478">
        <v>15.8</v>
      </c>
      <c r="G2478"/>
      <c r="H2478">
        <v>200</v>
      </c>
      <c r="I2478"/>
      <c r="J2478"/>
      <c r="K2478" t="inlineStr">
        <is>
          <t>初中英语</t>
        </is>
      </c>
      <c r="L2478"/>
      <c r="M2478" t="inlineStr">
        <is>
          <t>李老师重点资料的店</t>
        </is>
      </c>
      <c r="N2478">
        <v>3025</v>
      </c>
      <c r="O2478">
        <v>4.46</v>
      </c>
      <c r="P2478">
        <v>19000</v>
      </c>
      <c r="Q2478" t="inlineStr">
        <is>
          <t>6964a492c429e20001a84811</t>
        </is>
      </c>
      <c r="R2478"/>
      <c r="S2478" t="inlineStr">
        <is>
          <t>中小学教辅/教材</t>
        </is>
      </c>
      <c r="T2478" t="inlineStr">
        <is>
          <t>0.22</t>
        </is>
      </c>
      <c r="U2478" s="3">
        <v>46112.78107638889</v>
      </c>
      <c r="V2478"/>
      <c r="W2478" s="3">
        <v>46101</v>
      </c>
      <c r="X2478" t="inlineStr">
        <is>
          <t>03</t>
        </is>
      </c>
      <c r="Y2478" t="inlineStr">
        <is>
          <t>2026-Q1</t>
        </is>
      </c>
    </row>
    <row r="2479" ht="38.25" customHeight="1">
      <c r="A2479" t="inlineStr">
        <is>
          <t>九年级初三英语2026年中考一轮复习讲义（电子版）</t>
        </is>
      </c>
      <c r="B2479" t="inlineStr">
        <is>
          <t>recven67lIjwDm.jpg</t>
        </is>
      </c>
      <c r="C2479" s="2" t="str">
        <f>=HYPERLINK("https://xhslink.com/m/75itPr6Gtyl", "https://xhslink.com/m/75itPr6Gtyl")</f>
        <v>https://xhslink.com/m/75itPr6Gtyl</v>
      </c>
      <c r="D2479"/>
      <c r="E2479">
        <v>388</v>
      </c>
      <c r="F2479">
        <v>69</v>
      </c>
      <c r="G2479"/>
      <c r="H2479">
        <v>150</v>
      </c>
      <c r="I2479"/>
      <c r="J2479"/>
      <c r="K2479" t="inlineStr">
        <is>
          <t>初中英语</t>
        </is>
      </c>
      <c r="L2479"/>
      <c r="M2479" t="inlineStr">
        <is>
          <t>在长沙教英语的杨老师的店</t>
        </is>
      </c>
      <c r="N2479">
        <v>1899</v>
      </c>
      <c r="O2479">
        <v>4.06</v>
      </c>
      <c r="P2479">
        <v>3989</v>
      </c>
      <c r="Q2479" t="inlineStr">
        <is>
          <t>6968e693d07ba00001e220eb</t>
        </is>
      </c>
      <c r="R2479"/>
      <c r="S2479" t="inlineStr">
        <is>
          <t>中小学教辅/教材</t>
        </is>
      </c>
      <c r="T2479" t="inlineStr">
        <is>
          <t>0.20</t>
        </is>
      </c>
      <c r="U2479" s="3">
        <v>46112.78107638889</v>
      </c>
      <c r="V2479"/>
      <c r="W2479" s="3">
        <v>46101</v>
      </c>
      <c r="X2479" t="inlineStr">
        <is>
          <t>03</t>
        </is>
      </c>
      <c r="Y2479" t="inlineStr">
        <is>
          <t>2026-Q1</t>
        </is>
      </c>
    </row>
    <row r="2480" ht="38.25" customHeight="1">
      <c r="A2480" t="inlineStr">
        <is>
          <t>粉笔省考终极模考，查行测排行，2r/次</t>
        </is>
      </c>
      <c r="B2480" t="inlineStr">
        <is>
          <t>recven67lIA2S8.jpg</t>
        </is>
      </c>
      <c r="C2480" s="2" t="str">
        <f>=HYPERLINK("https://xhslink.com/m/AC54V4avIv", "https://xhslink.com/m/AC54V4avIv")</f>
        <v>https://xhslink.com/m/AC54V4avIv</v>
      </c>
      <c r="D2480"/>
      <c r="E2480">
        <v>1158</v>
      </c>
      <c r="F2480">
        <v>2</v>
      </c>
      <c r="G2480"/>
      <c r="H2480">
        <v>100</v>
      </c>
      <c r="I2480"/>
      <c r="J2480"/>
      <c r="K2480" t="inlineStr">
        <is>
          <t>省考</t>
        </is>
      </c>
      <c r="L2480" t="inlineStr">
        <is>
          <t>🔥低粉爆款</t>
        </is>
      </c>
      <c r="M2480" t="inlineStr">
        <is>
          <t>utopia的店</t>
        </is>
      </c>
      <c r="N2480">
        <v>211</v>
      </c>
      <c r="O2480">
        <v>4.19</v>
      </c>
      <c r="P2480">
        <v>1291</v>
      </c>
      <c r="Q2480" t="inlineStr">
        <is>
          <t>67bc9c9e3298ba00011c9f37</t>
        </is>
      </c>
      <c r="R2480"/>
      <c r="S2480" t="inlineStr">
        <is>
          <t>考公资料</t>
        </is>
      </c>
      <c r="T2480" t="inlineStr">
        <is>
          <t>5.49</t>
        </is>
      </c>
      <c r="U2480" s="3">
        <v>46112.78107638889</v>
      </c>
      <c r="V2480"/>
      <c r="W2480" s="3">
        <v>46101</v>
      </c>
      <c r="X2480" t="inlineStr">
        <is>
          <t>03</t>
        </is>
      </c>
      <c r="Y2480" t="inlineStr">
        <is>
          <t>2026-Q1</t>
        </is>
      </c>
    </row>
    <row r="2481" ht="38.25" customHeight="1">
      <c r="A2481" t="inlineStr">
        <is>
          <t>备考26年初级中级社会工作者网课视频题库王小兰社工课程精讲课程</t>
        </is>
      </c>
      <c r="B2481" t="inlineStr">
        <is>
          <t>__upload_recven67lIUUWr.jpg</t>
        </is>
      </c>
      <c r="C2481" s="2" t="str">
        <f>=HYPERLINK("https://xhslink.com/m/7dQhU3xpZx5", "https://xhslink.com/m/7dQhU3xpZx5")</f>
        <v>https://xhslink.com/m/7dQhU3xpZx5</v>
      </c>
      <c r="D2481"/>
      <c r="E2481">
        <v>13000</v>
      </c>
      <c r="F2481">
        <v>85.8</v>
      </c>
      <c r="G2481"/>
      <c r="H2481">
        <v>350</v>
      </c>
      <c r="I2481"/>
      <c r="J2481">
        <v>100</v>
      </c>
      <c r="K2481" t="inlineStr">
        <is>
          <t>省考</t>
        </is>
      </c>
      <c r="L2481"/>
      <c r="M2481" t="inlineStr">
        <is>
          <t>乐X峰题库I星途的店</t>
        </is>
      </c>
      <c r="N2481">
        <v>12000</v>
      </c>
      <c r="O2481">
        <v>4.56</v>
      </c>
      <c r="P2481">
        <v>85000</v>
      </c>
      <c r="Q2481" t="inlineStr">
        <is>
          <t>67a0cc1596b36c0001127086</t>
        </is>
      </c>
      <c r="R2481" t="inlineStr">
        <is>
          <t>🚫重复</t>
        </is>
      </c>
      <c r="S2481" t="inlineStr">
        <is>
          <t>无匹配类别</t>
        </is>
      </c>
      <c r="T2481" t="inlineStr">
        <is>
          <t>1.08</t>
        </is>
      </c>
      <c r="U2481" s="3">
        <v>46112.78107638889</v>
      </c>
      <c r="V2481"/>
      <c r="W2481" s="3">
        <v>46101</v>
      </c>
      <c r="X2481" t="inlineStr">
        <is>
          <t>03</t>
        </is>
      </c>
      <c r="Y2481" t="inlineStr">
        <is>
          <t>2026-Q1</t>
        </is>
      </c>
    </row>
    <row r="2482" ht="38.25" customHeight="1">
      <c r="A2482" t="inlineStr">
        <is>
          <t>【笔记同款】2026英语四六级高频词·四六级1500核心词电子版pdf</t>
        </is>
      </c>
      <c r="B2482" t="inlineStr">
        <is>
          <t>recven67lIJcMN.jpg</t>
        </is>
      </c>
      <c r="C2482" s="2" t="str">
        <f>=HYPERLINK("https://xhslink.com/m/7FcLGPu5RJk", "https://xhslink.com/m/7FcLGPu5RJk")</f>
        <v>https://xhslink.com/m/7FcLGPu5RJk</v>
      </c>
      <c r="D2482"/>
      <c r="E2482">
        <v>6573</v>
      </c>
      <c r="F2482">
        <v>9.99</v>
      </c>
      <c r="G2482"/>
      <c r="H2482">
        <v>100</v>
      </c>
      <c r="I2482"/>
      <c r="J2482"/>
      <c r="K2482" t="inlineStr">
        <is>
          <t>四级</t>
        </is>
      </c>
      <c r="L2482" t="inlineStr">
        <is>
          <t>🔥低粉爆款</t>
        </is>
      </c>
      <c r="M2482" t="inlineStr">
        <is>
          <t>彩虹学姐的店</t>
        </is>
      </c>
      <c r="N2482">
        <v>669</v>
      </c>
      <c r="O2482">
        <v>4.14</v>
      </c>
      <c r="P2482">
        <v>7365</v>
      </c>
      <c r="Q2482" t="inlineStr">
        <is>
          <t>67e80bef3d0cf4000171380b</t>
        </is>
      </c>
      <c r="R2482" t="inlineStr">
        <is>
          <t>🚫重复</t>
        </is>
      </c>
      <c r="S2482" t="inlineStr">
        <is>
          <t>英语资料</t>
        </is>
      </c>
      <c r="T2482" t="inlineStr">
        <is>
          <t>9.83</t>
        </is>
      </c>
      <c r="U2482" s="3">
        <v>46112.78107638889</v>
      </c>
      <c r="V2482"/>
      <c r="W2482" s="3">
        <v>46101</v>
      </c>
      <c r="X2482" t="inlineStr">
        <is>
          <t>03</t>
        </is>
      </c>
      <c r="Y2482" t="inlineStr">
        <is>
          <t>2026-Q1</t>
        </is>
      </c>
    </row>
    <row r="2483" ht="38.25" customHeight="1">
      <c r="A2483" t="inlineStr">
        <is>
          <t>初中数学七八九年级上下册专题练习单元测试综合检测试卷电子资料</t>
        </is>
      </c>
      <c r="B2483" t="inlineStr">
        <is>
          <t>recven67lIzGBi.jpg</t>
        </is>
      </c>
      <c r="C2483" s="2" t="str">
        <f>=HYPERLINK("https://xhslink.com/m/ks1Qm7Uj6z", "https://xhslink.com/m/ks1Qm7Uj6z")</f>
        <v>https://xhslink.com/m/ks1Qm7Uj6z</v>
      </c>
      <c r="D2483"/>
      <c r="E2483">
        <v>1520</v>
      </c>
      <c r="F2483">
        <v>5.68</v>
      </c>
      <c r="G2483"/>
      <c r="H2483">
        <v>100</v>
      </c>
      <c r="I2483"/>
      <c r="J2483"/>
      <c r="K2483" t="inlineStr">
        <is>
          <t>八下数学</t>
        </is>
      </c>
      <c r="L2483"/>
      <c r="M2483" t="inlineStr">
        <is>
          <t>何老师资料库的店</t>
        </is>
      </c>
      <c r="N2483">
        <v>2405</v>
      </c>
      <c r="O2483">
        <v>4.12</v>
      </c>
      <c r="P2483">
        <v>8224</v>
      </c>
      <c r="Q2483" t="inlineStr">
        <is>
          <t>67c0344649f1f10001815366</t>
        </is>
      </c>
      <c r="R2483"/>
      <c r="S2483" t="inlineStr">
        <is>
          <t>中小学教辅/教材</t>
        </is>
      </c>
      <c r="T2483" t="inlineStr">
        <is>
          <t>0.63</t>
        </is>
      </c>
      <c r="U2483" s="3">
        <v>46112.78107638889</v>
      </c>
      <c r="V2483"/>
      <c r="W2483" s="3">
        <v>46101</v>
      </c>
      <c r="X2483" t="inlineStr">
        <is>
          <t>03</t>
        </is>
      </c>
      <c r="Y2483" t="inlineStr">
        <is>
          <t>2026-Q1</t>
        </is>
      </c>
    </row>
    <row r="2484" ht="38.25" customHeight="1">
      <c r="A2484" t="inlineStr">
        <is>
          <t>2026年春新人教版数学八年级下册全册课件教案配套（PPT+希沃）</t>
        </is>
      </c>
      <c r="B2484" t="inlineStr">
        <is>
          <t>recven67lIe4ls.jpg</t>
        </is>
      </c>
      <c r="C2484" s="2" t="str">
        <f>=HYPERLINK("https://xhslink.com/m/2Z1oSj51cCE", "https://xhslink.com/m/2Z1oSj51cCE")</f>
        <v>https://xhslink.com/m/2Z1oSj51cCE</v>
      </c>
      <c r="D2484"/>
      <c r="E2484">
        <v>376</v>
      </c>
      <c r="F2484">
        <v>13.9</v>
      </c>
      <c r="G2484"/>
      <c r="H2484">
        <v>100</v>
      </c>
      <c r="I2484"/>
      <c r="J2484"/>
      <c r="K2484" t="inlineStr">
        <is>
          <t>八下数学</t>
        </is>
      </c>
      <c r="L2484"/>
      <c r="M2484" t="inlineStr">
        <is>
          <t>90后数学老师的店</t>
        </is>
      </c>
      <c r="N2484">
        <v>328</v>
      </c>
      <c r="O2484">
        <v>4.16</v>
      </c>
      <c r="P2484">
        <v>708</v>
      </c>
      <c r="Q2484" t="inlineStr">
        <is>
          <t>6953bfe6ac83a20001854a9d</t>
        </is>
      </c>
      <c r="R2484"/>
      <c r="S2484" t="inlineStr">
        <is>
          <t>中小学教辅/教材</t>
        </is>
      </c>
      <c r="T2484" t="inlineStr">
        <is>
          <t>1.15</t>
        </is>
      </c>
      <c r="U2484" s="3">
        <v>46112.78107638889</v>
      </c>
      <c r="V2484"/>
      <c r="W2484" s="3">
        <v>46101</v>
      </c>
      <c r="X2484" t="inlineStr">
        <is>
          <t>03</t>
        </is>
      </c>
      <c r="Y2484" t="inlineStr">
        <is>
          <t>2026-Q1</t>
        </is>
      </c>
    </row>
    <row r="2485" ht="38.25" customHeight="1">
      <c r="A2485" t="inlineStr">
        <is>
          <t>SCL90/在线心理测试/焦虑/抑郁/躯体化/睡眠障碍/下单自动发货</t>
        </is>
      </c>
      <c r="B2485" t="inlineStr">
        <is>
          <t>recven67lIRklO.jpg</t>
        </is>
      </c>
      <c r="C2485" s="2" t="str">
        <f>=HYPERLINK("https://xhslink.com/m/11ysTAyJzGG", "https://xhslink.com/m/11ysTAyJzGG")</f>
        <v>https://xhslink.com/m/11ysTAyJzGG</v>
      </c>
      <c r="D2485"/>
      <c r="E2485">
        <v>34000</v>
      </c>
      <c r="F2485">
        <v>0.99</v>
      </c>
      <c r="G2485"/>
      <c r="H2485">
        <v>11000</v>
      </c>
      <c r="I2485"/>
      <c r="J2485"/>
      <c r="K2485" t="inlineStr">
        <is>
          <t>心理</t>
        </is>
      </c>
      <c r="L2485" t="inlineStr">
        <is>
          <t>🔥低粉爆款</t>
        </is>
      </c>
      <c r="M2485" t="inlineStr">
        <is>
          <t>七七心理疗愈的店</t>
        </is>
      </c>
      <c r="N2485">
        <v>900</v>
      </c>
      <c r="O2485">
        <v>4.23</v>
      </c>
      <c r="P2485">
        <v>35000</v>
      </c>
      <c r="Q2485" t="inlineStr">
        <is>
          <t>68ea058e7c1a03000171dffa</t>
        </is>
      </c>
      <c r="R2485"/>
      <c r="S2485" t="inlineStr">
        <is>
          <t>生活成长</t>
        </is>
      </c>
      <c r="T2485" t="inlineStr">
        <is>
          <t>37.78</t>
        </is>
      </c>
      <c r="U2485" s="3">
        <v>46112.78107638889</v>
      </c>
      <c r="V2485"/>
      <c r="W2485" s="3">
        <v>46101</v>
      </c>
      <c r="X2485" t="inlineStr">
        <is>
          <t>03</t>
        </is>
      </c>
      <c r="Y2485" t="inlineStr">
        <is>
          <t>2026-Q1</t>
        </is>
      </c>
    </row>
    <row r="2486" ht="38.25" customHeight="1">
      <c r="A2486" t="inlineStr">
        <is>
          <t>正版包邮 焦虑症的自救 从神经系统角度出发治愈焦虑症 焦虑症的</t>
        </is>
      </c>
      <c r="B2486" t="inlineStr">
        <is>
          <t>recven67lIOj8k.jpg</t>
        </is>
      </c>
      <c r="C2486" s="2" t="str">
        <f>=HYPERLINK("https://xhslink.com/m/Aqpg5Vy3B2Q", "https://xhslink.com/m/Aqpg5Vy3B2Q")</f>
        <v>https://xhslink.com/m/Aqpg5Vy3B2Q</v>
      </c>
      <c r="D2486"/>
      <c r="E2486">
        <v>6949</v>
      </c>
      <c r="F2486">
        <v>39.8</v>
      </c>
      <c r="G2486"/>
      <c r="H2486">
        <v>500</v>
      </c>
      <c r="I2486">
        <v>1000</v>
      </c>
      <c r="J2486"/>
      <c r="K2486" t="inlineStr">
        <is>
          <t>心理</t>
        </is>
      </c>
      <c r="L2486"/>
      <c r="M2486" t="inlineStr">
        <is>
          <t>小张有间童书屋的店</t>
        </is>
      </c>
      <c r="N2486">
        <v>5785</v>
      </c>
      <c r="O2486">
        <v>4.74</v>
      </c>
      <c r="P2486">
        <v>40000</v>
      </c>
      <c r="Q2486" t="inlineStr">
        <is>
          <t>672db30ead2a4200012511e4</t>
        </is>
      </c>
      <c r="R2486"/>
      <c r="S2486" t="inlineStr">
        <is>
          <t>生活成长</t>
        </is>
      </c>
      <c r="T2486" t="inlineStr">
        <is>
          <t>1.20</t>
        </is>
      </c>
      <c r="U2486" s="3">
        <v>46112.78107638889</v>
      </c>
      <c r="V2486"/>
      <c r="W2486" s="3">
        <v>46101</v>
      </c>
      <c r="X2486" t="inlineStr">
        <is>
          <t>03</t>
        </is>
      </c>
      <c r="Y2486" t="inlineStr">
        <is>
          <t>2026-Q1</t>
        </is>
      </c>
    </row>
    <row r="2487" ht="38.25" customHeight="1">
      <c r="A2487" t="inlineStr">
        <is>
          <t>恋爱倾向心理测试/女性风格倾向测试/可重复测评</t>
        </is>
      </c>
      <c r="B2487" t="inlineStr">
        <is>
          <t>recven67lIkMwE.jpg</t>
        </is>
      </c>
      <c r="C2487" s="2" t="str">
        <f>=HYPERLINK("https://xhslink.com/m/4Kvd8W1AXri", "https://xhslink.com/m/4Kvd8W1AXri")</f>
        <v>https://xhslink.com/m/4Kvd8W1AXri</v>
      </c>
      <c r="D2487"/>
      <c r="E2487">
        <v>19000</v>
      </c>
      <c r="F2487">
        <v>1.99</v>
      </c>
      <c r="G2487"/>
      <c r="H2487">
        <v>9500</v>
      </c>
      <c r="I2487"/>
      <c r="J2487"/>
      <c r="K2487" t="inlineStr">
        <is>
          <t>心理</t>
        </is>
      </c>
      <c r="L2487" t="inlineStr">
        <is>
          <t>🔥低粉爆款</t>
        </is>
      </c>
      <c r="M2487" t="inlineStr">
        <is>
          <t>米虫心理测试的店</t>
        </is>
      </c>
      <c r="N2487">
        <v>349</v>
      </c>
      <c r="O2487">
        <v>4.13</v>
      </c>
      <c r="P2487">
        <v>20000</v>
      </c>
      <c r="Q2487" t="inlineStr">
        <is>
          <t>6950cb94bfa5910001c4e749</t>
        </is>
      </c>
      <c r="R2487"/>
      <c r="S2487" t="inlineStr">
        <is>
          <t>生活成长</t>
        </is>
      </c>
      <c r="T2487" t="inlineStr">
        <is>
          <t>54.44</t>
        </is>
      </c>
      <c r="U2487" s="3">
        <v>46112.78107638889</v>
      </c>
      <c r="V2487"/>
      <c r="W2487" s="3">
        <v>46101</v>
      </c>
      <c r="X2487" t="inlineStr">
        <is>
          <t>03</t>
        </is>
      </c>
      <c r="Y2487" t="inlineStr">
        <is>
          <t>2026-Q1</t>
        </is>
      </c>
    </row>
    <row r="2488" ht="38.25" customHeight="1">
      <c r="A2488" t="inlineStr">
        <is>
          <t>【原创正版】RPI 恋爱占有欲测试情侣依赖关系安全感心理测评</t>
        </is>
      </c>
      <c r="B2488" t="inlineStr">
        <is>
          <t>recven67lIQ8Ok.jpg</t>
        </is>
      </c>
      <c r="C2488" s="2" t="str">
        <f>=HYPERLINK("https://xhslink.com/m/769w72pwxDc", "https://xhslink.com/m/769w72pwxDc")</f>
        <v>https://xhslink.com/m/769w72pwxDc</v>
      </c>
      <c r="D2488"/>
      <c r="E2488">
        <v>37000</v>
      </c>
      <c r="F2488">
        <v>9.9</v>
      </c>
      <c r="G2488"/>
      <c r="H2488">
        <v>100</v>
      </c>
      <c r="I2488"/>
      <c r="J2488"/>
      <c r="K2488" t="inlineStr">
        <is>
          <t>心理</t>
        </is>
      </c>
      <c r="L2488" t="inlineStr">
        <is>
          <t>🔥低粉爆款</t>
        </is>
      </c>
      <c r="M2488" t="inlineStr">
        <is>
          <t>MULI 恋爱研究院的店</t>
        </is>
      </c>
      <c r="N2488">
        <v>1205</v>
      </c>
      <c r="O2488">
        <v>4.44</v>
      </c>
      <c r="P2488">
        <v>64000</v>
      </c>
      <c r="Q2488" t="inlineStr">
        <is>
          <t>68ffa776ad046d0001c1dde9</t>
        </is>
      </c>
      <c r="R2488"/>
      <c r="S2488" t="inlineStr">
        <is>
          <t>生活成长</t>
        </is>
      </c>
      <c r="T2488" t="inlineStr">
        <is>
          <t>30.71</t>
        </is>
      </c>
      <c r="U2488" s="3">
        <v>46112.78107638889</v>
      </c>
      <c r="V2488"/>
      <c r="W2488" s="3">
        <v>46101</v>
      </c>
      <c r="X2488" t="inlineStr">
        <is>
          <t>03</t>
        </is>
      </c>
      <c r="Y2488" t="inlineStr">
        <is>
          <t>2026-Q1</t>
        </is>
      </c>
    </row>
    <row r="2489" ht="38.25" customHeight="1">
      <c r="A2489" t="inlineStr">
        <is>
          <t>【正版原创】心动理想型测试｜20个情景帮你解锁你的理想型</t>
        </is>
      </c>
      <c r="B2489" t="inlineStr">
        <is>
          <t>recven67lI1l6X.jpg</t>
        </is>
      </c>
      <c r="C2489" s="2" t="str">
        <f>=HYPERLINK("https://xhslink.com/m/99ekDXwh2Vi", "https://xhslink.com/m/99ekDXwh2Vi")</f>
        <v>https://xhslink.com/m/99ekDXwh2Vi</v>
      </c>
      <c r="D2489"/>
      <c r="E2489">
        <v>10000</v>
      </c>
      <c r="F2489">
        <v>1.99</v>
      </c>
      <c r="G2489"/>
      <c r="H2489">
        <v>4500</v>
      </c>
      <c r="I2489"/>
      <c r="J2489"/>
      <c r="K2489" t="inlineStr">
        <is>
          <t>心理</t>
        </is>
      </c>
      <c r="L2489" t="inlineStr">
        <is>
          <t>🔥低粉爆款</t>
        </is>
      </c>
      <c r="M2489" t="inlineStr">
        <is>
          <t>观观心理的店</t>
        </is>
      </c>
      <c r="N2489">
        <v>107</v>
      </c>
      <c r="O2489">
        <v>4.58</v>
      </c>
      <c r="P2489">
        <v>20000</v>
      </c>
      <c r="Q2489" t="inlineStr">
        <is>
          <t>69269b7001312b000156e780</t>
        </is>
      </c>
      <c r="R2489"/>
      <c r="S2489" t="inlineStr">
        <is>
          <t>生活成长</t>
        </is>
      </c>
      <c r="T2489" t="inlineStr">
        <is>
          <t>93.46</t>
        </is>
      </c>
      <c r="U2489" s="3">
        <v>46112.78107638889</v>
      </c>
      <c r="V2489"/>
      <c r="W2489" s="3">
        <v>46101</v>
      </c>
      <c r="X2489" t="inlineStr">
        <is>
          <t>03</t>
        </is>
      </c>
      <c r="Y2489" t="inlineStr">
        <is>
          <t>2026-Q1</t>
        </is>
      </c>
    </row>
    <row r="2490" ht="38.25" customHeight="1">
      <c r="A2490" t="inlineStr">
        <is>
          <t>15天背完初中3500词分类实用小册子必背短语核心高频词</t>
        </is>
      </c>
      <c r="B2490" t="inlineStr">
        <is>
          <t>recven67lIapcq.jpg</t>
        </is>
      </c>
      <c r="C2490" s="2" t="str">
        <f>=HYPERLINK("https://xhslink.com/m/8TCx8wKKSOU", "https://xhslink.com/m/8TCx8wKKSOU")</f>
        <v>https://xhslink.com/m/8TCx8wKKSOU</v>
      </c>
      <c r="D2490"/>
      <c r="E2490">
        <v>2738</v>
      </c>
      <c r="F2490">
        <v>11.99</v>
      </c>
      <c r="G2490"/>
      <c r="H2490">
        <v>300</v>
      </c>
      <c r="I2490"/>
      <c r="J2490"/>
      <c r="K2490" t="inlineStr">
        <is>
          <t>英语</t>
        </is>
      </c>
      <c r="L2490"/>
      <c r="M2490" t="inlineStr">
        <is>
          <t>红叶资料的店</t>
        </is>
      </c>
      <c r="N2490">
        <v>1405</v>
      </c>
      <c r="O2490">
        <v>4.39</v>
      </c>
      <c r="P2490">
        <v>5443</v>
      </c>
      <c r="Q2490" t="inlineStr">
        <is>
          <t>686bd5063287950001ef46cf</t>
        </is>
      </c>
      <c r="R2490" t="inlineStr">
        <is>
          <t>🚫重复</t>
        </is>
      </c>
      <c r="S2490" t="inlineStr">
        <is>
          <t>中小学教辅/教材</t>
        </is>
      </c>
      <c r="T2490" t="inlineStr">
        <is>
          <t>1.95</t>
        </is>
      </c>
      <c r="U2490" s="3">
        <v>46112.78107638889</v>
      </c>
      <c r="V2490"/>
      <c r="W2490" s="3">
        <v>46101</v>
      </c>
      <c r="X2490" t="inlineStr">
        <is>
          <t>03</t>
        </is>
      </c>
      <c r="Y2490" t="inlineStr">
        <is>
          <t>2026-Q1</t>
        </is>
      </c>
    </row>
    <row r="2491" ht="38.25" customHeight="1">
      <c r="A2491" t="inlineStr">
        <is>
          <t>英语主题单词学习课件包（附简案）</t>
        </is>
      </c>
      <c r="B2491" t="inlineStr">
        <is>
          <t>recven67lI1QjI.jpg</t>
        </is>
      </c>
      <c r="C2491" s="2" t="str">
        <f>=HYPERLINK("https://xhslink.com/m/9L2RCtQYNc2", "https://xhslink.com/m/9L2RCtQYNc2")</f>
        <v>https://xhslink.com/m/9L2RCtQYNc2</v>
      </c>
      <c r="D2491"/>
      <c r="E2491">
        <v>3991</v>
      </c>
      <c r="F2491">
        <v>69.9</v>
      </c>
      <c r="G2491"/>
      <c r="H2491">
        <v>150</v>
      </c>
      <c r="I2491"/>
      <c r="J2491"/>
      <c r="K2491" t="inlineStr">
        <is>
          <t>英语</t>
        </is>
      </c>
      <c r="L2491"/>
      <c r="M2491" t="inlineStr">
        <is>
          <t>米妮老师~的店</t>
        </is>
      </c>
      <c r="N2491">
        <v>3306</v>
      </c>
      <c r="O2491">
        <v>4.57</v>
      </c>
      <c r="P2491">
        <v>18000</v>
      </c>
      <c r="Q2491" t="inlineStr">
        <is>
          <t>687bc03a4f80eb0001bf8f55</t>
        </is>
      </c>
      <c r="R2491" t="inlineStr">
        <is>
          <t>🚫重复</t>
        </is>
      </c>
      <c r="S2491" t="inlineStr">
        <is>
          <t>中小学教辅/教材</t>
        </is>
      </c>
      <c r="T2491" t="inlineStr">
        <is>
          <t>1.21</t>
        </is>
      </c>
      <c r="U2491" s="3">
        <v>46112.78107638889</v>
      </c>
      <c r="V2491"/>
      <c r="W2491" s="3">
        <v>46101</v>
      </c>
      <c r="X2491" t="inlineStr">
        <is>
          <t>03</t>
        </is>
      </c>
      <c r="Y2491" t="inlineStr">
        <is>
          <t>2026-Q1</t>
        </is>
      </c>
    </row>
    <row r="2492" ht="38.25" customHeight="1">
      <c r="A2492" t="inlineStr">
        <is>
          <t>英语外刊精读阅读最新持续整理分享1500+篇(会持续更新)</t>
        </is>
      </c>
      <c r="B2492" t="inlineStr">
        <is>
          <t>recven67lI5x4M.jpg</t>
        </is>
      </c>
      <c r="C2492" s="2" t="str">
        <f>=HYPERLINK("https://xhslink.com/m/AyTr6tRflU", "https://xhslink.com/m/AyTr6tRflU")</f>
        <v>https://xhslink.com/m/AyTr6tRflU</v>
      </c>
      <c r="D2492"/>
      <c r="E2492">
        <v>2817</v>
      </c>
      <c r="F2492">
        <v>17.8</v>
      </c>
      <c r="G2492"/>
      <c r="H2492">
        <v>100</v>
      </c>
      <c r="I2492"/>
      <c r="J2492"/>
      <c r="K2492" t="inlineStr">
        <is>
          <t>英语</t>
        </is>
      </c>
      <c r="L2492"/>
      <c r="M2492" t="inlineStr">
        <is>
          <t>白伞伞红杆杆的店</t>
        </is>
      </c>
      <c r="N2492">
        <v>4158</v>
      </c>
      <c r="O2492">
        <v>4.33</v>
      </c>
      <c r="P2492">
        <v>22000</v>
      </c>
      <c r="Q2492" t="inlineStr">
        <is>
          <t>678633aba03f4100019cc4b1</t>
        </is>
      </c>
      <c r="R2492"/>
      <c r="S2492" t="inlineStr">
        <is>
          <t>英语资料</t>
        </is>
      </c>
      <c r="T2492" t="inlineStr">
        <is>
          <t>0.68</t>
        </is>
      </c>
      <c r="U2492" s="3">
        <v>46112.78107638889</v>
      </c>
      <c r="V2492"/>
      <c r="W2492" s="3">
        <v>46101</v>
      </c>
      <c r="X2492" t="inlineStr">
        <is>
          <t>03</t>
        </is>
      </c>
      <c r="Y2492" t="inlineStr">
        <is>
          <t>2026-Q1</t>
        </is>
      </c>
    </row>
    <row r="2493" ht="38.25" customHeight="1">
      <c r="A2493" t="inlineStr">
        <is>
          <t>初中练习单元期中期末月考检测卷初一初二初三多版本【电子版】</t>
        </is>
      </c>
      <c r="B2493" t="inlineStr">
        <is>
          <t>recven67lI93Wb.jpg</t>
        </is>
      </c>
      <c r="C2493" s="2" t="str">
        <f>=HYPERLINK("https://xhslink.com/m/7OrNLJsXu1e", "https://xhslink.com/m/7OrNLJsXu1e")</f>
        <v>https://xhslink.com/m/7OrNLJsXu1e</v>
      </c>
      <c r="D2493"/>
      <c r="E2493">
        <v>8013</v>
      </c>
      <c r="F2493">
        <v>19.8</v>
      </c>
      <c r="G2493"/>
      <c r="H2493">
        <v>600</v>
      </c>
      <c r="I2493"/>
      <c r="J2493"/>
      <c r="K2493" t="inlineStr">
        <is>
          <t>英语</t>
        </is>
      </c>
      <c r="L2493" t="inlineStr">
        <is>
          <t>🔥低粉爆款</t>
        </is>
      </c>
      <c r="M2493" t="inlineStr">
        <is>
          <t>周老师的资料库的店</t>
        </is>
      </c>
      <c r="N2493">
        <v>1664</v>
      </c>
      <c r="O2493">
        <v>4.58</v>
      </c>
      <c r="P2493">
        <v>13000</v>
      </c>
      <c r="Q2493" t="inlineStr">
        <is>
          <t>68c376499c370100019b9bb8</t>
        </is>
      </c>
      <c r="R2493" t="inlineStr">
        <is>
          <t>🚫重复</t>
        </is>
      </c>
      <c r="S2493" t="inlineStr">
        <is>
          <t>中小学教辅/教材</t>
        </is>
      </c>
      <c r="T2493" t="inlineStr">
        <is>
          <t>4.82</t>
        </is>
      </c>
      <c r="U2493" s="3">
        <v>46112.78107638889</v>
      </c>
      <c r="V2493"/>
      <c r="W2493" s="3">
        <v>46101</v>
      </c>
      <c r="X2493" t="inlineStr">
        <is>
          <t>03</t>
        </is>
      </c>
      <c r="Y2493" t="inlineStr">
        <is>
          <t>2026-Q1</t>
        </is>
      </c>
    </row>
    <row r="2494" ht="38.25" customHeight="1">
      <c r="A2494" t="inlineStr">
        <is>
          <t>人教版小学英语3-6年级单词汇总背诵版+英汉互译默写（电子版）</t>
        </is>
      </c>
      <c r="B2494" t="inlineStr">
        <is>
          <t>recven67lIgGsN.jpg</t>
        </is>
      </c>
      <c r="C2494" s="2" t="str">
        <f>=HYPERLINK("https://xhslink.com/m/8MZb33H87QU", "https://xhslink.com/m/8MZb33H87QU")</f>
        <v>https://xhslink.com/m/8MZb33H87QU</v>
      </c>
      <c r="D2494"/>
      <c r="E2494">
        <v>1393</v>
      </c>
      <c r="F2494">
        <v>6.9</v>
      </c>
      <c r="G2494"/>
      <c r="H2494">
        <v>100</v>
      </c>
      <c r="I2494"/>
      <c r="J2494"/>
      <c r="K2494" t="inlineStr">
        <is>
          <t>英语</t>
        </is>
      </c>
      <c r="L2494"/>
      <c r="M2494" t="inlineStr">
        <is>
          <t>学界小筑的店</t>
        </is>
      </c>
      <c r="N2494">
        <v>3320</v>
      </c>
      <c r="O2494">
        <v>4.55</v>
      </c>
      <c r="P2494">
        <v>17000</v>
      </c>
      <c r="Q2494" t="inlineStr">
        <is>
          <t>680e546146684b0001639691</t>
        </is>
      </c>
      <c r="R2494" t="inlineStr">
        <is>
          <t>🚫重复</t>
        </is>
      </c>
      <c r="S2494" t="inlineStr">
        <is>
          <t>中小学教辅/教材</t>
        </is>
      </c>
      <c r="T2494" t="inlineStr">
        <is>
          <t>0.42</t>
        </is>
      </c>
      <c r="U2494" s="3">
        <v>46112.78107638889</v>
      </c>
      <c r="V2494"/>
      <c r="W2494" s="3">
        <v>46101</v>
      </c>
      <c r="X2494" t="inlineStr">
        <is>
          <t>03</t>
        </is>
      </c>
      <c r="Y2494" t="inlineStr">
        <is>
          <t>2026-Q1</t>
        </is>
      </c>
    </row>
    <row r="2495" ht="38.25" customHeight="1">
      <c r="A2495" t="inlineStr">
        <is>
          <t>初中英语40道阅读理解+10道完形填空专项训练七八九年级中考Word</t>
        </is>
      </c>
      <c r="B2495" t="inlineStr">
        <is>
          <t>recven67lIv4KL.jpg</t>
        </is>
      </c>
      <c r="C2495" s="2" t="str">
        <f>=HYPERLINK("https://xhslink.com/m/9HHvNowvZit", "https://xhslink.com/m/9HHvNowvZit")</f>
        <v>https://xhslink.com/m/9HHvNowvZit</v>
      </c>
      <c r="D2495"/>
      <c r="E2495">
        <v>757</v>
      </c>
      <c r="F2495">
        <v>9.9</v>
      </c>
      <c r="G2495"/>
      <c r="H2495">
        <v>450</v>
      </c>
      <c r="I2495"/>
      <c r="J2495"/>
      <c r="K2495" t="inlineStr">
        <is>
          <t>英语</t>
        </is>
      </c>
      <c r="L2495"/>
      <c r="M2495" t="inlineStr">
        <is>
          <t>复旦徐老师（知识宝典）的店</t>
        </is>
      </c>
      <c r="N2495">
        <v>1120</v>
      </c>
      <c r="O2495">
        <v>4.54</v>
      </c>
      <c r="P2495">
        <v>7814</v>
      </c>
      <c r="Q2495" t="inlineStr">
        <is>
          <t>691fd1ef4a176600013c0a67</t>
        </is>
      </c>
      <c r="R2495" t="inlineStr">
        <is>
          <t>🚫重复</t>
        </is>
      </c>
      <c r="S2495" t="inlineStr">
        <is>
          <t>中小学教辅/教材</t>
        </is>
      </c>
      <c r="T2495" t="inlineStr">
        <is>
          <t>0.68</t>
        </is>
      </c>
      <c r="U2495" s="3">
        <v>46112.78107638889</v>
      </c>
      <c r="V2495"/>
      <c r="W2495" s="3">
        <v>46101</v>
      </c>
      <c r="X2495" t="inlineStr">
        <is>
          <t>03</t>
        </is>
      </c>
      <c r="Y2495" t="inlineStr">
        <is>
          <t>2026-Q1</t>
        </is>
      </c>
    </row>
    <row r="2496" ht="38.25" customHeight="1">
      <c r="A2496" t="inlineStr">
        <is>
          <t>2026新人教英语八下单元知识点梳理与语法讲义（学生档+教师档）</t>
        </is>
      </c>
      <c r="B2496" t="inlineStr">
        <is>
          <t>recven67lIKVM9.jpg</t>
        </is>
      </c>
      <c r="C2496" s="2" t="str">
        <f>=HYPERLINK("https://xhslink.com/m/7ZcB1iaGOle", "https://xhslink.com/m/7ZcB1iaGOle")</f>
        <v>https://xhslink.com/m/7ZcB1iaGOle</v>
      </c>
      <c r="D2496"/>
      <c r="E2496">
        <v>1257</v>
      </c>
      <c r="F2496">
        <v>6.8</v>
      </c>
      <c r="G2496"/>
      <c r="H2496">
        <v>250</v>
      </c>
      <c r="I2496">
        <v>1000</v>
      </c>
      <c r="J2496"/>
      <c r="K2496" t="inlineStr">
        <is>
          <t>英语</t>
        </is>
      </c>
      <c r="L2496"/>
      <c r="M2496" t="inlineStr">
        <is>
          <t>教英语的Miss杨的店</t>
        </is>
      </c>
      <c r="N2496">
        <v>5788</v>
      </c>
      <c r="O2496">
        <v>4.56</v>
      </c>
      <c r="P2496">
        <v>24000</v>
      </c>
      <c r="Q2496" t="inlineStr">
        <is>
          <t>69b05ea0f32cdb000132f242</t>
        </is>
      </c>
      <c r="R2496" t="inlineStr">
        <is>
          <t>🚫重复</t>
        </is>
      </c>
      <c r="S2496" t="inlineStr">
        <is>
          <t>中小学教辅/教材</t>
        </is>
      </c>
      <c r="T2496" t="inlineStr">
        <is>
          <t>0.22</t>
        </is>
      </c>
      <c r="U2496" s="3">
        <v>46112.78107638889</v>
      </c>
      <c r="V2496"/>
      <c r="W2496" s="3">
        <v>46101</v>
      </c>
      <c r="X2496" t="inlineStr">
        <is>
          <t>03</t>
        </is>
      </c>
      <c r="Y2496" t="inlineStr">
        <is>
          <t>2026-Q1</t>
        </is>
      </c>
    </row>
    <row r="2497" ht="38.25" customHeight="1">
      <c r="A2497" t="inlineStr">
        <is>
          <t>新八下人教版英语讲义＋配套课件</t>
        </is>
      </c>
      <c r="B2497" t="inlineStr">
        <is>
          <t>recven67lIkhTR.jpg</t>
        </is>
      </c>
      <c r="C2497" s="2" t="str">
        <f>=HYPERLINK("https://xhslink.com/m/92HWO2e17V5", "https://xhslink.com/m/92HWO2e17V5")</f>
        <v>https://xhslink.com/m/92HWO2e17V5</v>
      </c>
      <c r="D2497"/>
      <c r="E2497">
        <v>1061</v>
      </c>
      <c r="F2497">
        <v>18.8</v>
      </c>
      <c r="G2497"/>
      <c r="H2497">
        <v>250</v>
      </c>
      <c r="I2497"/>
      <c r="J2497"/>
      <c r="K2497" t="inlineStr">
        <is>
          <t>英语</t>
        </is>
      </c>
      <c r="L2497"/>
      <c r="M2497" t="inlineStr">
        <is>
          <t>Monica原创精品讲义（课件)的店</t>
        </is>
      </c>
      <c r="N2497">
        <v>5912</v>
      </c>
      <c r="O2497">
        <v>4.28</v>
      </c>
      <c r="P2497">
        <v>9238</v>
      </c>
      <c r="Q2497" t="inlineStr">
        <is>
          <t>69a855e8dd2f440001ab5221</t>
        </is>
      </c>
      <c r="R2497" t="inlineStr">
        <is>
          <t>🚫重复</t>
        </is>
      </c>
      <c r="S2497" t="inlineStr">
        <is>
          <t>中小学教辅/教材</t>
        </is>
      </c>
      <c r="T2497" t="inlineStr">
        <is>
          <t>0.18</t>
        </is>
      </c>
      <c r="U2497" s="3">
        <v>46112.78107638889</v>
      </c>
      <c r="V2497"/>
      <c r="W2497" s="3">
        <v>46101</v>
      </c>
      <c r="X2497" t="inlineStr">
        <is>
          <t>03</t>
        </is>
      </c>
      <c r="Y2497" t="inlineStr">
        <is>
          <t>2026-Q1</t>
        </is>
      </c>
    </row>
    <row r="2498" ht="38.25" customHeight="1">
      <c r="A2498" t="inlineStr">
        <is>
          <t>【绝望主妇】逐句跟读精听纠音多情景系统提升英语Ai对话单词词组</t>
        </is>
      </c>
      <c r="B2498" t="inlineStr">
        <is>
          <t>recven67lIY9SN.jpg</t>
        </is>
      </c>
      <c r="C2498" s="2" t="str">
        <f>=HYPERLINK("https://xhslink.com/m/AqXnrRRSHan", "https://xhslink.com/m/AqXnrRRSHan")</f>
        <v>https://xhslink.com/m/AqXnrRRSHan</v>
      </c>
      <c r="D2498"/>
      <c r="E2498">
        <v>2737</v>
      </c>
      <c r="F2498">
        <v>59.9</v>
      </c>
      <c r="G2498"/>
      <c r="H2498">
        <v>100</v>
      </c>
      <c r="I2498"/>
      <c r="J2498"/>
      <c r="K2498" t="inlineStr">
        <is>
          <t>英语</t>
        </is>
      </c>
      <c r="L2498"/>
      <c r="M2498" t="inlineStr">
        <is>
          <t>罗小姐的英托邦(宝妈学美剧)的店</t>
        </is>
      </c>
      <c r="N2498">
        <v>106000</v>
      </c>
      <c r="O2498">
        <v>4.42</v>
      </c>
      <c r="P2498">
        <v>3321</v>
      </c>
      <c r="Q2498" t="inlineStr">
        <is>
          <t>67ed0b8be8f2430001d160a0</t>
        </is>
      </c>
      <c r="R2498"/>
      <c r="S2498" t="inlineStr">
        <is>
          <t>英语资料</t>
        </is>
      </c>
      <c r="T2498" t="inlineStr">
        <is>
          <t>0.03</t>
        </is>
      </c>
      <c r="U2498" s="3">
        <v>46112.78107638889</v>
      </c>
      <c r="V2498"/>
      <c r="W2498" s="3">
        <v>46101</v>
      </c>
      <c r="X2498" t="inlineStr">
        <is>
          <t>03</t>
        </is>
      </c>
      <c r="Y2498" t="inlineStr">
        <is>
          <t>2026-Q1</t>
        </is>
      </c>
    </row>
    <row r="2499" ht="38.25" customHeight="1">
      <c r="A2499" t="inlineStr">
        <is>
          <t>《如何教英语》how to teach english经典系列10本(电子版发网盘</t>
        </is>
      </c>
      <c r="B2499" t="inlineStr">
        <is>
          <t>recven67lIB3jC.jpg</t>
        </is>
      </c>
      <c r="C2499" s="2" t="str">
        <f>=HYPERLINK("https://xhslink.com/m/765pJIcMoZJ", "https://xhslink.com/m/765pJIcMoZJ")</f>
        <v>https://xhslink.com/m/765pJIcMoZJ</v>
      </c>
      <c r="D2499"/>
      <c r="E2499">
        <v>538</v>
      </c>
      <c r="F2499">
        <v>17.9</v>
      </c>
      <c r="G2499"/>
      <c r="H2499">
        <v>100</v>
      </c>
      <c r="I2499"/>
      <c r="J2499"/>
      <c r="K2499" t="inlineStr">
        <is>
          <t>英语</t>
        </is>
      </c>
      <c r="L2499"/>
      <c r="M2499" t="inlineStr">
        <is>
          <t>抗英资料库的店</t>
        </is>
      </c>
      <c r="N2499">
        <v>19000</v>
      </c>
      <c r="O2499">
        <v>4.48</v>
      </c>
      <c r="P2499">
        <v>9924</v>
      </c>
      <c r="Q2499" t="inlineStr">
        <is>
          <t>674b31acada6590001bf0506</t>
        </is>
      </c>
      <c r="R2499"/>
      <c r="S2499" t="inlineStr">
        <is>
          <t>英语资料</t>
        </is>
      </c>
      <c r="T2499" t="inlineStr">
        <is>
          <t>0.03</t>
        </is>
      </c>
      <c r="U2499" s="3">
        <v>46112.78107638889</v>
      </c>
      <c r="V2499"/>
      <c r="W2499" s="3">
        <v>46101</v>
      </c>
      <c r="X2499" t="inlineStr">
        <is>
          <t>03</t>
        </is>
      </c>
      <c r="Y2499" t="inlineStr">
        <is>
          <t>2026-Q1</t>
        </is>
      </c>
    </row>
    <row r="2500" ht="38.25" customHeight="1">
      <c r="A2500" t="inlineStr">
        <is>
          <t>X003-PEP人教版小学英语3-6年级单词汇总背诵版+英汉互译电子版</t>
        </is>
      </c>
      <c r="B2500" t="inlineStr">
        <is>
          <t>recven67lIwTiA.jpg</t>
        </is>
      </c>
      <c r="C2500" s="2" t="str">
        <f>=HYPERLINK("https://xhslink.com/m/1gjqLUWpatS", "https://xhslink.com/m/1gjqLUWpatS")</f>
        <v>https://xhslink.com/m/1gjqLUWpatS</v>
      </c>
      <c r="D2500"/>
      <c r="E2500">
        <v>4165</v>
      </c>
      <c r="F2500">
        <v>4.99</v>
      </c>
      <c r="G2500"/>
      <c r="H2500">
        <v>150</v>
      </c>
      <c r="I2500"/>
      <c r="J2500"/>
      <c r="K2500" t="inlineStr">
        <is>
          <t>英语</t>
        </is>
      </c>
      <c r="L2500"/>
      <c r="M2500" t="inlineStr">
        <is>
          <t>学子驿站英语站的店</t>
        </is>
      </c>
      <c r="N2500">
        <v>43000</v>
      </c>
      <c r="O2500">
        <v>4.64</v>
      </c>
      <c r="P2500">
        <v>128000</v>
      </c>
      <c r="Q2500" t="inlineStr">
        <is>
          <t>668e8f1fae7c3d0001e26cfe</t>
        </is>
      </c>
      <c r="R2500" t="inlineStr">
        <is>
          <t>🚫重复</t>
        </is>
      </c>
      <c r="S2500" t="inlineStr">
        <is>
          <t>中小学教辅/教材</t>
        </is>
      </c>
      <c r="T2500" t="inlineStr">
        <is>
          <t>0.10</t>
        </is>
      </c>
      <c r="U2500" s="3">
        <v>46112.78107638889</v>
      </c>
      <c r="V2500"/>
      <c r="W2500" s="3">
        <v>46101</v>
      </c>
      <c r="X2500" t="inlineStr">
        <is>
          <t>03</t>
        </is>
      </c>
      <c r="Y2500" t="inlineStr">
        <is>
          <t>2026-Q1</t>
        </is>
      </c>
    </row>
    <row r="2501" ht="38.25" customHeight="1">
      <c r="A2501" t="inlineStr">
        <is>
          <t>中考初中英语高频词汇短语完型填空固定搭配·电子版带答案</t>
        </is>
      </c>
      <c r="B2501" t="inlineStr">
        <is>
          <t>recven67lIDMe6.jpg</t>
        </is>
      </c>
      <c r="C2501" s="2" t="str">
        <f>=HYPERLINK("https://xhslink.com/m/5qeYafxlswA", "https://xhslink.com/m/5qeYafxlswA")</f>
        <v>https://xhslink.com/m/5qeYafxlswA</v>
      </c>
      <c r="D2501"/>
      <c r="E2501">
        <v>684</v>
      </c>
      <c r="F2501">
        <v>9.9</v>
      </c>
      <c r="G2501"/>
      <c r="H2501">
        <v>200</v>
      </c>
      <c r="I2501"/>
      <c r="J2501"/>
      <c r="K2501" t="inlineStr">
        <is>
          <t>英语</t>
        </is>
      </c>
      <c r="L2501"/>
      <c r="M2501" t="inlineStr">
        <is>
          <t>在云朵里烤面包🍞的店</t>
        </is>
      </c>
      <c r="N2501">
        <v>4682</v>
      </c>
      <c r="O2501">
        <v>4.42</v>
      </c>
      <c r="P2501">
        <v>13000</v>
      </c>
      <c r="Q2501" t="inlineStr">
        <is>
          <t>6926b4f93dc536000136223a</t>
        </is>
      </c>
      <c r="R2501"/>
      <c r="S2501" t="inlineStr">
        <is>
          <t>中小学教辅/教材</t>
        </is>
      </c>
      <c r="T2501" t="inlineStr">
        <is>
          <t>0.15</t>
        </is>
      </c>
      <c r="U2501" s="3">
        <v>46112.78107638889</v>
      </c>
      <c r="V2501"/>
      <c r="W2501" s="3">
        <v>46101</v>
      </c>
      <c r="X2501" t="inlineStr">
        <is>
          <t>03</t>
        </is>
      </c>
      <c r="Y2501" t="inlineStr">
        <is>
          <t>2026-Q1</t>
        </is>
      </c>
    </row>
    <row r="2502" ht="38.25" customHeight="1">
      <c r="A2502" t="inlineStr">
        <is>
          <t>中考英语不规则动词过去式与过去分词变化表（word格式）</t>
        </is>
      </c>
      <c r="B2502" t="inlineStr">
        <is>
          <t>recven67lIvGBV.jpg</t>
        </is>
      </c>
      <c r="C2502" s="2" t="str">
        <f>=HYPERLINK("https://xhslink.com/m/4Imu79xE9XN", "https://xhslink.com/m/4Imu79xE9XN")</f>
        <v>https://xhslink.com/m/4Imu79xE9XN</v>
      </c>
      <c r="D2502"/>
      <c r="E2502">
        <v>2286</v>
      </c>
      <c r="F2502">
        <v>4.8</v>
      </c>
      <c r="G2502"/>
      <c r="H2502">
        <v>150</v>
      </c>
      <c r="I2502"/>
      <c r="J2502"/>
      <c r="K2502" t="inlineStr">
        <is>
          <t>英语</t>
        </is>
      </c>
      <c r="L2502"/>
      <c r="M2502" t="inlineStr">
        <is>
          <t>教英语的Miss杨的店</t>
        </is>
      </c>
      <c r="N2502">
        <v>5788</v>
      </c>
      <c r="O2502">
        <v>4.56</v>
      </c>
      <c r="P2502">
        <v>24000</v>
      </c>
      <c r="Q2502" t="inlineStr">
        <is>
          <t>66c02d46ad99590001ffd00a</t>
        </is>
      </c>
      <c r="R2502" t="inlineStr">
        <is>
          <t>🚫重复</t>
        </is>
      </c>
      <c r="S2502" t="inlineStr">
        <is>
          <t>中小学教辅/教材</t>
        </is>
      </c>
      <c r="T2502" t="inlineStr">
        <is>
          <t>0.39</t>
        </is>
      </c>
      <c r="U2502" s="3">
        <v>46112.78107638889</v>
      </c>
      <c r="V2502"/>
      <c r="W2502" s="3">
        <v>46101</v>
      </c>
      <c r="X2502" t="inlineStr">
        <is>
          <t>03</t>
        </is>
      </c>
      <c r="Y2502" t="inlineStr">
        <is>
          <t>2026-Q1</t>
        </is>
      </c>
    </row>
    <row r="2503" ht="38.25" customHeight="1">
      <c r="A2503" t="inlineStr">
        <is>
          <t>个人简历模板大全word可编辑应届大学生毕业生求职简约通用高端</t>
        </is>
      </c>
      <c r="B2503" t="inlineStr">
        <is>
          <t>recven67lIOkUT.jpg</t>
        </is>
      </c>
      <c r="C2503" s="2" t="str">
        <f>=HYPERLINK("https://xhslink.com/m/6nwtlcDYMIs", "https://xhslink.com/m/6nwtlcDYMIs")</f>
        <v>https://xhslink.com/m/6nwtlcDYMIs</v>
      </c>
      <c r="D2503"/>
      <c r="E2503">
        <v>71000</v>
      </c>
      <c r="F2503">
        <v>0.5</v>
      </c>
      <c r="G2503"/>
      <c r="H2503">
        <v>5000</v>
      </c>
      <c r="I2503"/>
      <c r="J2503"/>
      <c r="K2503" t="inlineStr">
        <is>
          <t>大学生</t>
        </is>
      </c>
      <c r="L2503" t="inlineStr">
        <is>
          <t>🔥低粉爆款</t>
        </is>
      </c>
      <c r="M2503" t="inlineStr">
        <is>
          <t>丸子资料的店</t>
        </is>
      </c>
      <c r="N2503">
        <v>5320</v>
      </c>
      <c r="O2503">
        <v>4.42</v>
      </c>
      <c r="P2503">
        <v>72000</v>
      </c>
      <c r="Q2503" t="inlineStr">
        <is>
          <t>689861a9e08d4d000140c0f5</t>
        </is>
      </c>
      <c r="R2503"/>
      <c r="S2503" t="inlineStr">
        <is>
          <t>求职面试/职场</t>
        </is>
      </c>
      <c r="T2503" t="inlineStr">
        <is>
          <t>13.35</t>
        </is>
      </c>
      <c r="U2503" s="3">
        <v>46112.78107638889</v>
      </c>
      <c r="V2503"/>
      <c r="W2503" s="3">
        <v>46101</v>
      </c>
      <c r="X2503" t="inlineStr">
        <is>
          <t>03</t>
        </is>
      </c>
      <c r="Y2503" t="inlineStr">
        <is>
          <t>2026-Q1</t>
        </is>
      </c>
    </row>
    <row r="2504" ht="38.25" customHeight="1">
      <c r="A2504" t="inlineStr">
        <is>
          <t>从0~1打造能赚钱的一人公司，搞钱/IP/自由职业/小红书/创业/副业</t>
        </is>
      </c>
      <c r="B2504" t="inlineStr">
        <is>
          <t>recven67lIYEnW.jpg</t>
        </is>
      </c>
      <c r="C2504" s="2" t="str">
        <f>=HYPERLINK("https://xhslink.com/m/7xp5YX3AdZh", "https://xhslink.com/m/7xp5YX3AdZh")</f>
        <v>https://xhslink.com/m/7xp5YX3AdZh</v>
      </c>
      <c r="D2504"/>
      <c r="E2504">
        <v>4318</v>
      </c>
      <c r="F2504">
        <v>999</v>
      </c>
      <c r="G2504"/>
      <c r="H2504">
        <v>100</v>
      </c>
      <c r="I2504"/>
      <c r="J2504"/>
      <c r="K2504" t="inlineStr">
        <is>
          <t>职场</t>
        </is>
      </c>
      <c r="L2504"/>
      <c r="M2504" t="inlineStr">
        <is>
          <t>许哈哈😄的店</t>
        </is>
      </c>
      <c r="N2504">
        <v>65000</v>
      </c>
      <c r="O2504">
        <v>4.36</v>
      </c>
      <c r="P2504">
        <v>5528</v>
      </c>
      <c r="Q2504" t="inlineStr">
        <is>
          <t>66ff9b4994f7580001cc2296</t>
        </is>
      </c>
      <c r="R2504"/>
      <c r="S2504" t="inlineStr">
        <is>
          <t>运营资料</t>
        </is>
      </c>
      <c r="T2504" t="inlineStr">
        <is>
          <t>0.07</t>
        </is>
      </c>
      <c r="U2504" s="3">
        <v>46112.78107638889</v>
      </c>
      <c r="V2504"/>
      <c r="W2504" s="3">
        <v>46101</v>
      </c>
      <c r="X2504" t="inlineStr">
        <is>
          <t>03</t>
        </is>
      </c>
      <c r="Y2504" t="inlineStr">
        <is>
          <t>2026-Q1</t>
        </is>
      </c>
    </row>
    <row r="2505" ht="38.25" customHeight="1">
      <c r="A2505" t="inlineStr">
        <is>
          <t>林林老师小学语文手写笔记本册</t>
        </is>
      </c>
      <c r="B2505" t="inlineStr">
        <is>
          <t>recven67lIgEcQ.jpg</t>
        </is>
      </c>
      <c r="C2505" s="2" t="str">
        <f>=HYPERLINK("https://xhslink.com/m/8IPZ6v1E6L0", "https://xhslink.com/m/8IPZ6v1E6L0")</f>
        <v>https://xhslink.com/m/8IPZ6v1E6L0</v>
      </c>
      <c r="D2505"/>
      <c r="E2505">
        <v>14000</v>
      </c>
      <c r="F2505">
        <v>39.9</v>
      </c>
      <c r="G2505"/>
      <c r="H2505">
        <v>2500</v>
      </c>
      <c r="I2505"/>
      <c r="J2505"/>
      <c r="K2505" t="inlineStr">
        <is>
          <t>教师资料</t>
        </is>
      </c>
      <c r="L2505"/>
      <c r="M2505" t="inlineStr">
        <is>
          <t>林林老师的店</t>
        </is>
      </c>
      <c r="N2505">
        <v>201000</v>
      </c>
      <c r="O2505">
        <v>4.75</v>
      </c>
      <c r="P2505">
        <v>57000</v>
      </c>
      <c r="Q2505" t="inlineStr">
        <is>
          <t>693a41e1266b95000117595d</t>
        </is>
      </c>
      <c r="R2505" t="inlineStr">
        <is>
          <t>🚫重复</t>
        </is>
      </c>
      <c r="S2505" t="inlineStr">
        <is>
          <t>中小学教辅/教材</t>
        </is>
      </c>
      <c r="T2505" t="inlineStr">
        <is>
          <t>0.07</t>
        </is>
      </c>
      <c r="U2505" s="3">
        <v>46112.78107638889</v>
      </c>
      <c r="V2505"/>
      <c r="W2505" s="3">
        <v>46101</v>
      </c>
      <c r="X2505" t="inlineStr">
        <is>
          <t>03</t>
        </is>
      </c>
      <c r="Y2505" t="inlineStr">
        <is>
          <t>2026-Q1</t>
        </is>
      </c>
    </row>
    <row r="2506" ht="38.25" customHeight="1">
      <c r="A2506" t="inlineStr">
        <is>
          <t>2026上半年教资笔试幼小初高备考资料包</t>
        </is>
      </c>
      <c r="B2506" t="inlineStr">
        <is>
          <t>recven67lInZ27.jpg</t>
        </is>
      </c>
      <c r="C2506" s="2" t="str">
        <f>=HYPERLINK("https://xhslink.com/m/8PSSXkyffCu", "https://xhslink.com/m/8PSSXkyffCu")</f>
        <v>https://xhslink.com/m/8PSSXkyffCu</v>
      </c>
      <c r="D2506"/>
      <c r="E2506">
        <v>4949</v>
      </c>
      <c r="F2506">
        <v>8.8</v>
      </c>
      <c r="G2506"/>
      <c r="H2506">
        <v>950</v>
      </c>
      <c r="I2506"/>
      <c r="J2506"/>
      <c r="K2506" t="inlineStr">
        <is>
          <t>教师资料</t>
        </is>
      </c>
      <c r="L2506" t="inlineStr">
        <is>
          <t>🔥低粉爆款</t>
        </is>
      </c>
      <c r="M2506" t="inlineStr">
        <is>
          <t>悠悠可爱的店</t>
        </is>
      </c>
      <c r="N2506">
        <v>1343</v>
      </c>
      <c r="O2506">
        <v>4.65</v>
      </c>
      <c r="P2506">
        <v>17000</v>
      </c>
      <c r="Q2506" t="inlineStr">
        <is>
          <t>68fa4e0fc8f8b8000188968b</t>
        </is>
      </c>
      <c r="R2506" t="inlineStr">
        <is>
          <t>🚫重复</t>
        </is>
      </c>
      <c r="S2506" t="inlineStr">
        <is>
          <t>教资资料</t>
        </is>
      </c>
      <c r="T2506" t="inlineStr">
        <is>
          <t>3.69</t>
        </is>
      </c>
      <c r="U2506" s="3">
        <v>46112.78107638889</v>
      </c>
      <c r="V2506"/>
      <c r="W2506" s="3">
        <v>46101</v>
      </c>
      <c r="X2506" t="inlineStr">
        <is>
          <t>03</t>
        </is>
      </c>
      <c r="Y2506" t="inlineStr">
        <is>
          <t>2026-Q1</t>
        </is>
      </c>
    </row>
    <row r="2507" ht="38.25" customHeight="1">
      <c r="A2507" t="inlineStr">
        <is>
          <t>2026上教师资格证教资十年历年真题综合素质教育知识与能力可打印</t>
        </is>
      </c>
      <c r="B2507" t="inlineStr">
        <is>
          <t>recven67lIMQLx.jpg</t>
        </is>
      </c>
      <c r="C2507" s="2" t="str">
        <f>=HYPERLINK("https://xhslink.com/m/96rkiJrbM9H", "https://xhslink.com/m/96rkiJrbM9H")</f>
        <v>https://xhslink.com/m/96rkiJrbM9H</v>
      </c>
      <c r="D2507"/>
      <c r="E2507">
        <v>1310</v>
      </c>
      <c r="F2507">
        <v>1</v>
      </c>
      <c r="G2507"/>
      <c r="H2507">
        <v>300</v>
      </c>
      <c r="I2507"/>
      <c r="J2507"/>
      <c r="K2507" t="inlineStr">
        <is>
          <t>教务资料</t>
        </is>
      </c>
      <c r="L2507" t="inlineStr">
        <is>
          <t>🔥低粉爆款</t>
        </is>
      </c>
      <c r="M2507" t="inlineStr">
        <is>
          <t>上岸吧你的店</t>
        </is>
      </c>
      <c r="N2507">
        <v>306</v>
      </c>
      <c r="O2507">
        <v>4.21</v>
      </c>
      <c r="P2507">
        <v>3679</v>
      </c>
      <c r="Q2507" t="inlineStr">
        <is>
          <t>69467710f17edd0001b2e856</t>
        </is>
      </c>
      <c r="R2507" t="inlineStr">
        <is>
          <t>🚫重复</t>
        </is>
      </c>
      <c r="S2507" t="inlineStr">
        <is>
          <t>教资资料</t>
        </is>
      </c>
      <c r="T2507" t="inlineStr">
        <is>
          <t>4.28</t>
        </is>
      </c>
      <c r="U2507" s="3">
        <v>46112.78107638889</v>
      </c>
      <c r="V2507"/>
      <c r="W2507" s="3">
        <v>46101</v>
      </c>
      <c r="X2507" t="inlineStr">
        <is>
          <t>03</t>
        </is>
      </c>
      <c r="Y2507" t="inlineStr">
        <is>
          <t>2026-Q1</t>
        </is>
      </c>
    </row>
    <row r="2508" ht="38.25" customHeight="1">
      <c r="A2508" t="inlineStr">
        <is>
          <t>马年新春小学班主任开学第一课（年级自选）</t>
        </is>
      </c>
      <c r="B2508" t="inlineStr">
        <is>
          <t>recven67lIYK3e.jpg</t>
        </is>
      </c>
      <c r="C2508" s="2" t="str">
        <f>=HYPERLINK("https://xhslink.com/m/4UjSHyoplGE", "https://xhslink.com/m/4UjSHyoplGE")</f>
        <v>https://xhslink.com/m/4UjSHyoplGE</v>
      </c>
      <c r="D2508"/>
      <c r="E2508">
        <v>1615</v>
      </c>
      <c r="F2508">
        <v>9.99</v>
      </c>
      <c r="G2508"/>
      <c r="H2508">
        <v>250</v>
      </c>
      <c r="I2508"/>
      <c r="J2508"/>
      <c r="K2508" t="inlineStr">
        <is>
          <t>班主任资料</t>
        </is>
      </c>
      <c r="L2508"/>
      <c r="M2508" t="inlineStr">
        <is>
          <t>伢伢老师的店</t>
        </is>
      </c>
      <c r="N2508">
        <v>24000</v>
      </c>
      <c r="O2508">
        <v>4.36</v>
      </c>
      <c r="P2508">
        <v>84000</v>
      </c>
      <c r="Q2508" t="inlineStr">
        <is>
          <t>69919926a87a4d0001caebe4</t>
        </is>
      </c>
      <c r="R2508" t="inlineStr">
        <is>
          <t>🚫重复</t>
        </is>
      </c>
      <c r="S2508" t="inlineStr">
        <is>
          <t>中小学教辅/教材</t>
        </is>
      </c>
      <c r="T2508" t="inlineStr">
        <is>
          <t>0.07</t>
        </is>
      </c>
      <c r="U2508" s="3">
        <v>46112.78107638889</v>
      </c>
      <c r="V2508"/>
      <c r="W2508" s="3">
        <v>46101</v>
      </c>
      <c r="X2508" t="inlineStr">
        <is>
          <t>03</t>
        </is>
      </c>
      <c r="Y2508" t="inlineStr">
        <is>
          <t>2026-Q1</t>
        </is>
      </c>
    </row>
    <row r="2509" ht="38.25" customHeight="1">
      <c r="A2509" t="inlineStr">
        <is>
          <t>25秋人教7-9上下册英语课件PPT+教案资料包</t>
        </is>
      </c>
      <c r="B2509" t="inlineStr">
        <is>
          <t>recveySpCPnyns.jpg</t>
        </is>
      </c>
      <c r="C2509" s="2" t="str">
        <f>=HYPERLINK("https://xhslink.com/m/84XGrcc5yV", "https://xhslink.com/m/84XGrcc5yV")</f>
        <v>https://xhslink.com/m/84XGrcc5yV</v>
      </c>
      <c r="D2509"/>
      <c r="E2509">
        <v>1191</v>
      </c>
      <c r="F2509">
        <v>7.8</v>
      </c>
      <c r="G2509"/>
      <c r="H2509">
        <v>400</v>
      </c>
      <c r="I2509">
        <v>1000</v>
      </c>
      <c r="J2509"/>
      <c r="K2509" t="inlineStr">
        <is>
          <t>七年级下册英语</t>
        </is>
      </c>
      <c r="L2509"/>
      <c r="M2509" t="inlineStr">
        <is>
          <t>养一朵云的店</t>
        </is>
      </c>
      <c r="N2509">
        <v>4326</v>
      </c>
      <c r="O2509">
        <v>4.59</v>
      </c>
      <c r="P2509">
        <v>32000</v>
      </c>
      <c r="Q2509" t="inlineStr">
        <is>
          <t>68f09974ce94ee00016d7ccf</t>
        </is>
      </c>
      <c r="R2509"/>
      <c r="S2509" t="inlineStr">
        <is>
          <t>PPT模板</t>
        </is>
      </c>
      <c r="T2509" t="inlineStr">
        <is>
          <t>0.28</t>
        </is>
      </c>
      <c r="U2509" s="3">
        <v>46112.78107638889</v>
      </c>
      <c r="V2509"/>
      <c r="W2509" s="3">
        <v>46103</v>
      </c>
      <c r="X2509" t="inlineStr">
        <is>
          <t>03</t>
        </is>
      </c>
      <c r="Y2509" t="inlineStr">
        <is>
          <t>2026-Q1</t>
        </is>
      </c>
    </row>
    <row r="2510" ht="38.25" customHeight="1">
      <c r="A2510" t="inlineStr">
        <is>
          <t>七下人教版英语语法梳理+专练</t>
        </is>
      </c>
      <c r="B2510" t="inlineStr">
        <is>
          <t>recveySpCPUro3.jpg</t>
        </is>
      </c>
      <c r="C2510" s="2" t="str">
        <f>=HYPERLINK("https://xhslink.com/m/6jJmIQwF9jn", "https://xhslink.com/m/6jJmIQwF9jn")</f>
        <v>https://xhslink.com/m/6jJmIQwF9jn</v>
      </c>
      <c r="D2510"/>
      <c r="E2510">
        <v>1506</v>
      </c>
      <c r="F2510">
        <v>3.2</v>
      </c>
      <c r="G2510"/>
      <c r="H2510">
        <v>450</v>
      </c>
      <c r="I2510"/>
      <c r="J2510"/>
      <c r="K2510" t="inlineStr">
        <is>
          <t>七年级下册英语</t>
        </is>
      </c>
      <c r="L2510"/>
      <c r="M2510" t="inlineStr">
        <is>
          <t>永不放弃的蜗牛的店</t>
        </is>
      </c>
      <c r="N2510">
        <v>3097</v>
      </c>
      <c r="O2510">
        <v>4.66</v>
      </c>
      <c r="P2510">
        <v>17000</v>
      </c>
      <c r="Q2510" t="inlineStr">
        <is>
          <t>6856d313835e250001095f0e</t>
        </is>
      </c>
      <c r="R2510"/>
      <c r="S2510" t="inlineStr">
        <is>
          <t>中小学教辅/教材</t>
        </is>
      </c>
      <c r="T2510" t="inlineStr">
        <is>
          <t>0.49</t>
        </is>
      </c>
      <c r="U2510" s="3">
        <v>46112.78107638889</v>
      </c>
      <c r="V2510"/>
      <c r="W2510" s="3">
        <v>46103</v>
      </c>
      <c r="X2510" t="inlineStr">
        <is>
          <t>03</t>
        </is>
      </c>
      <c r="Y2510" t="inlineStr">
        <is>
          <t>2026-Q1</t>
        </is>
      </c>
    </row>
    <row r="2511" ht="38.25" customHeight="1">
      <c r="A2511" t="inlineStr">
        <is>
          <t>2026初中英语外研版七八九年级辅导资料教案PPT试题讲义音频课件</t>
        </is>
      </c>
      <c r="B2511" t="inlineStr">
        <is>
          <t>recveySpCPvMQG.jpg</t>
        </is>
      </c>
      <c r="C2511" s="2" t="str">
        <f>=HYPERLINK("https://xhslink.com/m/4fTaOagFZY2", "https://xhslink.com/m/4fTaOagFZY2")</f>
        <v>https://xhslink.com/m/4fTaOagFZY2</v>
      </c>
      <c r="D2511"/>
      <c r="E2511">
        <v>1253</v>
      </c>
      <c r="F2511">
        <v>12.8</v>
      </c>
      <c r="G2511"/>
      <c r="H2511">
        <v>400</v>
      </c>
      <c r="I2511"/>
      <c r="J2511"/>
      <c r="K2511" t="inlineStr">
        <is>
          <t>七年级下册英语</t>
        </is>
      </c>
      <c r="L2511" t="inlineStr">
        <is>
          <t>🔥低粉爆款</t>
        </is>
      </c>
      <c r="M2511" t="inlineStr">
        <is>
          <t>喵喵自习室的店</t>
        </is>
      </c>
      <c r="N2511">
        <v>165</v>
      </c>
      <c r="O2511">
        <v>4.43</v>
      </c>
      <c r="P2511">
        <v>1475</v>
      </c>
      <c r="Q2511" t="inlineStr">
        <is>
          <t>696452fd05a37f00012d433b</t>
        </is>
      </c>
      <c r="R2511"/>
      <c r="S2511" t="inlineStr">
        <is>
          <t>中小学教辅/教材</t>
        </is>
      </c>
      <c r="T2511" t="inlineStr">
        <is>
          <t>7.59</t>
        </is>
      </c>
      <c r="U2511" s="3">
        <v>46112.78107638889</v>
      </c>
      <c r="V2511"/>
      <c r="W2511" s="3">
        <v>46103</v>
      </c>
      <c r="X2511" t="inlineStr">
        <is>
          <t>03</t>
        </is>
      </c>
      <c r="Y2511" t="inlineStr">
        <is>
          <t>2026-Q1</t>
        </is>
      </c>
    </row>
    <row r="2512" ht="38.25" customHeight="1">
      <c r="A2512" t="inlineStr">
        <is>
          <t>新人教版七年级下册英语课件PPT教案讲义笔记练习题试卷资料包</t>
        </is>
      </c>
      <c r="B2512" t="inlineStr">
        <is>
          <t>recveySpCPAL6g.jpg</t>
        </is>
      </c>
      <c r="C2512" s="2" t="str">
        <f>=HYPERLINK("https://xhslink.com/m/2eGh8ZOwUMd", "https://xhslink.com/m/2eGh8ZOwUMd")</f>
        <v>https://xhslink.com/m/2eGh8ZOwUMd</v>
      </c>
      <c r="D2512"/>
      <c r="E2512">
        <v>2141</v>
      </c>
      <c r="F2512">
        <v>1</v>
      </c>
      <c r="G2512"/>
      <c r="H2512">
        <v>1000</v>
      </c>
      <c r="I2512"/>
      <c r="J2512"/>
      <c r="K2512" t="inlineStr">
        <is>
          <t>七年级下册英语</t>
        </is>
      </c>
      <c r="L2512"/>
      <c r="M2512" t="inlineStr">
        <is>
          <t>大赚二皮的店</t>
        </is>
      </c>
      <c r="N2512">
        <v>1521</v>
      </c>
      <c r="O2512">
        <v>4.51</v>
      </c>
      <c r="P2512">
        <v>27000</v>
      </c>
      <c r="Q2512" t="inlineStr">
        <is>
          <t>697368c339c8000001a73b3b</t>
        </is>
      </c>
      <c r="R2512" t="inlineStr">
        <is>
          <t>🚫重复</t>
        </is>
      </c>
      <c r="S2512" t="inlineStr">
        <is>
          <t>中小学教辅/教材</t>
        </is>
      </c>
      <c r="T2512" t="inlineStr">
        <is>
          <t>1.41</t>
        </is>
      </c>
      <c r="U2512" s="3">
        <v>46112.78107638889</v>
      </c>
      <c r="V2512"/>
      <c r="W2512" s="3">
        <v>46103</v>
      </c>
      <c r="X2512" t="inlineStr">
        <is>
          <t>03</t>
        </is>
      </c>
      <c r="Y2512" t="inlineStr">
        <is>
          <t>2026-Q1</t>
        </is>
      </c>
    </row>
    <row r="2513" ht="38.25" customHeight="1">
      <c r="A2513" t="inlineStr">
        <is>
          <t>2026春季新人教版 初中英语同步讲义知识清单导学案课件ppt练习</t>
        </is>
      </c>
      <c r="B2513" t="inlineStr">
        <is>
          <t>recveySpCPpvXO.jpg</t>
        </is>
      </c>
      <c r="C2513" s="2" t="str">
        <f>=HYPERLINK("https://xhslink.com/m/86Lqnc0X1VC", "https://xhslink.com/m/86Lqnc0X1VC")</f>
        <v>https://xhslink.com/m/86Lqnc0X1VC</v>
      </c>
      <c r="D2513"/>
      <c r="E2513">
        <v>1899</v>
      </c>
      <c r="F2513">
        <v>9.9</v>
      </c>
      <c r="G2513"/>
      <c r="H2513">
        <v>250</v>
      </c>
      <c r="I2513"/>
      <c r="J2513"/>
      <c r="K2513" t="inlineStr">
        <is>
          <t>八年级下册英语</t>
        </is>
      </c>
      <c r="L2513"/>
      <c r="M2513" t="inlineStr">
        <is>
          <t>贝乐的图书资料的店</t>
        </is>
      </c>
      <c r="N2513">
        <v>1202</v>
      </c>
      <c r="O2513">
        <v>4.21</v>
      </c>
      <c r="P2513">
        <v>4056</v>
      </c>
      <c r="Q2513" t="inlineStr">
        <is>
          <t>68613b3a7e7bf00001175694</t>
        </is>
      </c>
      <c r="R2513"/>
      <c r="S2513" t="inlineStr">
        <is>
          <t>中小学教辅/教材</t>
        </is>
      </c>
      <c r="T2513" t="inlineStr">
        <is>
          <t>1.58</t>
        </is>
      </c>
      <c r="U2513" s="3">
        <v>46112.78107638889</v>
      </c>
      <c r="V2513"/>
      <c r="W2513" s="3">
        <v>46103</v>
      </c>
      <c r="X2513" t="inlineStr">
        <is>
          <t>03</t>
        </is>
      </c>
      <c r="Y2513" t="inlineStr">
        <is>
          <t>2026-Q1</t>
        </is>
      </c>
    </row>
    <row r="2514" ht="38.25" customHeight="1">
      <c r="A2514" t="inlineStr">
        <is>
          <t>新人教版八年级英语下预习资料</t>
        </is>
      </c>
      <c r="B2514" t="inlineStr">
        <is>
          <t>recveySpCPv0iL.jpg</t>
        </is>
      </c>
      <c r="C2514" s="2" t="str">
        <f>=HYPERLINK("https://xhslink.com/m/6sE8YTHrdzd", "https://xhslink.com/m/6sE8YTHrdzd")</f>
        <v>https://xhslink.com/m/6sE8YTHrdzd</v>
      </c>
      <c r="D2514"/>
      <c r="E2514">
        <v>665</v>
      </c>
      <c r="F2514">
        <v>49.9</v>
      </c>
      <c r="G2514"/>
      <c r="H2514">
        <v>150</v>
      </c>
      <c r="I2514"/>
      <c r="J2514"/>
      <c r="K2514" t="inlineStr">
        <is>
          <t>八年级下册英语</t>
        </is>
      </c>
      <c r="L2514"/>
      <c r="M2514" t="inlineStr">
        <is>
          <t>英语杰西老师的店</t>
        </is>
      </c>
      <c r="N2514">
        <v>2746</v>
      </c>
      <c r="O2514">
        <v>4.11</v>
      </c>
      <c r="P2514">
        <v>6189</v>
      </c>
      <c r="Q2514" t="inlineStr">
        <is>
          <t>699a75c42080aa0001b46e1a</t>
        </is>
      </c>
      <c r="R2514"/>
      <c r="S2514" t="inlineStr">
        <is>
          <t>中小学教辅/教材</t>
        </is>
      </c>
      <c r="T2514" t="inlineStr">
        <is>
          <t>0.24</t>
        </is>
      </c>
      <c r="U2514" s="3">
        <v>46112.78107638889</v>
      </c>
      <c r="V2514"/>
      <c r="W2514" s="3">
        <v>46103</v>
      </c>
      <c r="X2514" t="inlineStr">
        <is>
          <t>03</t>
        </is>
      </c>
      <c r="Y2514" t="inlineStr">
        <is>
          <t>2026-Q1</t>
        </is>
      </c>
    </row>
    <row r="2515" ht="38.25" customHeight="1">
      <c r="A2515" t="inlineStr">
        <is>
          <t>2026年考研英语一历年真题+答案详解pdf电子版</t>
        </is>
      </c>
      <c r="B2515" t="inlineStr">
        <is>
          <t>recveySpCPGiEX.jpg</t>
        </is>
      </c>
      <c r="C2515" s="2" t="str">
        <f>=HYPERLINK("https://xhslink.com/m/6IXQ4MGTRoi", "https://xhslink.com/m/6IXQ4MGTRoi")</f>
        <v>https://xhslink.com/m/6IXQ4MGTRoi</v>
      </c>
      <c r="D2515"/>
      <c r="E2515">
        <v>6971</v>
      </c>
      <c r="F2515">
        <v>1.88</v>
      </c>
      <c r="G2515"/>
      <c r="H2515">
        <v>150</v>
      </c>
      <c r="I2515"/>
      <c r="J2515"/>
      <c r="K2515" t="inlineStr">
        <is>
          <t>PDF</t>
        </is>
      </c>
      <c r="L2515" t="inlineStr">
        <is>
          <t>🔥低粉爆款</t>
        </is>
      </c>
      <c r="M2515" t="inlineStr">
        <is>
          <t>七秀爱学习的店</t>
        </is>
      </c>
      <c r="N2515">
        <v>624</v>
      </c>
      <c r="O2515">
        <v>4.38</v>
      </c>
      <c r="P2515">
        <v>10000</v>
      </c>
      <c r="Q2515" t="inlineStr">
        <is>
          <t>68342d7842360a0001b56bb0</t>
        </is>
      </c>
      <c r="R2515" t="inlineStr">
        <is>
          <t>🚫重复</t>
        </is>
      </c>
      <c r="S2515" t="inlineStr">
        <is>
          <t>考研资料</t>
        </is>
      </c>
      <c r="T2515" t="inlineStr">
        <is>
          <t>11.17</t>
        </is>
      </c>
      <c r="U2515" s="3">
        <v>46112.78107638889</v>
      </c>
      <c r="V2515"/>
      <c r="W2515" s="3">
        <v>46103</v>
      </c>
      <c r="X2515" t="inlineStr">
        <is>
          <t>03</t>
        </is>
      </c>
      <c r="Y2515" t="inlineStr">
        <is>
          <t>2026-Q1</t>
        </is>
      </c>
    </row>
    <row r="2516" ht="38.25" customHeight="1">
      <c r="A2516" t="inlineStr">
        <is>
          <t>100天零基础自学绘画速成计划-模版-素材-书籍-教程-思维导图</t>
        </is>
      </c>
      <c r="B2516" t="inlineStr">
        <is>
          <t>recveySpCPFa29.jpg</t>
        </is>
      </c>
      <c r="C2516" s="2" t="str">
        <f>=HYPERLINK("https://xhslink.com/m/2CDf46Tu7OH", "https://xhslink.com/m/2CDf46Tu7OH")</f>
        <v>https://xhslink.com/m/2CDf46Tu7OH</v>
      </c>
      <c r="D2516"/>
      <c r="E2516">
        <v>4265</v>
      </c>
      <c r="F2516">
        <v>39.9</v>
      </c>
      <c r="G2516"/>
      <c r="H2516">
        <v>850</v>
      </c>
      <c r="I2516"/>
      <c r="J2516"/>
      <c r="K2516" t="inlineStr">
        <is>
          <t>教程</t>
        </is>
      </c>
      <c r="L2516"/>
      <c r="M2516" t="inlineStr">
        <is>
          <t>马卡龙自学绘画的店</t>
        </is>
      </c>
      <c r="N2516">
        <v>2412</v>
      </c>
      <c r="O2516">
        <v>4.44</v>
      </c>
      <c r="P2516">
        <v>4336</v>
      </c>
      <c r="Q2516" t="inlineStr">
        <is>
          <t>68554afd1201ac000135596e</t>
        </is>
      </c>
      <c r="R2516"/>
      <c r="S2516" t="inlineStr">
        <is>
          <t>无匹配类别</t>
        </is>
      </c>
      <c r="T2516" t="inlineStr">
        <is>
          <t>1.77</t>
        </is>
      </c>
      <c r="U2516" s="3">
        <v>46112.78107638889</v>
      </c>
      <c r="V2516"/>
      <c r="W2516" s="3">
        <v>46103</v>
      </c>
      <c r="X2516" t="inlineStr">
        <is>
          <t>03</t>
        </is>
      </c>
      <c r="Y2516" t="inlineStr">
        <is>
          <t>2026-Q1</t>
        </is>
      </c>
    </row>
    <row r="2517" ht="38.25" customHeight="1">
      <c r="A2517" t="inlineStr">
        <is>
          <t>goodnotes7/5笔记订阅模板 含手账素材 一年有效</t>
        </is>
      </c>
      <c r="B2517" t="inlineStr">
        <is>
          <t>recveySpCPw5lR.jpg</t>
        </is>
      </c>
      <c r="C2517" s="2" t="str">
        <f>=HYPERLINK("https://xhslink.com/m/1HVMqVzthTC", "https://xhslink.com/m/1HVMqVzthTC")</f>
        <v>https://xhslink.com/m/1HVMqVzthTC</v>
      </c>
      <c r="D2517"/>
      <c r="E2517">
        <v>4112</v>
      </c>
      <c r="F2517">
        <v>3.88</v>
      </c>
      <c r="G2517"/>
      <c r="H2517">
        <v>900</v>
      </c>
      <c r="I2517"/>
      <c r="J2517"/>
      <c r="K2517" t="inlineStr">
        <is>
          <t>模板</t>
        </is>
      </c>
      <c r="L2517" t="inlineStr">
        <is>
          <t>🔥低粉爆款</t>
        </is>
      </c>
      <c r="M2517" t="inlineStr">
        <is>
          <t>沐焉的店</t>
        </is>
      </c>
      <c r="N2517">
        <v>560</v>
      </c>
      <c r="O2517">
        <v>4.06</v>
      </c>
      <c r="P2517">
        <v>4463</v>
      </c>
      <c r="Q2517" t="inlineStr">
        <is>
          <t>689b13b7c43910000134a9d7</t>
        </is>
      </c>
      <c r="R2517"/>
      <c r="S2517" t="inlineStr">
        <is>
          <t>设计素材</t>
        </is>
      </c>
      <c r="T2517" t="inlineStr">
        <is>
          <t>7.34</t>
        </is>
      </c>
      <c r="U2517" s="3">
        <v>46112.78107638889</v>
      </c>
      <c r="V2517"/>
      <c r="W2517" s="3">
        <v>46103</v>
      </c>
      <c r="X2517" t="inlineStr">
        <is>
          <t>03</t>
        </is>
      </c>
      <c r="Y2517" t="inlineStr">
        <is>
          <t>2026-Q1</t>
        </is>
      </c>
    </row>
    <row r="2518" ht="38.25" customHeight="1">
      <c r="A2518" t="inlineStr">
        <is>
          <t>打包40+款俱乐部文字排面模板 包含：结单 冠名 存单 模板素材</t>
        </is>
      </c>
      <c r="B2518" t="inlineStr">
        <is>
          <t>recveySpCPWyz4.jpg</t>
        </is>
      </c>
      <c r="C2518" s="2" t="str">
        <f>=HYPERLINK("https://xhslink.com/m/6UxXbHPFWyP", "https://xhslink.com/m/6UxXbHPFWyP")</f>
        <v>https://xhslink.com/m/6UxXbHPFWyP</v>
      </c>
      <c r="D2518"/>
      <c r="E2518">
        <v>1482</v>
      </c>
      <c r="F2518">
        <v>1.59</v>
      </c>
      <c r="G2518"/>
      <c r="H2518">
        <v>250</v>
      </c>
      <c r="I2518"/>
      <c r="J2518"/>
      <c r="K2518" t="inlineStr">
        <is>
          <t>模板</t>
        </is>
      </c>
      <c r="L2518"/>
      <c r="M2518" t="inlineStr">
        <is>
          <t>汐宝 の美化的店</t>
        </is>
      </c>
      <c r="N2518">
        <v>1671</v>
      </c>
      <c r="O2518">
        <v>4.61</v>
      </c>
      <c r="P2518">
        <v>17000</v>
      </c>
      <c r="Q2518" t="inlineStr">
        <is>
          <t>696afb1d9727930001458e26</t>
        </is>
      </c>
      <c r="R2518"/>
      <c r="S2518" t="inlineStr">
        <is>
          <t>设计素材</t>
        </is>
      </c>
      <c r="T2518" t="inlineStr">
        <is>
          <t>0.89</t>
        </is>
      </c>
      <c r="U2518" s="3">
        <v>46112.78107638889</v>
      </c>
      <c r="V2518"/>
      <c r="W2518" s="3">
        <v>46103</v>
      </c>
      <c r="X2518" t="inlineStr">
        <is>
          <t>03</t>
        </is>
      </c>
      <c r="Y2518" t="inlineStr">
        <is>
          <t>2026-Q1</t>
        </is>
      </c>
    </row>
    <row r="2519" ht="38.25" customHeight="1">
      <c r="A2519" t="inlineStr">
        <is>
          <t>视频转文字 视频录音提取文案 短语音转换文本 其他模板</t>
        </is>
      </c>
      <c r="B2519" t="inlineStr">
        <is>
          <t>recveySpCPtK5r.jpg</t>
        </is>
      </c>
      <c r="C2519" s="2" t="str">
        <f>=HYPERLINK("https://xhslink.com/m/7Zt4q610Di", "https://xhslink.com/m/7Zt4q610Di")</f>
        <v>https://xhslink.com/m/7Zt4q610Di</v>
      </c>
      <c r="D2519"/>
      <c r="E2519">
        <v>5339</v>
      </c>
      <c r="F2519">
        <v>9.6</v>
      </c>
      <c r="G2519"/>
      <c r="H2519">
        <v>100</v>
      </c>
      <c r="I2519"/>
      <c r="J2519"/>
      <c r="K2519" t="inlineStr">
        <is>
          <t>模板</t>
        </is>
      </c>
      <c r="L2519"/>
      <c r="M2519" t="inlineStr">
        <is>
          <t>小喵文案提取的店</t>
        </is>
      </c>
      <c r="N2519">
        <v>2956</v>
      </c>
      <c r="O2519">
        <v>4.14</v>
      </c>
      <c r="P2519">
        <v>8124</v>
      </c>
      <c r="Q2519" t="inlineStr">
        <is>
          <t>676125f079f3cb00015fdc9e</t>
        </is>
      </c>
      <c r="R2519"/>
      <c r="S2519" t="inlineStr">
        <is>
          <t>软件应用</t>
        </is>
      </c>
      <c r="T2519" t="inlineStr">
        <is>
          <t>1.81</t>
        </is>
      </c>
      <c r="U2519" s="3">
        <v>46112.78107638889</v>
      </c>
      <c r="V2519"/>
      <c r="W2519" s="3">
        <v>46103</v>
      </c>
      <c r="X2519" t="inlineStr">
        <is>
          <t>03</t>
        </is>
      </c>
      <c r="Y2519" t="inlineStr">
        <is>
          <t>2026-Q1</t>
        </is>
      </c>
    </row>
    <row r="2520" ht="38.25" customHeight="1">
      <c r="A2520" t="inlineStr">
        <is>
          <t>通用电子表格简历模板-手机/电脑可填写-24h 自动发货M01</t>
        </is>
      </c>
      <c r="B2520" t="inlineStr">
        <is>
          <t>recveySpCPRBpw.jpg</t>
        </is>
      </c>
      <c r="C2520" s="2" t="str">
        <f>=HYPERLINK("https://xhslink.com/m/AZXCfmmu2w4", "https://xhslink.com/m/AZXCfmmu2w4")</f>
        <v>https://xhslink.com/m/AZXCfmmu2w4</v>
      </c>
      <c r="D2520"/>
      <c r="E2520">
        <v>27000</v>
      </c>
      <c r="F2520">
        <v>0.98</v>
      </c>
      <c r="G2520"/>
      <c r="H2520">
        <v>2500</v>
      </c>
      <c r="I2520"/>
      <c r="J2520"/>
      <c r="K2520" t="inlineStr">
        <is>
          <t>模板</t>
        </is>
      </c>
      <c r="L2520"/>
      <c r="M2520" t="inlineStr">
        <is>
          <t>求职简历模板的店</t>
        </is>
      </c>
      <c r="N2520">
        <v>16000</v>
      </c>
      <c r="O2520">
        <v>4.55</v>
      </c>
      <c r="P2520">
        <v>40000</v>
      </c>
      <c r="Q2520" t="inlineStr">
        <is>
          <t>67a84aa717cfa00001600a0d</t>
        </is>
      </c>
      <c r="R2520" t="inlineStr">
        <is>
          <t>🚫重复</t>
        </is>
      </c>
      <c r="S2520" t="inlineStr">
        <is>
          <t>求职面试/职场</t>
        </is>
      </c>
      <c r="T2520" t="inlineStr">
        <is>
          <t>1.69</t>
        </is>
      </c>
      <c r="U2520" s="3">
        <v>46112.78107638889</v>
      </c>
      <c r="V2520"/>
      <c r="W2520" s="3">
        <v>46103</v>
      </c>
      <c r="X2520" t="inlineStr">
        <is>
          <t>03</t>
        </is>
      </c>
      <c r="Y2520" t="inlineStr">
        <is>
          <t>2026-Q1</t>
        </is>
      </c>
    </row>
    <row r="2521" ht="38.25" customHeight="1">
      <c r="A2521" t="inlineStr">
        <is>
          <t>【汐汐牌】蓝色的圈 （模板源文件）（不是接稿！！）</t>
        </is>
      </c>
      <c r="B2521" t="inlineStr">
        <is>
          <t>recveySpCPjbtE.jpg</t>
        </is>
      </c>
      <c r="C2521" s="2" t="str">
        <f>=HYPERLINK("https://xhslink.com/m/AooSgcrbUtc", "https://xhslink.com/m/AooSgcrbUtc")</f>
        <v>https://xhslink.com/m/AooSgcrbUtc</v>
      </c>
      <c r="D2521"/>
      <c r="E2521">
        <v>1300</v>
      </c>
      <c r="F2521">
        <v>3</v>
      </c>
      <c r="G2521"/>
      <c r="H2521">
        <v>350</v>
      </c>
      <c r="I2521">
        <v>1000</v>
      </c>
      <c r="J2521"/>
      <c r="K2521" t="inlineStr">
        <is>
          <t>模板</t>
        </is>
      </c>
      <c r="L2521"/>
      <c r="M2521" t="inlineStr">
        <is>
          <t>汐汐子不接稿只卖模板的店</t>
        </is>
      </c>
      <c r="N2521">
        <v>8327</v>
      </c>
      <c r="O2521">
        <v>4.55</v>
      </c>
      <c r="P2521">
        <v>13000</v>
      </c>
      <c r="Q2521" t="inlineStr">
        <is>
          <t>696cba63c3b74e0001dad28f</t>
        </is>
      </c>
      <c r="R2521" t="inlineStr">
        <is>
          <t>🚫重复</t>
        </is>
      </c>
      <c r="S2521" t="inlineStr">
        <is>
          <t>设计素材</t>
        </is>
      </c>
      <c r="T2521" t="inlineStr">
        <is>
          <t>0.16</t>
        </is>
      </c>
      <c r="U2521" s="3">
        <v>46112.78107638889</v>
      </c>
      <c r="V2521"/>
      <c r="W2521" s="3">
        <v>46103</v>
      </c>
      <c r="X2521" t="inlineStr">
        <is>
          <t>03</t>
        </is>
      </c>
      <c r="Y2521" t="inlineStr">
        <is>
          <t>2026-Q1</t>
        </is>
      </c>
    </row>
    <row r="2522" ht="38.25" customHeight="1">
      <c r="A2522" t="inlineStr">
        <is>
          <t>各种原视频素材模板</t>
        </is>
      </c>
      <c r="B2522" t="inlineStr">
        <is>
          <t>recveySpCPlfdV.jpg</t>
        </is>
      </c>
      <c r="C2522" s="2" t="str">
        <f>=HYPERLINK("https://xhslink.com/m/7tLr3nN7oIn", "https://xhslink.com/m/7tLr3nN7oIn")</f>
        <v>https://xhslink.com/m/7tLr3nN7oIn</v>
      </c>
      <c r="D2522"/>
      <c r="E2522">
        <v>4884</v>
      </c>
      <c r="F2522">
        <v>33.99</v>
      </c>
      <c r="G2522"/>
      <c r="H2522">
        <v>200</v>
      </c>
      <c r="I2522"/>
      <c r="J2522"/>
      <c r="K2522" t="inlineStr">
        <is>
          <t>模板</t>
        </is>
      </c>
      <c r="L2522"/>
      <c r="M2522" t="inlineStr">
        <is>
          <t>苏洵汐的店</t>
        </is>
      </c>
      <c r="N2522">
        <v>3220</v>
      </c>
      <c r="O2522">
        <v>4.07</v>
      </c>
      <c r="P2522">
        <v>4934</v>
      </c>
      <c r="Q2522" t="inlineStr">
        <is>
          <t>675b9e64ba056e0001d3ccbe</t>
        </is>
      </c>
      <c r="R2522"/>
      <c r="S2522" t="inlineStr">
        <is>
          <t>无匹配类别</t>
        </is>
      </c>
      <c r="T2522" t="inlineStr">
        <is>
          <t>1.52</t>
        </is>
      </c>
      <c r="U2522" s="3">
        <v>46112.78107638889</v>
      </c>
      <c r="V2522"/>
      <c r="W2522" s="3">
        <v>46103</v>
      </c>
      <c r="X2522" t="inlineStr">
        <is>
          <t>03</t>
        </is>
      </c>
      <c r="Y2522" t="inlineStr">
        <is>
          <t>2026-Q1</t>
        </is>
      </c>
    </row>
    <row r="2523" ht="38.25" customHeight="1">
      <c r="A2523" t="inlineStr">
        <is>
          <t>（模板出商使）古风眼睛条·如絮·旺财牌</t>
        </is>
      </c>
      <c r="B2523" t="inlineStr">
        <is>
          <t>recveySpCPtnxu.jpg</t>
        </is>
      </c>
      <c r="C2523" s="2" t="str">
        <f>=HYPERLINK("https://xhslink.com/m/IlVpgZca98", "https://xhslink.com/m/IlVpgZca98")</f>
        <v>https://xhslink.com/m/IlVpgZca98</v>
      </c>
      <c r="D2523"/>
      <c r="E2523">
        <v>530</v>
      </c>
      <c r="F2523">
        <v>6</v>
      </c>
      <c r="G2523"/>
      <c r="H2523">
        <v>100</v>
      </c>
      <c r="I2523"/>
      <c r="J2523"/>
      <c r="K2523" t="inlineStr">
        <is>
          <t>模板</t>
        </is>
      </c>
      <c r="L2523"/>
      <c r="M2523" t="inlineStr">
        <is>
          <t>旺财财团CEO【有任何问题请找群管理员】的店</t>
        </is>
      </c>
      <c r="N2523">
        <v>7252</v>
      </c>
      <c r="O2523">
        <v>4.4</v>
      </c>
      <c r="P2523">
        <v>11000</v>
      </c>
      <c r="Q2523" t="inlineStr">
        <is>
          <t>68e462e0c753610001aa7ff6</t>
        </is>
      </c>
      <c r="R2523" t="inlineStr">
        <is>
          <t>🚫重复</t>
        </is>
      </c>
      <c r="S2523" t="inlineStr">
        <is>
          <t>PPT模板</t>
        </is>
      </c>
      <c r="T2523" t="inlineStr">
        <is>
          <t>0.07</t>
        </is>
      </c>
      <c r="U2523" s="3">
        <v>46112.78107638889</v>
      </c>
      <c r="V2523"/>
      <c r="W2523" s="3">
        <v>46103</v>
      </c>
      <c r="X2523" t="inlineStr">
        <is>
          <t>03</t>
        </is>
      </c>
      <c r="Y2523" t="inlineStr">
        <is>
          <t>2026-Q1</t>
        </is>
      </c>
    </row>
    <row r="2524" ht="38.25" customHeight="1">
      <c r="A2524" t="inlineStr">
        <is>
          <t>PPT模板 商务风立体逻辑图 220页支持Win/Mac 无水印</t>
        </is>
      </c>
      <c r="B2524" t="inlineStr">
        <is>
          <t>recveySpCPXXFJ.jpg</t>
        </is>
      </c>
      <c r="C2524" s="2" t="str">
        <f>=HYPERLINK("https://xhslink.com/m/aVGzSXJLtf", "https://xhslink.com/m/aVGzSXJLtf")</f>
        <v>https://xhslink.com/m/aVGzSXJLtf</v>
      </c>
      <c r="D2524"/>
      <c r="E2524">
        <v>6294</v>
      </c>
      <c r="F2524">
        <v>39.99</v>
      </c>
      <c r="G2524"/>
      <c r="H2524">
        <v>150</v>
      </c>
      <c r="I2524"/>
      <c r="J2524"/>
      <c r="K2524" t="inlineStr">
        <is>
          <t>模板</t>
        </is>
      </c>
      <c r="L2524"/>
      <c r="M2524" t="inlineStr">
        <is>
          <t>1248演示设计的店</t>
        </is>
      </c>
      <c r="N2524">
        <v>4488</v>
      </c>
      <c r="O2524">
        <v>4.25</v>
      </c>
      <c r="P2524">
        <v>13000</v>
      </c>
      <c r="Q2524" t="inlineStr">
        <is>
          <t>66122f0ff46f6600015b30c8</t>
        </is>
      </c>
      <c r="R2524" t="inlineStr">
        <is>
          <t>🚫重复</t>
        </is>
      </c>
      <c r="S2524" t="inlineStr">
        <is>
          <t>PPT模板</t>
        </is>
      </c>
      <c r="T2524" t="inlineStr">
        <is>
          <t>1.40</t>
        </is>
      </c>
      <c r="U2524" s="3">
        <v>46112.78107638889</v>
      </c>
      <c r="V2524"/>
      <c r="W2524" s="3">
        <v>46103</v>
      </c>
      <c r="X2524" t="inlineStr">
        <is>
          <t>03</t>
        </is>
      </c>
      <c r="Y2524" t="inlineStr">
        <is>
          <t>2026-Q1</t>
        </is>
      </c>
    </row>
    <row r="2525" ht="38.25" customHeight="1">
      <c r="A2525" t="inlineStr">
        <is>
          <t>DONELIST | 布雷酱时间记录 | 时间花在哪看得见 | 飞书时间模板</t>
        </is>
      </c>
      <c r="B2525" t="inlineStr">
        <is>
          <t>__upload_recveySpCPUi2g.jpg</t>
        </is>
      </c>
      <c r="C2525" s="2" t="str">
        <f>=HYPERLINK("https://xhslink.com/m/8sWu1Iq8n6H", "https://xhslink.com/m/8sWu1Iq8n6H")</f>
        <v>https://xhslink.com/m/8sWu1Iq8n6H</v>
      </c>
      <c r="D2525"/>
      <c r="E2525">
        <v>21000</v>
      </c>
      <c r="F2525">
        <v>39.9</v>
      </c>
      <c r="G2525"/>
      <c r="H2525">
        <v>950</v>
      </c>
      <c r="I2525"/>
      <c r="J2525">
        <v>100</v>
      </c>
      <c r="K2525" t="inlineStr">
        <is>
          <t>模板</t>
        </is>
      </c>
      <c r="L2525"/>
      <c r="M2525" t="inlineStr">
        <is>
          <t>布雷酱的人生日记的店</t>
        </is>
      </c>
      <c r="N2525">
        <v>25000</v>
      </c>
      <c r="O2525">
        <v>4.66</v>
      </c>
      <c r="P2525">
        <v>29000</v>
      </c>
      <c r="Q2525" t="inlineStr">
        <is>
          <t>67d6faf552503c0001a66291</t>
        </is>
      </c>
      <c r="R2525" t="inlineStr">
        <is>
          <t>🚫重复</t>
        </is>
      </c>
      <c r="S2525" t="inlineStr">
        <is>
          <t>生活成长</t>
        </is>
      </c>
      <c r="T2525" t="inlineStr">
        <is>
          <t>0.84</t>
        </is>
      </c>
      <c r="U2525" s="3">
        <v>46112.78107638889</v>
      </c>
      <c r="V2525"/>
      <c r="W2525" s="3">
        <v>46103</v>
      </c>
      <c r="X2525" t="inlineStr">
        <is>
          <t>03</t>
        </is>
      </c>
      <c r="Y2525" t="inlineStr">
        <is>
          <t>2026-Q1</t>
        </is>
      </c>
    </row>
    <row r="2526" ht="38.25" customHeight="1">
      <c r="A2526" t="inlineStr">
        <is>
          <t>24份热门保研夏令营预推免简历模板（电子文档/手机可编辑）</t>
        </is>
      </c>
      <c r="B2526" t="inlineStr">
        <is>
          <t>recveySpCPYXx2.jpg</t>
        </is>
      </c>
      <c r="C2526" s="2" t="str">
        <f>=HYPERLINK("https://xhslink.com/m/8X1tMR2nxtk", "https://xhslink.com/m/8X1tMR2nxtk")</f>
        <v>https://xhslink.com/m/8X1tMR2nxtk</v>
      </c>
      <c r="D2526"/>
      <c r="E2526">
        <v>5955</v>
      </c>
      <c r="F2526">
        <v>2.66</v>
      </c>
      <c r="G2526"/>
      <c r="H2526">
        <v>250</v>
      </c>
      <c r="I2526"/>
      <c r="J2526"/>
      <c r="K2526" t="inlineStr">
        <is>
          <t>模板</t>
        </is>
      </c>
      <c r="L2526"/>
      <c r="M2526" t="inlineStr">
        <is>
          <t>星淇的百宝箱的店</t>
        </is>
      </c>
      <c r="N2526">
        <v>3716</v>
      </c>
      <c r="O2526">
        <v>4.61</v>
      </c>
      <c r="P2526">
        <v>13000</v>
      </c>
      <c r="Q2526" t="inlineStr">
        <is>
          <t>67f4d389e8f24300011681d6</t>
        </is>
      </c>
      <c r="R2526"/>
      <c r="S2526" t="inlineStr">
        <is>
          <t>求职面试/职场</t>
        </is>
      </c>
      <c r="T2526" t="inlineStr">
        <is>
          <t>1.60</t>
        </is>
      </c>
      <c r="U2526" s="3">
        <v>46112.78107638889</v>
      </c>
      <c r="V2526"/>
      <c r="W2526" s="3">
        <v>46103</v>
      </c>
      <c r="X2526" t="inlineStr">
        <is>
          <t>03</t>
        </is>
      </c>
      <c r="Y2526" t="inlineStr">
        <is>
          <t>2026-Q1</t>
        </is>
      </c>
    </row>
    <row r="2527" ht="38.25" customHeight="1">
      <c r="A2527" t="inlineStr">
        <is>
          <t>【阿冷牌】模板请吃一口萌萌泡芙！次日左右出稿特价</t>
        </is>
      </c>
      <c r="B2527" t="inlineStr">
        <is>
          <t>recveySpCPbCE5.jpg</t>
        </is>
      </c>
      <c r="C2527" s="2" t="str">
        <f>=HYPERLINK("https://xhslink.com/m/8WeOo6sCGHl", "https://xhslink.com/m/8WeOo6sCGHl")</f>
        <v>https://xhslink.com/m/8WeOo6sCGHl</v>
      </c>
      <c r="D2527"/>
      <c r="E2527">
        <v>1140</v>
      </c>
      <c r="F2527">
        <v>7.9</v>
      </c>
      <c r="G2527"/>
      <c r="H2527">
        <v>250</v>
      </c>
      <c r="I2527"/>
      <c r="J2527"/>
      <c r="K2527" t="inlineStr">
        <is>
          <t>模板</t>
        </is>
      </c>
      <c r="L2527"/>
      <c r="M2527" t="inlineStr">
        <is>
          <t>薯条鱼（问前看商品页详情）的店</t>
        </is>
      </c>
      <c r="N2527">
        <v>1756</v>
      </c>
      <c r="O2527">
        <v>4.47</v>
      </c>
      <c r="P2527">
        <v>4389</v>
      </c>
      <c r="Q2527" t="inlineStr">
        <is>
          <t>694912124423c30001f076d1</t>
        </is>
      </c>
      <c r="R2527" t="inlineStr">
        <is>
          <t>🚫重复</t>
        </is>
      </c>
      <c r="S2527" t="inlineStr">
        <is>
          <t>PPT模板</t>
        </is>
      </c>
      <c r="T2527" t="inlineStr">
        <is>
          <t>0.65</t>
        </is>
      </c>
      <c r="U2527" s="3">
        <v>46112.78107638889</v>
      </c>
      <c r="V2527"/>
      <c r="W2527" s="3">
        <v>46103</v>
      </c>
      <c r="X2527" t="inlineStr">
        <is>
          <t>03</t>
        </is>
      </c>
      <c r="Y2527" t="inlineStr">
        <is>
          <t>2026-Q1</t>
        </is>
      </c>
    </row>
    <row r="2528" ht="38.25" customHeight="1">
      <c r="A2528" t="inlineStr">
        <is>
          <t>通用笔记同款求职简历模板-手机/平板/电脑可编辑-24h拍下秒发货</t>
        </is>
      </c>
      <c r="B2528" t="inlineStr">
        <is>
          <t>recveySpCPELeu.jpg</t>
        </is>
      </c>
      <c r="C2528" s="2" t="str">
        <f>=HYPERLINK("https://xhslink.com/m/88aDQlipRv1", "https://xhslink.com/m/88aDQlipRv1")</f>
        <v>https://xhslink.com/m/88aDQlipRv1</v>
      </c>
      <c r="D2528"/>
      <c r="E2528">
        <v>30000</v>
      </c>
      <c r="F2528">
        <v>0.98</v>
      </c>
      <c r="G2528"/>
      <c r="H2528">
        <v>1000</v>
      </c>
      <c r="I2528"/>
      <c r="J2528"/>
      <c r="K2528" t="inlineStr">
        <is>
          <t>模板</t>
        </is>
      </c>
      <c r="L2528"/>
      <c r="M2528" t="inlineStr">
        <is>
          <t>小苏学姐的店</t>
        </is>
      </c>
      <c r="N2528">
        <v>72000</v>
      </c>
      <c r="O2528">
        <v>4.58</v>
      </c>
      <c r="P2528">
        <v>35000</v>
      </c>
      <c r="Q2528" t="inlineStr">
        <is>
          <t>67dfc3c884926e0001230fd2</t>
        </is>
      </c>
      <c r="R2528"/>
      <c r="S2528" t="inlineStr">
        <is>
          <t>求职面试/职场</t>
        </is>
      </c>
      <c r="T2528" t="inlineStr">
        <is>
          <t>0.42</t>
        </is>
      </c>
      <c r="U2528" s="3">
        <v>46112.78107638889</v>
      </c>
      <c r="V2528"/>
      <c r="W2528" s="3">
        <v>46103</v>
      </c>
      <c r="X2528" t="inlineStr">
        <is>
          <t>03</t>
        </is>
      </c>
      <c r="Y2528" t="inlineStr">
        <is>
          <t>2026-Q1</t>
        </is>
      </c>
    </row>
    <row r="2529" ht="38.25" customHeight="1">
      <c r="A2529" t="inlineStr">
        <is>
          <t>2026高质量PPT模板6000+（质感、汇报、作品集、简历、数据）</t>
        </is>
      </c>
      <c r="B2529" t="inlineStr">
        <is>
          <t>recveySpCPkTBj.jpg</t>
        </is>
      </c>
      <c r="C2529" s="2" t="str">
        <f>=HYPERLINK("https://xhslink.com/m/yGQnlk2UJJ", "https://xhslink.com/m/yGQnlk2UJJ")</f>
        <v>https://xhslink.com/m/yGQnlk2UJJ</v>
      </c>
      <c r="D2529"/>
      <c r="E2529">
        <v>504</v>
      </c>
      <c r="F2529">
        <v>29.9</v>
      </c>
      <c r="G2529"/>
      <c r="H2529">
        <v>100</v>
      </c>
      <c r="I2529"/>
      <c r="J2529"/>
      <c r="K2529" t="inlineStr">
        <is>
          <t>模板</t>
        </is>
      </c>
      <c r="L2529"/>
      <c r="M2529" t="inlineStr">
        <is>
          <t>活动汪的店</t>
        </is>
      </c>
      <c r="N2529">
        <v>42000</v>
      </c>
      <c r="O2529">
        <v>4.44</v>
      </c>
      <c r="P2529">
        <v>13000</v>
      </c>
      <c r="Q2529" t="inlineStr">
        <is>
          <t>695e20f68a5a370001fdf317</t>
        </is>
      </c>
      <c r="R2529"/>
      <c r="S2529" t="inlineStr">
        <is>
          <t>PPT模板</t>
        </is>
      </c>
      <c r="T2529" t="inlineStr">
        <is>
          <t>0.01</t>
        </is>
      </c>
      <c r="U2529" s="3">
        <v>46112.78107638889</v>
      </c>
      <c r="V2529"/>
      <c r="W2529" s="3">
        <v>46103</v>
      </c>
      <c r="X2529" t="inlineStr">
        <is>
          <t>03</t>
        </is>
      </c>
      <c r="Y2529" t="inlineStr">
        <is>
          <t>2026-Q1</t>
        </is>
      </c>
    </row>
    <row r="2530" ht="38.25" customHeight="1">
      <c r="A2530" t="inlineStr">
        <is>
          <t>通用版劳动合同模板【Word电子版可编辑可打印】</t>
        </is>
      </c>
      <c r="B2530" t="inlineStr">
        <is>
          <t>recveySpCPwIM7.jpg</t>
        </is>
      </c>
      <c r="C2530" s="2" t="str">
        <f>=HYPERLINK("https://xhslink.com/m/13LZqfPkncV", "https://xhslink.com/m/13LZqfPkncV")</f>
        <v>https://xhslink.com/m/13LZqfPkncV</v>
      </c>
      <c r="D2530"/>
      <c r="E2530">
        <v>1157</v>
      </c>
      <c r="F2530">
        <v>0.99</v>
      </c>
      <c r="G2530"/>
      <c r="H2530">
        <v>150</v>
      </c>
      <c r="I2530"/>
      <c r="J2530"/>
      <c r="K2530" t="inlineStr">
        <is>
          <t>模板</t>
        </is>
      </c>
      <c r="L2530"/>
      <c r="M2530" t="inlineStr">
        <is>
          <t>宜开心啦的店</t>
        </is>
      </c>
      <c r="N2530">
        <v>1183</v>
      </c>
      <c r="O2530">
        <v>4.55</v>
      </c>
      <c r="P2530">
        <v>26000</v>
      </c>
      <c r="Q2530" t="inlineStr">
        <is>
          <t>67dcd6fb21ffb3000128ceac</t>
        </is>
      </c>
      <c r="R2530" t="inlineStr">
        <is>
          <t>🚫重复</t>
        </is>
      </c>
      <c r="S2530" t="inlineStr">
        <is>
          <t>生活成长</t>
        </is>
      </c>
      <c r="T2530" t="inlineStr">
        <is>
          <t>0.98</t>
        </is>
      </c>
      <c r="U2530" s="3">
        <v>46112.78107638889</v>
      </c>
      <c r="V2530"/>
      <c r="W2530" s="3">
        <v>46103</v>
      </c>
      <c r="X2530" t="inlineStr">
        <is>
          <t>03</t>
        </is>
      </c>
      <c r="Y2530" t="inlineStr">
        <is>
          <t>2026-Q1</t>
        </is>
      </c>
    </row>
    <row r="2531" ht="38.25" customHeight="1">
      <c r="A2531" t="inlineStr">
        <is>
          <t>【祈牌模板】-100高质正比全色ppl（是出售模板商使不是接稿）</t>
        </is>
      </c>
      <c r="B2531" t="inlineStr">
        <is>
          <t>recveySpCPhqTP.jpg</t>
        </is>
      </c>
      <c r="C2531" s="2" t="str">
        <f>=HYPERLINK("https://xhslink.com/m/AEt9qu6EwiD", "https://xhslink.com/m/AEt9qu6EwiD")</f>
        <v>https://xhslink.com/m/AEt9qu6EwiD</v>
      </c>
      <c r="D2531"/>
      <c r="E2531">
        <v>615</v>
      </c>
      <c r="F2531">
        <v>3</v>
      </c>
      <c r="G2531"/>
      <c r="H2531">
        <v>300</v>
      </c>
      <c r="I2531"/>
      <c r="J2531"/>
      <c r="K2531" t="inlineStr">
        <is>
          <t>模板</t>
        </is>
      </c>
      <c r="L2531"/>
      <c r="M2531" t="inlineStr">
        <is>
          <t>祈牌模板的店</t>
        </is>
      </c>
      <c r="N2531">
        <v>3478</v>
      </c>
      <c r="O2531">
        <v>4.58</v>
      </c>
      <c r="P2531">
        <v>6183</v>
      </c>
      <c r="Q2531" t="inlineStr">
        <is>
          <t>6969d7ddd07ba00001023c31</t>
        </is>
      </c>
      <c r="R2531" t="inlineStr">
        <is>
          <t>🚫重复</t>
        </is>
      </c>
      <c r="S2531" t="inlineStr">
        <is>
          <t>PPT模板</t>
        </is>
      </c>
      <c r="T2531" t="inlineStr">
        <is>
          <t>0.18</t>
        </is>
      </c>
      <c r="U2531" s="3">
        <v>46112.78107638889</v>
      </c>
      <c r="V2531"/>
      <c r="W2531" s="3">
        <v>46103</v>
      </c>
      <c r="X2531" t="inlineStr">
        <is>
          <t>03</t>
        </is>
      </c>
      <c r="Y2531" t="inlineStr">
        <is>
          <t>2026-Q1</t>
        </is>
      </c>
    </row>
    <row r="2532" ht="38.25" customHeight="1">
      <c r="A2532" t="inlineStr">
        <is>
          <t>（14个颜色+120个模板）应届生无经验简历模板大学生三无简历模板</t>
        </is>
      </c>
      <c r="B2532" t="inlineStr">
        <is>
          <t>recveySpCPG2fM.jpg</t>
        </is>
      </c>
      <c r="C2532" s="2" t="str">
        <f>=HYPERLINK("https://xhslink.com/m/9Vw0X8IlEc8", "https://xhslink.com/m/9Vw0X8IlEc8")</f>
        <v>https://xhslink.com/m/9Vw0X8IlEc8</v>
      </c>
      <c r="D2532"/>
      <c r="E2532">
        <v>31000</v>
      </c>
      <c r="F2532">
        <v>1.99</v>
      </c>
      <c r="G2532"/>
      <c r="H2532">
        <v>100</v>
      </c>
      <c r="I2532"/>
      <c r="J2532"/>
      <c r="K2532" t="inlineStr">
        <is>
          <t>模板</t>
        </is>
      </c>
      <c r="L2532" t="inlineStr">
        <is>
          <t>🔥低粉爆款</t>
        </is>
      </c>
      <c r="M2532" t="inlineStr">
        <is>
          <t>大学生简历模板的店</t>
        </is>
      </c>
      <c r="N2532">
        <v>3941</v>
      </c>
      <c r="O2532">
        <v>4.12</v>
      </c>
      <c r="P2532">
        <v>33000</v>
      </c>
      <c r="Q2532" t="inlineStr">
        <is>
          <t>6623e9f0a3a4dd000199ba16</t>
        </is>
      </c>
      <c r="R2532"/>
      <c r="S2532" t="inlineStr">
        <is>
          <t>求职面试/职场</t>
        </is>
      </c>
      <c r="T2532" t="inlineStr">
        <is>
          <t>7.87</t>
        </is>
      </c>
      <c r="U2532" s="3">
        <v>46112.78107638889</v>
      </c>
      <c r="V2532"/>
      <c r="W2532" s="3">
        <v>46103</v>
      </c>
      <c r="X2532" t="inlineStr">
        <is>
          <t>03</t>
        </is>
      </c>
      <c r="Y2532" t="inlineStr">
        <is>
          <t>2026-Q1</t>
        </is>
      </c>
    </row>
    <row r="2533" ht="38.25" customHeight="1">
      <c r="A2533" t="inlineStr">
        <is>
          <t>护士简历模板-手机/电脑/平板可填写-24h自动发货M04</t>
        </is>
      </c>
      <c r="B2533" t="inlineStr">
        <is>
          <t>recveySpCPmvdc.jpg</t>
        </is>
      </c>
      <c r="C2533" s="2" t="str">
        <f>=HYPERLINK("https://xhslink.com/m/Cr9NLVRsYS", "https://xhslink.com/m/Cr9NLVRsYS")</f>
        <v>https://xhslink.com/m/Cr9NLVRsYS</v>
      </c>
      <c r="D2533"/>
      <c r="E2533">
        <v>1743</v>
      </c>
      <c r="F2533">
        <v>1.98</v>
      </c>
      <c r="G2533"/>
      <c r="H2533">
        <v>150</v>
      </c>
      <c r="I2533"/>
      <c r="J2533"/>
      <c r="K2533" t="inlineStr">
        <is>
          <t>模板</t>
        </is>
      </c>
      <c r="L2533"/>
      <c r="M2533" t="inlineStr">
        <is>
          <t>求职简历模板的店</t>
        </is>
      </c>
      <c r="N2533">
        <v>16000</v>
      </c>
      <c r="O2533">
        <v>4.55</v>
      </c>
      <c r="P2533">
        <v>40000</v>
      </c>
      <c r="Q2533" t="inlineStr">
        <is>
          <t>67ac120a6082e10001920e15</t>
        </is>
      </c>
      <c r="R2533" t="inlineStr">
        <is>
          <t>🚫重复</t>
        </is>
      </c>
      <c r="S2533" t="inlineStr">
        <is>
          <t>求职面试/职场</t>
        </is>
      </c>
      <c r="T2533" t="inlineStr">
        <is>
          <t>0.11</t>
        </is>
      </c>
      <c r="U2533" s="3">
        <v>46112.78107638889</v>
      </c>
      <c r="V2533"/>
      <c r="W2533" s="3">
        <v>46103</v>
      </c>
      <c r="X2533" t="inlineStr">
        <is>
          <t>03</t>
        </is>
      </c>
      <c r="Y2533" t="inlineStr">
        <is>
          <t>2026-Q1</t>
        </is>
      </c>
    </row>
    <row r="2534" ht="38.25" customHeight="1">
      <c r="A2534" t="inlineStr">
        <is>
          <t>野山书店2026年阅读计划（礼品式包装 盲盒式惊喜 承包全年阅读）</t>
        </is>
      </c>
      <c r="B2534" t="inlineStr">
        <is>
          <t>recveySpCPdyTg.jpg</t>
        </is>
      </c>
      <c r="C2534" s="2" t="str">
        <f>=HYPERLINK("https://xhslink.com/m/1udVCbBBL3K", "https://xhslink.com/m/1udVCbBBL3K")</f>
        <v>https://xhslink.com/m/1udVCbBBL3K</v>
      </c>
      <c r="D2534"/>
      <c r="E2534">
        <v>13000</v>
      </c>
      <c r="F2534">
        <v>298</v>
      </c>
      <c r="G2534"/>
      <c r="H2534">
        <v>750</v>
      </c>
      <c r="I2534"/>
      <c r="J2534"/>
      <c r="K2534" t="inlineStr">
        <is>
          <t>阅读计划</t>
        </is>
      </c>
      <c r="L2534"/>
      <c r="M2534" t="inlineStr">
        <is>
          <t>野兔与山猪的店</t>
        </is>
      </c>
      <c r="N2534">
        <v>38000</v>
      </c>
      <c r="O2534">
        <v>4.68</v>
      </c>
      <c r="P2534">
        <v>23000</v>
      </c>
      <c r="Q2534" t="inlineStr">
        <is>
          <t>692015ecce3eb50001899f54</t>
        </is>
      </c>
      <c r="R2534"/>
      <c r="S2534" t="inlineStr">
        <is>
          <t>生活成长</t>
        </is>
      </c>
      <c r="T2534" t="inlineStr">
        <is>
          <t>0.34</t>
        </is>
      </c>
      <c r="U2534" s="3">
        <v>46112.78107638889</v>
      </c>
      <c r="V2534"/>
      <c r="W2534" s="3">
        <v>46103</v>
      </c>
      <c r="X2534" t="inlineStr">
        <is>
          <t>03</t>
        </is>
      </c>
      <c r="Y2534" t="inlineStr">
        <is>
          <t>2026-Q1</t>
        </is>
      </c>
    </row>
    <row r="2535" ht="38.25" customHeight="1">
      <c r="A2535" t="inlineStr">
        <is>
          <t>3D-JP · 超全小说大纲/素材/教程/文笔/干货写小说必备！发度盘包更新</t>
        </is>
      </c>
      <c r="B2535" t="inlineStr">
        <is>
          <t>recveQycRX9tDE.jpg</t>
        </is>
      </c>
      <c r="C2535" s="2" t="str">
        <f>=HYPERLINK("https://xhslink.com/m/1Yi87He6gui", "https://xhslink.com/m/1Yi87He6gui")</f>
        <v>https://xhslink.com/m/1Yi87He6gui</v>
      </c>
      <c r="D2535"/>
      <c r="E2535">
        <v>8340</v>
      </c>
      <c r="F2535">
        <v>19.9</v>
      </c>
      <c r="G2535"/>
      <c r="H2535">
        <v>700</v>
      </c>
      <c r="I2535"/>
      <c r="J2535"/>
      <c r="K2535" t="inlineStr">
        <is>
          <t>写作</t>
        </is>
      </c>
      <c r="L2535"/>
      <c r="M2535" t="inlineStr">
        <is>
          <t>MM的小说写作分享的店</t>
        </is>
      </c>
      <c r="N2535">
        <v>10000</v>
      </c>
      <c r="O2535">
        <v>4.13</v>
      </c>
      <c r="P2535">
        <v>8499</v>
      </c>
      <c r="Q2535" t="inlineStr">
        <is>
          <t>674579bfec68d70001ae2d4b</t>
        </is>
      </c>
      <c r="R2535"/>
      <c r="S2535" t="inlineStr">
        <is>
          <t>生活成长</t>
        </is>
      </c>
      <c r="T2535" t="inlineStr">
        <is>
          <t>0.83</t>
        </is>
      </c>
      <c r="U2535" s="3">
        <v>46112.78107638889</v>
      </c>
      <c r="V2535"/>
      <c r="W2535" s="3">
        <v>46106</v>
      </c>
      <c r="X2535" t="inlineStr">
        <is>
          <t>03</t>
        </is>
      </c>
      <c r="Y2535" t="inlineStr">
        <is>
          <t>2026-Q1</t>
        </is>
      </c>
    </row>
    <row r="2536" ht="38.25" customHeight="1">
      <c r="A2536" t="inlineStr">
        <is>
          <t>小书洞 · 【蒋军晶老师新书 3-6年级】超级作文本系列</t>
        </is>
      </c>
      <c r="B2536" t="inlineStr">
        <is>
          <t>recveQyeeRv7BH.jpg</t>
        </is>
      </c>
      <c r="C2536" s="2" t="str">
        <f>=HYPERLINK("https://xhslink.com/m/1HRaTWIdRFy", "https://xhslink.com/m/1HRaTWIdRFy")</f>
        <v>https://xhslink.com/m/1HRaTWIdRFy</v>
      </c>
      <c r="D2536"/>
      <c r="E2536">
        <v>4852</v>
      </c>
      <c r="F2536">
        <v>31.8</v>
      </c>
      <c r="G2536"/>
      <c r="H2536">
        <v>250</v>
      </c>
      <c r="I2536"/>
      <c r="J2536"/>
      <c r="K2536" t="inlineStr">
        <is>
          <t>写作</t>
        </is>
      </c>
      <c r="L2536"/>
      <c r="M2536" t="inlineStr">
        <is>
          <t>小书洞旗舰店</t>
        </is>
      </c>
      <c r="N2536">
        <v>4913</v>
      </c>
      <c r="O2536">
        <v>4.59</v>
      </c>
      <c r="P2536">
        <v>357000</v>
      </c>
      <c r="Q2536" t="inlineStr">
        <is>
          <t>67a9ae6743e42a00013ac7e9</t>
        </is>
      </c>
      <c r="R2536" t="inlineStr">
        <is>
          <t>🚫重复</t>
        </is>
      </c>
      <c r="S2536" t="inlineStr">
        <is>
          <t>中小学教辅/教材</t>
        </is>
      </c>
      <c r="T2536" t="inlineStr">
        <is>
          <t>0.99</t>
        </is>
      </c>
      <c r="U2536" s="3">
        <v>46112.78107638889</v>
      </c>
      <c r="V2536"/>
      <c r="W2536" s="3">
        <v>46106</v>
      </c>
      <c r="X2536" t="inlineStr">
        <is>
          <t>03</t>
        </is>
      </c>
      <c r="Y2536" t="inlineStr">
        <is>
          <t>2026-Q1</t>
        </is>
      </c>
    </row>
    <row r="2537" ht="38.25" customHeight="1">
      <c r="A2537" t="inlineStr">
        <is>
          <t>初中作文写作指南</t>
        </is>
      </c>
      <c r="B2537" t="inlineStr">
        <is>
          <t>recveQyeeRA6wq.jpg</t>
        </is>
      </c>
      <c r="C2537" s="2" t="str">
        <f>=HYPERLINK("https://xhslink.com/m/2HTeR9ZjeuE", "https://xhslink.com/m/2HTeR9ZjeuE")</f>
        <v>https://xhslink.com/m/2HTeR9ZjeuE</v>
      </c>
      <c r="D2537"/>
      <c r="E2537">
        <v>2128</v>
      </c>
      <c r="F2537">
        <v>99</v>
      </c>
      <c r="G2537"/>
      <c r="H2537">
        <v>100</v>
      </c>
      <c r="I2537"/>
      <c r="J2537"/>
      <c r="K2537" t="inlineStr">
        <is>
          <t>写作</t>
        </is>
      </c>
      <c r="L2537"/>
      <c r="M2537" t="inlineStr">
        <is>
          <t>上上签高中语文的店</t>
        </is>
      </c>
      <c r="N2537">
        <v>22000</v>
      </c>
      <c r="O2537">
        <v>4.52</v>
      </c>
      <c r="P2537">
        <v>33000</v>
      </c>
      <c r="Q2537" t="inlineStr">
        <is>
          <t>688715d30e13d50001f54a59</t>
        </is>
      </c>
      <c r="R2537" t="inlineStr">
        <is>
          <t>🚫重复</t>
        </is>
      </c>
      <c r="S2537" t="inlineStr">
        <is>
          <t>中小学教辅/教材</t>
        </is>
      </c>
      <c r="T2537" t="inlineStr">
        <is>
          <t>0.10</t>
        </is>
      </c>
      <c r="U2537" s="3">
        <v>46112.78107638889</v>
      </c>
      <c r="V2537"/>
      <c r="W2537" s="3">
        <v>46106</v>
      </c>
      <c r="X2537" t="inlineStr">
        <is>
          <t>03</t>
        </is>
      </c>
      <c r="Y2537" t="inlineStr">
        <is>
          <t>2026-Q1</t>
        </is>
      </c>
    </row>
    <row r="2538" ht="38.25" customHeight="1">
      <c r="A2538" t="inlineStr">
        <is>
          <t>申论速成干货及大作文写作模板热点，文档9余万字、电子资料包</t>
        </is>
      </c>
      <c r="B2538" t="inlineStr">
        <is>
          <t>recveQyeeRpc0c.jpg</t>
        </is>
      </c>
      <c r="C2538" s="2" t="str">
        <f>=HYPERLINK("https://xhslink.com/m/4Nu7F3kpny", "https://xhslink.com/m/4Nu7F3kpny")</f>
        <v>https://xhslink.com/m/4Nu7F3kpny</v>
      </c>
      <c r="D2538"/>
      <c r="E2538">
        <v>8768</v>
      </c>
      <c r="F2538">
        <v>28.88</v>
      </c>
      <c r="G2538"/>
      <c r="H2538">
        <v>850</v>
      </c>
      <c r="I2538"/>
      <c r="J2538"/>
      <c r="K2538" t="inlineStr">
        <is>
          <t>写作</t>
        </is>
      </c>
      <c r="L2538"/>
      <c r="M2538" t="inlineStr">
        <is>
          <t>拙行千里的店</t>
        </is>
      </c>
      <c r="N2538">
        <v>23000</v>
      </c>
      <c r="O2538">
        <v>4.33</v>
      </c>
      <c r="P2538">
        <v>8936</v>
      </c>
      <c r="Q2538" t="inlineStr">
        <is>
          <t>68551c4c0f14430001184496</t>
        </is>
      </c>
      <c r="R2538"/>
      <c r="S2538" t="inlineStr">
        <is>
          <t>考公资料</t>
        </is>
      </c>
      <c r="T2538" t="inlineStr">
        <is>
          <t>0.38</t>
        </is>
      </c>
      <c r="U2538" s="3">
        <v>46112.78107638889</v>
      </c>
      <c r="V2538"/>
      <c r="W2538" s="3">
        <v>46106</v>
      </c>
      <c r="X2538" t="inlineStr">
        <is>
          <t>03</t>
        </is>
      </c>
      <c r="Y2538" t="inlineStr">
        <is>
          <t>2026-Q1</t>
        </is>
      </c>
    </row>
    <row r="2539" ht="38.25" customHeight="1">
      <c r="A2539" t="inlineStr">
        <is>
          <t>雅思大小作文冲刺6.5分（保命文档）已帮助上千宝子成功上岸！</t>
        </is>
      </c>
      <c r="B2539" t="inlineStr">
        <is>
          <t>recveQyeeRgbAP.jpg</t>
        </is>
      </c>
      <c r="C2539" s="2" t="str">
        <f>=HYPERLINK("https://xhslink.com/m/6oMmh5lydKd", "https://xhslink.com/m/6oMmh5lydKd")</f>
        <v>https://xhslink.com/m/6oMmh5lydKd</v>
      </c>
      <c r="D2539"/>
      <c r="E2539">
        <v>17000</v>
      </c>
      <c r="F2539">
        <v>50</v>
      </c>
      <c r="G2539"/>
      <c r="H2539">
        <v>200</v>
      </c>
      <c r="I2539"/>
      <c r="J2539"/>
      <c r="K2539" t="inlineStr">
        <is>
          <t>写作</t>
        </is>
      </c>
      <c r="L2539"/>
      <c r="M2539" t="inlineStr">
        <is>
          <t>考雅过过过的店</t>
        </is>
      </c>
      <c r="N2539">
        <v>21000</v>
      </c>
      <c r="O2539">
        <v>4.54</v>
      </c>
      <c r="P2539">
        <v>40000</v>
      </c>
      <c r="Q2539" t="inlineStr">
        <is>
          <t>664d9a9304a48a000124dce6</t>
        </is>
      </c>
      <c r="R2539" t="inlineStr">
        <is>
          <t>🚫重复</t>
        </is>
      </c>
      <c r="S2539" t="inlineStr">
        <is>
          <t>英语资料</t>
        </is>
      </c>
      <c r="T2539" t="inlineStr">
        <is>
          <t>0.81</t>
        </is>
      </c>
      <c r="U2539" s="3">
        <v>46112.78107638889</v>
      </c>
      <c r="V2539"/>
      <c r="W2539" s="3">
        <v>46106</v>
      </c>
      <c r="X2539" t="inlineStr">
        <is>
          <t>03</t>
        </is>
      </c>
      <c r="Y2539" t="inlineStr">
        <is>
          <t>2026-Q1</t>
        </is>
      </c>
    </row>
    <row r="2540" ht="38.25" customHeight="1">
      <c r="A2540" t="inlineStr">
        <is>
          <t>2026林英公基麒麟计划高频精华考点课（电子讲义+网课）</t>
        </is>
      </c>
      <c r="B2540" t="inlineStr">
        <is>
          <t>__upload_recveQyeeRpcjk.jpg</t>
        </is>
      </c>
      <c r="C2540" s="2" t="str">
        <f>=HYPERLINK("https://xhslink.com/m/77hYXlYPCqv", "https://xhslink.com/m/77hYXlYPCqv")</f>
        <v>https://xhslink.com/m/77hYXlYPCqv</v>
      </c>
      <c r="D2540"/>
      <c r="E2540">
        <v>4129</v>
      </c>
      <c r="F2540">
        <v>39.9</v>
      </c>
      <c r="G2540"/>
      <c r="H2540">
        <v>250</v>
      </c>
      <c r="I2540"/>
      <c r="J2540">
        <v>100</v>
      </c>
      <c r="K2540" t="inlineStr">
        <is>
          <t>英语</t>
        </is>
      </c>
      <c r="L2540"/>
      <c r="M2540" t="inlineStr">
        <is>
          <t>福建公基林英的店</t>
        </is>
      </c>
      <c r="N2540">
        <v>17000</v>
      </c>
      <c r="O2540">
        <v>4.24</v>
      </c>
      <c r="P2540">
        <v>14000</v>
      </c>
      <c r="Q2540" t="inlineStr">
        <is>
          <t>697f280884b90b000111a5e3</t>
        </is>
      </c>
      <c r="R2540" t="inlineStr">
        <is>
          <t>🚫重复</t>
        </is>
      </c>
      <c r="S2540" t="inlineStr">
        <is>
          <t>考公资料</t>
        </is>
      </c>
      <c r="T2540" t="inlineStr">
        <is>
          <t>0.24</t>
        </is>
      </c>
      <c r="U2540" s="3">
        <v>46112.78107638889</v>
      </c>
      <c r="V2540"/>
      <c r="W2540" s="3">
        <v>46106</v>
      </c>
      <c r="X2540" t="inlineStr">
        <is>
          <t>03</t>
        </is>
      </c>
      <c r="Y2540" t="inlineStr">
        <is>
          <t>2026-Q1</t>
        </is>
      </c>
    </row>
    <row r="2541" ht="38.25" customHeight="1">
      <c r="A2541" t="inlineStr">
        <is>
          <t>糖说英语：突破英语听说的底层逻辑</t>
        </is>
      </c>
      <c r="B2541" t="inlineStr">
        <is>
          <t>__upload_recveQyeeRKVqL.jpg</t>
        </is>
      </c>
      <c r="C2541" s="2" t="str">
        <f>=HYPERLINK("https://xhslink.com/m/Ab0oqwK9xu9", "https://xhslink.com/m/Ab0oqwK9xu9")</f>
        <v>https://xhslink.com/m/Ab0oqwK9xu9</v>
      </c>
      <c r="D2541"/>
      <c r="E2541">
        <v>12000</v>
      </c>
      <c r="F2541">
        <v>36.8</v>
      </c>
      <c r="G2541"/>
      <c r="H2541">
        <v>1000</v>
      </c>
      <c r="I2541"/>
      <c r="J2541">
        <v>200</v>
      </c>
      <c r="K2541" t="inlineStr">
        <is>
          <t>英语</t>
        </is>
      </c>
      <c r="L2541"/>
      <c r="M2541" t="inlineStr">
        <is>
          <t>糖说英语小课堂的店</t>
        </is>
      </c>
      <c r="N2541">
        <v>29000</v>
      </c>
      <c r="O2541">
        <v>4.58</v>
      </c>
      <c r="P2541">
        <v>12000</v>
      </c>
      <c r="Q2541" t="inlineStr">
        <is>
          <t>688c68e1e019f20001689928</t>
        </is>
      </c>
      <c r="R2541"/>
      <c r="S2541" t="inlineStr">
        <is>
          <t>英语资料</t>
        </is>
      </c>
      <c r="T2541" t="inlineStr">
        <is>
          <t>0.41</t>
        </is>
      </c>
      <c r="U2541" s="3">
        <v>46112.78107638889</v>
      </c>
      <c r="V2541"/>
      <c r="W2541" s="3">
        <v>46106</v>
      </c>
      <c r="X2541" t="inlineStr">
        <is>
          <t>03</t>
        </is>
      </c>
      <c r="Y2541" t="inlineStr">
        <is>
          <t>2026-Q1</t>
        </is>
      </c>
    </row>
    <row r="2542" ht="38.25" customHeight="1">
      <c r="A2542" t="inlineStr">
        <is>
          <t>（原创）英语非谓语动词练习 同类归纳 150道题左右有详细解析</t>
        </is>
      </c>
      <c r="B2542" t="inlineStr">
        <is>
          <t>recveQyeeREgef.jpg</t>
        </is>
      </c>
      <c r="C2542" s="2" t="str">
        <f>=HYPERLINK("https://xhslink.com/m/RGh8dzRw17", "https://xhslink.com/m/RGh8dzRw17")</f>
        <v>https://xhslink.com/m/RGh8dzRw17</v>
      </c>
      <c r="D2542"/>
      <c r="E2542">
        <v>1656</v>
      </c>
      <c r="F2542">
        <v>15.9</v>
      </c>
      <c r="G2542"/>
      <c r="H2542">
        <v>200</v>
      </c>
      <c r="I2542"/>
      <c r="J2542"/>
      <c r="K2542" t="inlineStr">
        <is>
          <t>英语</t>
        </is>
      </c>
      <c r="L2542"/>
      <c r="M2542" t="inlineStr">
        <is>
          <t>高中英语Mia的店</t>
        </is>
      </c>
      <c r="N2542">
        <v>2383</v>
      </c>
      <c r="O2542">
        <v>4.55</v>
      </c>
      <c r="P2542">
        <v>4140</v>
      </c>
      <c r="Q2542" t="inlineStr">
        <is>
          <t>67a0dc8296b36c000112a600</t>
        </is>
      </c>
      <c r="R2542"/>
      <c r="S2542" t="inlineStr">
        <is>
          <t>英语资料</t>
        </is>
      </c>
      <c r="T2542" t="inlineStr">
        <is>
          <t>0.69</t>
        </is>
      </c>
      <c r="U2542" s="3">
        <v>46112.78107638889</v>
      </c>
      <c r="V2542"/>
      <c r="W2542" s="3">
        <v>46106</v>
      </c>
      <c r="X2542" t="inlineStr">
        <is>
          <t>03</t>
        </is>
      </c>
      <c r="Y2542" t="inlineStr">
        <is>
          <t>2026-Q1</t>
        </is>
      </c>
    </row>
    <row r="2543" ht="38.25" customHeight="1">
      <c r="A2543" t="inlineStr">
        <is>
          <t>2026春新人教八年级英语下册单元课时同步讲义。</t>
        </is>
      </c>
      <c r="B2543" t="inlineStr">
        <is>
          <t>recveQyeeRzCy7.jpg</t>
        </is>
      </c>
      <c r="C2543" s="2" t="str">
        <f>=HYPERLINK("https://xhslink.com/m/Ad1WV0PfdYB", "https://xhslink.com/m/Ad1WV0PfdYB")</f>
        <v>https://xhslink.com/m/Ad1WV0PfdYB</v>
      </c>
      <c r="D2543"/>
      <c r="E2543">
        <v>1107</v>
      </c>
      <c r="F2543">
        <v>49.9</v>
      </c>
      <c r="G2543"/>
      <c r="H2543">
        <v>200</v>
      </c>
      <c r="I2543"/>
      <c r="J2543"/>
      <c r="K2543" t="inlineStr">
        <is>
          <t>英语</t>
        </is>
      </c>
      <c r="L2543"/>
      <c r="M2543" t="inlineStr">
        <is>
          <t>Jasmine、的店</t>
        </is>
      </c>
      <c r="N2543">
        <v>2752</v>
      </c>
      <c r="O2543">
        <v>4.24</v>
      </c>
      <c r="P2543">
        <v>5921</v>
      </c>
      <c r="Q2543" t="inlineStr">
        <is>
          <t>694524ff30effa0001179330</t>
        </is>
      </c>
      <c r="R2543"/>
      <c r="S2543" t="inlineStr">
        <is>
          <t>中小学教辅/教材</t>
        </is>
      </c>
      <c r="T2543" t="inlineStr">
        <is>
          <t>0.40</t>
        </is>
      </c>
      <c r="U2543" s="3">
        <v>46112.78107638889</v>
      </c>
      <c r="V2543"/>
      <c r="W2543" s="3">
        <v>46106</v>
      </c>
      <c r="X2543" t="inlineStr">
        <is>
          <t>03</t>
        </is>
      </c>
      <c r="Y2543" t="inlineStr">
        <is>
          <t>2026-Q1</t>
        </is>
      </c>
    </row>
    <row r="2544" ht="38.25" customHeight="1">
      <c r="A2544" t="inlineStr">
        <is>
          <t>初中英语专项训练-高频单词，30天语法卡片，知识点，写作技巧</t>
        </is>
      </c>
      <c r="B2544" t="inlineStr">
        <is>
          <t>recveQyeeR5k8N.jpg</t>
        </is>
      </c>
      <c r="C2544" s="2" t="str">
        <f>=HYPERLINK("https://xhslink.com/m/98UtZZ0NRge", "https://xhslink.com/m/98UtZZ0NRge")</f>
        <v>https://xhslink.com/m/98UtZZ0NRge</v>
      </c>
      <c r="D2544"/>
      <c r="E2544">
        <v>667</v>
      </c>
      <c r="F2544">
        <v>9.9</v>
      </c>
      <c r="G2544"/>
      <c r="H2544">
        <v>200</v>
      </c>
      <c r="I2544"/>
      <c r="J2544"/>
      <c r="K2544" t="inlineStr">
        <is>
          <t>英语</t>
        </is>
      </c>
      <c r="L2544"/>
      <c r="M2544" t="inlineStr">
        <is>
          <t>林老师的英语笔记的店</t>
        </is>
      </c>
      <c r="N2544">
        <v>2277</v>
      </c>
      <c r="O2544">
        <v>4.29</v>
      </c>
      <c r="P2544">
        <v>801</v>
      </c>
      <c r="Q2544" t="inlineStr">
        <is>
          <t>697479ae8c608e0001e01a26</t>
        </is>
      </c>
      <c r="R2544"/>
      <c r="S2544" t="inlineStr">
        <is>
          <t>中小学教辅/教材</t>
        </is>
      </c>
      <c r="T2544" t="inlineStr">
        <is>
          <t>0.29</t>
        </is>
      </c>
      <c r="U2544" s="3">
        <v>46112.78107638889</v>
      </c>
      <c r="V2544"/>
      <c r="W2544" s="3">
        <v>46106</v>
      </c>
      <c r="X2544" t="inlineStr">
        <is>
          <t>03</t>
        </is>
      </c>
      <c r="Y2544" t="inlineStr">
        <is>
          <t>2026-Q1</t>
        </is>
      </c>
    </row>
    <row r="2545" ht="38.25" customHeight="1">
      <c r="A2545" t="inlineStr">
        <is>
          <t>外研社 · 雅思词汇真经 刘洪波逻辑词群记忆</t>
        </is>
      </c>
      <c r="B2545" t="inlineStr">
        <is>
          <t>recveQyeeRlLbl.jpg</t>
        </is>
      </c>
      <c r="C2545" s="2" t="str">
        <f>=HYPERLINK("https://xhslink.com/m/75OUZ4ArBUa", "https://xhslink.com/m/75OUZ4ArBUa")</f>
        <v>https://xhslink.com/m/75OUZ4ArBUa</v>
      </c>
      <c r="D2545"/>
      <c r="E2545">
        <v>15000</v>
      </c>
      <c r="F2545">
        <v>35.8</v>
      </c>
      <c r="G2545"/>
      <c r="H2545">
        <v>100</v>
      </c>
      <c r="I2545"/>
      <c r="J2545"/>
      <c r="K2545" t="inlineStr">
        <is>
          <t>雅思</t>
        </is>
      </c>
      <c r="L2545"/>
      <c r="M2545" t="inlineStr">
        <is>
          <t>外研社旗舰店</t>
        </is>
      </c>
      <c r="N2545">
        <v>98000</v>
      </c>
      <c r="O2545">
        <v>4.71</v>
      </c>
      <c r="P2545">
        <v>226000</v>
      </c>
      <c r="Q2545" t="inlineStr">
        <is>
          <t>64250a8f1feee900016c8cc9</t>
        </is>
      </c>
      <c r="R2545" t="inlineStr">
        <is>
          <t>🚫重复</t>
        </is>
      </c>
      <c r="S2545" t="inlineStr">
        <is>
          <t>英语资料</t>
        </is>
      </c>
      <c r="T2545" t="inlineStr">
        <is>
          <t>0.15</t>
        </is>
      </c>
      <c r="U2545" s="3">
        <v>46112.78107638889</v>
      </c>
      <c r="V2545"/>
      <c r="W2545" s="3">
        <v>46106</v>
      </c>
      <c r="X2545" t="inlineStr">
        <is>
          <t>03</t>
        </is>
      </c>
      <c r="Y2545" t="inlineStr">
        <is>
          <t>2026-Q1</t>
        </is>
      </c>
    </row>
    <row r="2546" ht="38.25" customHeight="1">
      <c r="A2546" t="inlineStr">
        <is>
          <t>雅思听力高频语料库｜按考试频率分级 创新词汇串烧「胜利原创」</t>
        </is>
      </c>
      <c r="B2546" t="inlineStr">
        <is>
          <t>recveQyeeRCJLR.jpg</t>
        </is>
      </c>
      <c r="C2546" s="2" t="str">
        <f>=HYPERLINK("https://xhslink.com/m/AnT6CwqKqE4", "https://xhslink.com/m/AnT6CwqKqE4")</f>
        <v>https://xhslink.com/m/AnT6CwqKqE4</v>
      </c>
      <c r="D2546"/>
      <c r="E2546">
        <v>8961</v>
      </c>
      <c r="F2546">
        <v>35</v>
      </c>
      <c r="G2546"/>
      <c r="H2546">
        <v>300</v>
      </c>
      <c r="I2546">
        <v>1000</v>
      </c>
      <c r="J2546"/>
      <c r="K2546" t="inlineStr">
        <is>
          <t>雅思</t>
        </is>
      </c>
      <c r="L2546"/>
      <c r="M2546" t="inlineStr">
        <is>
          <t>胜利张张的店</t>
        </is>
      </c>
      <c r="N2546">
        <v>3852</v>
      </c>
      <c r="O2546">
        <v>4.27</v>
      </c>
      <c r="P2546">
        <v>10000</v>
      </c>
      <c r="Q2546" t="inlineStr">
        <is>
          <t>67c40805f6588900016885c4</t>
        </is>
      </c>
      <c r="R2546" t="inlineStr">
        <is>
          <t>🚫重复</t>
        </is>
      </c>
      <c r="S2546" t="inlineStr">
        <is>
          <t>英语资料</t>
        </is>
      </c>
      <c r="T2546" t="inlineStr">
        <is>
          <t>2.33</t>
        </is>
      </c>
      <c r="U2546" s="3">
        <v>46112.78107638889</v>
      </c>
      <c r="V2546"/>
      <c r="W2546" s="3">
        <v>46106</v>
      </c>
      <c r="X2546" t="inlineStr">
        <is>
          <t>03</t>
        </is>
      </c>
      <c r="Y2546" t="inlineStr">
        <is>
          <t>2026-Q1</t>
        </is>
      </c>
    </row>
    <row r="2547" ht="38.25" customHeight="1">
      <c r="A2547" t="inlineStr">
        <is>
          <t>雅思写作冲7分速成模板+高分语料库  （预售，后涨价为299）</t>
        </is>
      </c>
      <c r="B2547" t="inlineStr">
        <is>
          <t>recveQyeeR5Xsv.jpg</t>
        </is>
      </c>
      <c r="C2547" s="2" t="str">
        <f>=HYPERLINK("https://xhslink.com/m/96wjz80jRgn", "https://xhslink.com/m/96wjz80jRgn")</f>
        <v>https://xhslink.com/m/96wjz80jRgn</v>
      </c>
      <c r="D2547"/>
      <c r="E2547">
        <v>4776</v>
      </c>
      <c r="F2547">
        <v>99</v>
      </c>
      <c r="G2547"/>
      <c r="H2547">
        <v>350</v>
      </c>
      <c r="I2547">
        <v>1000</v>
      </c>
      <c r="J2547"/>
      <c r="K2547" t="inlineStr">
        <is>
          <t>雅思</t>
        </is>
      </c>
      <c r="L2547"/>
      <c r="M2547" t="inlineStr">
        <is>
          <t>Claire澳洲学姐（雅思口语9分）的店</t>
        </is>
      </c>
      <c r="N2547">
        <v>44000</v>
      </c>
      <c r="O2547">
        <v>4.56</v>
      </c>
      <c r="P2547">
        <v>23000</v>
      </c>
      <c r="Q2547" t="inlineStr">
        <is>
          <t>67809715a03f41000177e624</t>
        </is>
      </c>
      <c r="R2547" t="inlineStr">
        <is>
          <t>🚫重复</t>
        </is>
      </c>
      <c r="S2547" t="inlineStr">
        <is>
          <t>英语资料</t>
        </is>
      </c>
      <c r="T2547" t="inlineStr">
        <is>
          <t>0.11</t>
        </is>
      </c>
      <c r="U2547" s="3">
        <v>46112.78107638889</v>
      </c>
      <c r="V2547"/>
      <c r="W2547" s="3">
        <v>46106</v>
      </c>
      <c r="X2547" t="inlineStr">
        <is>
          <t>03</t>
        </is>
      </c>
      <c r="Y2547" t="inlineStr">
        <is>
          <t>2026-Q1</t>
        </is>
      </c>
    </row>
    <row r="2548" ht="38.25" customHeight="1">
      <c r="A2548" t="inlineStr">
        <is>
          <t>考研英语一英语二历年真题及解析电子版 PDF高清无水印自动发货</t>
        </is>
      </c>
      <c r="B2548" t="inlineStr">
        <is>
          <t>recveQyeeRiza0.jpg</t>
        </is>
      </c>
      <c r="C2548" s="2" t="str">
        <f>=HYPERLINK("https://xhslink.com/m/6ovNQ97AR8t", "https://xhslink.com/m/6ovNQ97AR8t")</f>
        <v>https://xhslink.com/m/6ovNQ97AR8t</v>
      </c>
      <c r="D2548"/>
      <c r="E2548">
        <v>10000</v>
      </c>
      <c r="F2548">
        <v>1.59</v>
      </c>
      <c r="G2548"/>
      <c r="H2548">
        <v>650</v>
      </c>
      <c r="I2548"/>
      <c r="J2548"/>
      <c r="K2548" t="inlineStr">
        <is>
          <t>高清pdf</t>
        </is>
      </c>
      <c r="L2548" t="inlineStr">
        <is>
          <t>🔥低粉爆款</t>
        </is>
      </c>
      <c r="M2548" t="inlineStr">
        <is>
          <t>离雨淬阁的店</t>
        </is>
      </c>
      <c r="N2548">
        <v>1028</v>
      </c>
      <c r="O2548">
        <v>4.4</v>
      </c>
      <c r="P2548">
        <v>33000</v>
      </c>
      <c r="Q2548" t="inlineStr">
        <is>
          <t>68b41ca86d4cc90001bf31bf</t>
        </is>
      </c>
      <c r="R2548" t="inlineStr">
        <is>
          <t>🚫重复</t>
        </is>
      </c>
      <c r="S2548" t="inlineStr">
        <is>
          <t>考研资料</t>
        </is>
      </c>
      <c r="T2548" t="inlineStr">
        <is>
          <t>9.73</t>
        </is>
      </c>
      <c r="U2548" s="3">
        <v>46112.78107638889</v>
      </c>
      <c r="V2548"/>
      <c r="W2548" s="3">
        <v>46106</v>
      </c>
      <c r="X2548" t="inlineStr">
        <is>
          <t>03</t>
        </is>
      </c>
      <c r="Y2548" t="inlineStr">
        <is>
          <t>2026-Q1</t>
        </is>
      </c>
    </row>
    <row r="2549" ht="38.25" customHeight="1">
      <c r="A2549" t="inlineStr">
        <is>
          <t>初中中考英语写作高分句型梳理背诵检测版可打印可编辑</t>
        </is>
      </c>
      <c r="B2549" t="inlineStr">
        <is>
          <t>recveQyeeR0jzo.jpg</t>
        </is>
      </c>
      <c r="C2549" s="2" t="str">
        <f>=HYPERLINK("https://xhslink.com/m/9gZxw9wgup2", "https://xhslink.com/m/9gZxw9wgup2")</f>
        <v>https://xhslink.com/m/9gZxw9wgup2</v>
      </c>
      <c r="D2549"/>
      <c r="E2549">
        <v>2366</v>
      </c>
      <c r="F2549">
        <v>9.99</v>
      </c>
      <c r="G2549"/>
      <c r="H2549">
        <v>300</v>
      </c>
      <c r="I2549">
        <v>1000</v>
      </c>
      <c r="J2549"/>
      <c r="K2549" t="inlineStr">
        <is>
          <t>可打印</t>
        </is>
      </c>
      <c r="L2549"/>
      <c r="M2549" t="inlineStr">
        <is>
          <t>阿拉斯加的少年的店</t>
        </is>
      </c>
      <c r="N2549">
        <v>1282</v>
      </c>
      <c r="O2549">
        <v>4.42</v>
      </c>
      <c r="P2549">
        <v>3304</v>
      </c>
      <c r="Q2549" t="inlineStr">
        <is>
          <t>67fbb3bf31f0e70001ccf385</t>
        </is>
      </c>
      <c r="R2549"/>
      <c r="S2549" t="inlineStr">
        <is>
          <t>中小学教辅/教材</t>
        </is>
      </c>
      <c r="T2549" t="inlineStr">
        <is>
          <t>1.85</t>
        </is>
      </c>
      <c r="U2549" s="3">
        <v>46112.78107638889</v>
      </c>
      <c r="V2549"/>
      <c r="W2549" s="3">
        <v>46106</v>
      </c>
      <c r="X2549" t="inlineStr">
        <is>
          <t>03</t>
        </is>
      </c>
      <c r="Y2549" t="inlineStr">
        <is>
          <t>2026-Q1</t>
        </is>
      </c>
    </row>
    <row r="2550" ht="38.25" customHeight="1">
      <c r="A2550" t="inlineStr">
        <is>
          <t>100篇精彩演讲稿，包含打印版邮寄＋打卡小程序</t>
        </is>
      </c>
      <c r="B2550" t="inlineStr">
        <is>
          <t>recveQyeeRbb2c.jpg</t>
        </is>
      </c>
      <c r="C2550" s="2" t="str">
        <f>=HYPERLINK("https://xhslink.com/m/7gMG7IoeMC4", "https://xhslink.com/m/7gMG7IoeMC4")</f>
        <v>https://xhslink.com/m/7gMG7IoeMC4</v>
      </c>
      <c r="D2550"/>
      <c r="E2550">
        <v>5342</v>
      </c>
      <c r="F2550">
        <v>49</v>
      </c>
      <c r="G2550"/>
      <c r="H2550">
        <v>150</v>
      </c>
      <c r="I2550"/>
      <c r="J2550"/>
      <c r="K2550" t="inlineStr">
        <is>
          <t>可打印</t>
        </is>
      </c>
      <c r="L2550"/>
      <c r="M2550" t="inlineStr">
        <is>
          <t>子鱼口才咨询的店</t>
        </is>
      </c>
      <c r="N2550">
        <v>4541</v>
      </c>
      <c r="O2550">
        <v>4.46</v>
      </c>
      <c r="P2550">
        <v>5470</v>
      </c>
      <c r="Q2550" t="inlineStr">
        <is>
          <t>678a14eabac25100019769bb</t>
        </is>
      </c>
      <c r="R2550"/>
      <c r="S2550" t="inlineStr">
        <is>
          <t>无匹配类别</t>
        </is>
      </c>
      <c r="T2550" t="inlineStr">
        <is>
          <t>1.18</t>
        </is>
      </c>
      <c r="U2550" s="3">
        <v>46112.78107638889</v>
      </c>
      <c r="V2550"/>
      <c r="W2550" s="3">
        <v>46106</v>
      </c>
      <c r="X2550" t="inlineStr">
        <is>
          <t>03</t>
        </is>
      </c>
      <c r="Y2550" t="inlineStr">
        <is>
          <t>2026-Q1</t>
        </is>
      </c>
    </row>
    <row r="2551" ht="38.25" customHeight="1">
      <c r="A2551" t="inlineStr">
        <is>
          <t>03-幼儿识字启蒙，1500字看图识字卡，直映闪卡，电子版可打印</t>
        </is>
      </c>
      <c r="B2551" t="inlineStr">
        <is>
          <t>recveQyeeRg2wg.jpg</t>
        </is>
      </c>
      <c r="C2551" s="2" t="str">
        <f>=HYPERLINK("https://xhslink.com/m/ADL96U4LDa6", "https://xhslink.com/m/ADL96U4LDa6")</f>
        <v>https://xhslink.com/m/ADL96U4LDa6</v>
      </c>
      <c r="D2551"/>
      <c r="E2551">
        <v>1767</v>
      </c>
      <c r="F2551">
        <v>3.88</v>
      </c>
      <c r="G2551"/>
      <c r="H2551">
        <v>200</v>
      </c>
      <c r="I2551"/>
      <c r="J2551"/>
      <c r="K2551" t="inlineStr">
        <is>
          <t>可打印</t>
        </is>
      </c>
      <c r="L2551"/>
      <c r="M2551" t="inlineStr">
        <is>
          <t>童姗姗老师的店</t>
        </is>
      </c>
      <c r="N2551">
        <v>1254</v>
      </c>
      <c r="O2551">
        <v>4.49</v>
      </c>
      <c r="P2551">
        <v>4014</v>
      </c>
      <c r="Q2551" t="inlineStr">
        <is>
          <t>69266f75b644e400017a658a</t>
        </is>
      </c>
      <c r="R2551"/>
      <c r="S2551" t="inlineStr">
        <is>
          <t>幼教资料</t>
        </is>
      </c>
      <c r="T2551" t="inlineStr">
        <is>
          <t>1.41</t>
        </is>
      </c>
      <c r="U2551" s="3">
        <v>46112.78107638889</v>
      </c>
      <c r="V2551"/>
      <c r="W2551" s="3">
        <v>46106</v>
      </c>
      <c r="X2551" t="inlineStr">
        <is>
          <t>03</t>
        </is>
      </c>
      <c r="Y2551" t="inlineStr">
        <is>
          <t>2026-Q1</t>
        </is>
      </c>
    </row>
    <row r="2552" ht="38.25" customHeight="1">
      <c r="A2552" t="inlineStr">
        <is>
          <t>高中英语语法专项精讲知识梳理考点解析电子版可打印全国通用</t>
        </is>
      </c>
      <c r="B2552" t="inlineStr">
        <is>
          <t>recveQyeeRZnSr.jpg</t>
        </is>
      </c>
      <c r="C2552" s="2" t="str">
        <f>=HYPERLINK("https://xhslink.com/m/9BtvBdoDw3g", "https://xhslink.com/m/9BtvBdoDw3g")</f>
        <v>https://xhslink.com/m/9BtvBdoDw3g</v>
      </c>
      <c r="D2552"/>
      <c r="E2552">
        <v>3098</v>
      </c>
      <c r="F2552">
        <v>4.3</v>
      </c>
      <c r="G2552"/>
      <c r="H2552">
        <v>1000</v>
      </c>
      <c r="I2552"/>
      <c r="J2552"/>
      <c r="K2552" t="inlineStr">
        <is>
          <t>可打印</t>
        </is>
      </c>
      <c r="L2552"/>
      <c r="M2552" t="inlineStr">
        <is>
          <t>清华李老师的店</t>
        </is>
      </c>
      <c r="N2552">
        <v>1673</v>
      </c>
      <c r="O2552">
        <v>4.48</v>
      </c>
      <c r="P2552">
        <v>20000</v>
      </c>
      <c r="Q2552" t="inlineStr">
        <is>
          <t>691527f1f168b90001bc5a85</t>
        </is>
      </c>
      <c r="R2552" t="inlineStr">
        <is>
          <t>🚫重复</t>
        </is>
      </c>
      <c r="S2552" t="inlineStr">
        <is>
          <t>高中/高考资料</t>
        </is>
      </c>
      <c r="T2552" t="inlineStr">
        <is>
          <t>1.85</t>
        </is>
      </c>
      <c r="U2552" s="3">
        <v>46112.78107638889</v>
      </c>
      <c r="V2552"/>
      <c r="W2552" s="3">
        <v>46106</v>
      </c>
      <c r="X2552" t="inlineStr">
        <is>
          <t>03</t>
        </is>
      </c>
      <c r="Y2552" t="inlineStr">
        <is>
          <t>2026-Q1</t>
        </is>
      </c>
    </row>
    <row r="2553" ht="38.25" customHeight="1">
      <c r="A2553" t="inlineStr">
        <is>
          <t>洗照片照片打印高清冲印洗印照片相册打印照片幼儿园宝宝学生照片</t>
        </is>
      </c>
      <c r="B2553" t="inlineStr">
        <is>
          <t>recveQyeeRB9fM.jpg</t>
        </is>
      </c>
      <c r="C2553" s="2" t="str">
        <f>=HYPERLINK("https://xhslink.com/m/z80vU5AGiQ", "https://xhslink.com/m/z80vU5AGiQ")</f>
        <v>https://xhslink.com/m/z80vU5AGiQ</v>
      </c>
      <c r="D2553"/>
      <c r="E2553">
        <v>14000</v>
      </c>
      <c r="F2553">
        <v>36</v>
      </c>
      <c r="G2553"/>
      <c r="H2553">
        <v>1000</v>
      </c>
      <c r="I2553"/>
      <c r="J2553"/>
      <c r="K2553" t="inlineStr">
        <is>
          <t>可打印</t>
        </is>
      </c>
      <c r="L2553" t="inlineStr">
        <is>
          <t>🔥低粉爆款</t>
        </is>
      </c>
      <c r="M2553" t="inlineStr">
        <is>
          <t>想云照片打印的店</t>
        </is>
      </c>
      <c r="N2553">
        <v>3926</v>
      </c>
      <c r="O2553">
        <v>4.58</v>
      </c>
      <c r="P2553">
        <v>15000</v>
      </c>
      <c r="Q2553" t="inlineStr">
        <is>
          <t>672f296e6a6c180001a13b75</t>
        </is>
      </c>
      <c r="R2553"/>
      <c r="S2553" t="inlineStr">
        <is>
          <t>幼教资料</t>
        </is>
      </c>
      <c r="T2553" t="inlineStr">
        <is>
          <t>3.57</t>
        </is>
      </c>
      <c r="U2553" s="3">
        <v>46112.78107638889</v>
      </c>
      <c r="V2553"/>
      <c r="W2553" s="3">
        <v>46106</v>
      </c>
      <c r="X2553" t="inlineStr">
        <is>
          <t>03</t>
        </is>
      </c>
      <c r="Y2553" t="inlineStr">
        <is>
          <t>2026-Q1</t>
        </is>
      </c>
    </row>
    <row r="2554" ht="38.25" customHeight="1">
      <c r="A2554" t="inlineStr">
        <is>
          <t>高考政治必修+选修知识点归纳汇总 电子版/可打印</t>
        </is>
      </c>
      <c r="B2554" t="inlineStr">
        <is>
          <t>recveQyeeR3c3L.jpg</t>
        </is>
      </c>
      <c r="C2554" s="2" t="str">
        <f>=HYPERLINK("https://xhslink.com/m/4ZLlJly5Qf2", "https://xhslink.com/m/4ZLlJly5Qf2")</f>
        <v>https://xhslink.com/m/4ZLlJly5Qf2</v>
      </c>
      <c r="D2554"/>
      <c r="E2554">
        <v>1199</v>
      </c>
      <c r="F2554">
        <v>2.9</v>
      </c>
      <c r="G2554"/>
      <c r="H2554">
        <v>300</v>
      </c>
      <c r="I2554">
        <v>1000</v>
      </c>
      <c r="J2554"/>
      <c r="K2554" t="inlineStr">
        <is>
          <t>可打印</t>
        </is>
      </c>
      <c r="L2554" t="inlineStr">
        <is>
          <t>🔥低粉爆款</t>
        </is>
      </c>
      <c r="M2554" t="inlineStr">
        <is>
          <t>明明资料铺的店</t>
        </is>
      </c>
      <c r="N2554">
        <v>93</v>
      </c>
      <c r="O2554">
        <v>4.23</v>
      </c>
      <c r="P2554">
        <v>2089</v>
      </c>
      <c r="Q2554" t="inlineStr">
        <is>
          <t>693934a333f9b3000149bc81</t>
        </is>
      </c>
      <c r="R2554"/>
      <c r="S2554" t="inlineStr">
        <is>
          <t>高中/高考资料</t>
        </is>
      </c>
      <c r="T2554" t="inlineStr">
        <is>
          <t>12.89</t>
        </is>
      </c>
      <c r="U2554" s="3">
        <v>46112.78107638889</v>
      </c>
      <c r="V2554"/>
      <c r="W2554" s="3">
        <v>46106</v>
      </c>
      <c r="X2554" t="inlineStr">
        <is>
          <t>03</t>
        </is>
      </c>
      <c r="Y2554" t="inlineStr">
        <is>
          <t>2026-Q1</t>
        </is>
      </c>
    </row>
    <row r="2555" ht="38.25" customHeight="1">
      <c r="A2555" t="inlineStr">
        <is>
          <t>无需DM系列200＋剧本杀电子版合集高清打印单双多人轻松开团</t>
        </is>
      </c>
      <c r="B2555" t="inlineStr">
        <is>
          <t>recveQyeeRHgNE.jpg</t>
        </is>
      </c>
      <c r="C2555" s="2" t="str">
        <f>=HYPERLINK("https://xhslink.com/m/ALrXBy7J6bd", "https://xhslink.com/m/ALrXBy7J6bd")</f>
        <v>https://xhslink.com/m/ALrXBy7J6bd</v>
      </c>
      <c r="D2555"/>
      <c r="E2555">
        <v>3220</v>
      </c>
      <c r="F2555">
        <v>9.99</v>
      </c>
      <c r="G2555"/>
      <c r="H2555">
        <v>600</v>
      </c>
      <c r="I2555">
        <v>1000</v>
      </c>
      <c r="J2555"/>
      <c r="K2555" t="inlineStr">
        <is>
          <t>可打印</t>
        </is>
      </c>
      <c r="L2555"/>
      <c r="M2555" t="inlineStr">
        <is>
          <t>打本艺术家的店</t>
        </is>
      </c>
      <c r="N2555">
        <v>1505</v>
      </c>
      <c r="O2555">
        <v>4.58</v>
      </c>
      <c r="P2555">
        <v>10000</v>
      </c>
      <c r="Q2555" t="inlineStr">
        <is>
          <t>688f51f66d60540001fa86b5</t>
        </is>
      </c>
      <c r="R2555"/>
      <c r="S2555" t="inlineStr">
        <is>
          <t>无匹配类别</t>
        </is>
      </c>
      <c r="T2555" t="inlineStr">
        <is>
          <t>2.14</t>
        </is>
      </c>
      <c r="U2555" s="3">
        <v>46112.78107638889</v>
      </c>
      <c r="V2555"/>
      <c r="W2555" s="3">
        <v>46106</v>
      </c>
      <c r="X2555" t="inlineStr">
        <is>
          <t>03</t>
        </is>
      </c>
      <c r="Y2555" t="inlineStr">
        <is>
          <t>2026-Q1</t>
        </is>
      </c>
    </row>
    <row r="2556" ht="38.25" customHeight="1">
      <c r="A2556" t="inlineStr">
        <is>
          <t>考研复试英语口语资料包（可编辑可打印｜百度网盘）</t>
        </is>
      </c>
      <c r="B2556" t="inlineStr">
        <is>
          <t>recveQyeeRc2xh.jpg</t>
        </is>
      </c>
      <c r="C2556" s="2" t="str">
        <f>=HYPERLINK("https://xhslink.com/m/AQcUa5aGb0M", "https://xhslink.com/m/AQcUa5aGb0M")</f>
        <v>https://xhslink.com/m/AQcUa5aGb0M</v>
      </c>
      <c r="D2556"/>
      <c r="E2556">
        <v>3206</v>
      </c>
      <c r="F2556">
        <v>5.99</v>
      </c>
      <c r="G2556"/>
      <c r="H2556">
        <v>500</v>
      </c>
      <c r="I2556"/>
      <c r="J2556"/>
      <c r="K2556" t="inlineStr">
        <is>
          <t>可打印</t>
        </is>
      </c>
      <c r="L2556"/>
      <c r="M2556" t="inlineStr">
        <is>
          <t>上岸Kitty的店</t>
        </is>
      </c>
      <c r="N2556">
        <v>5119</v>
      </c>
      <c r="O2556">
        <v>4.6</v>
      </c>
      <c r="P2556">
        <v>30000</v>
      </c>
      <c r="Q2556" t="inlineStr">
        <is>
          <t>697db5ebeb0d9a00013fe0c2</t>
        </is>
      </c>
      <c r="R2556" t="inlineStr">
        <is>
          <t>🚫重复</t>
        </is>
      </c>
      <c r="S2556" t="inlineStr">
        <is>
          <t>考研资料</t>
        </is>
      </c>
      <c r="T2556" t="inlineStr">
        <is>
          <t>0.63</t>
        </is>
      </c>
      <c r="U2556" s="3">
        <v>46112.78107638889</v>
      </c>
      <c r="V2556"/>
      <c r="W2556" s="3">
        <v>46106</v>
      </c>
      <c r="X2556" t="inlineStr">
        <is>
          <t>03</t>
        </is>
      </c>
      <c r="Y2556" t="inlineStr">
        <is>
          <t>2026-Q1</t>
        </is>
      </c>
    </row>
    <row r="2557" ht="38.25" customHeight="1">
      <c r="A2557" t="inlineStr">
        <is>
          <t>中考语文重难点专项突破电子版可打印网盘下载</t>
        </is>
      </c>
      <c r="B2557" t="inlineStr">
        <is>
          <t>recveQyeeRSOSN.jpg</t>
        </is>
      </c>
      <c r="C2557" s="2" t="str">
        <f>=HYPERLINK("https://xhslink.com/m/1pKKwG0dA4e", "https://xhslink.com/m/1pKKwG0dA4e")</f>
        <v>https://xhslink.com/m/1pKKwG0dA4e</v>
      </c>
      <c r="D2557"/>
      <c r="E2557">
        <v>1037</v>
      </c>
      <c r="F2557">
        <v>3.9</v>
      </c>
      <c r="G2557"/>
      <c r="H2557">
        <v>300</v>
      </c>
      <c r="I2557"/>
      <c r="J2557"/>
      <c r="K2557" t="inlineStr">
        <is>
          <t>可打印</t>
        </is>
      </c>
      <c r="L2557"/>
      <c r="M2557" t="inlineStr">
        <is>
          <t>清华李老师的店</t>
        </is>
      </c>
      <c r="N2557">
        <v>1673</v>
      </c>
      <c r="O2557">
        <v>4.48</v>
      </c>
      <c r="P2557">
        <v>20000</v>
      </c>
      <c r="Q2557" t="inlineStr">
        <is>
          <t>692d0508b70fce00010fbba4</t>
        </is>
      </c>
      <c r="R2557" t="inlineStr">
        <is>
          <t>🚫重复</t>
        </is>
      </c>
      <c r="S2557" t="inlineStr">
        <is>
          <t>中小学教辅/教材</t>
        </is>
      </c>
      <c r="T2557" t="inlineStr">
        <is>
          <t>0.62</t>
        </is>
      </c>
      <c r="U2557" s="3">
        <v>46112.78107638889</v>
      </c>
      <c r="V2557"/>
      <c r="W2557" s="3">
        <v>46106</v>
      </c>
      <c r="X2557" t="inlineStr">
        <is>
          <t>03</t>
        </is>
      </c>
      <c r="Y2557" t="inlineStr">
        <is>
          <t>2026-Q1</t>
        </is>
      </c>
    </row>
    <row r="2558" ht="38.25" customHeight="1">
      <c r="A2558" t="inlineStr">
        <is>
          <t>初中英语语法知识点归纳总结+考点解析+习题训练电子版可打印</t>
        </is>
      </c>
      <c r="B2558" t="inlineStr">
        <is>
          <t>recveQyeeRIS3y.jpg</t>
        </is>
      </c>
      <c r="C2558" s="2" t="str">
        <f>=HYPERLINK("https://xhslink.com/m/7f3MbyeQtzU", "https://xhslink.com/m/7f3MbyeQtzU")</f>
        <v>https://xhslink.com/m/7f3MbyeQtzU</v>
      </c>
      <c r="D2558"/>
      <c r="E2558">
        <v>4215</v>
      </c>
      <c r="F2558">
        <v>4.9</v>
      </c>
      <c r="G2558"/>
      <c r="H2558">
        <v>1000</v>
      </c>
      <c r="I2558"/>
      <c r="J2558"/>
      <c r="K2558" t="inlineStr">
        <is>
          <t>可打印</t>
        </is>
      </c>
      <c r="L2558" t="inlineStr">
        <is>
          <t>🔥低粉爆款</t>
        </is>
      </c>
      <c r="M2558" t="inlineStr">
        <is>
          <t>复旦徐老师（知识宝典）的店</t>
        </is>
      </c>
      <c r="N2558">
        <v>1133</v>
      </c>
      <c r="O2558">
        <v>4.54</v>
      </c>
      <c r="P2558">
        <v>8086</v>
      </c>
      <c r="Q2558" t="inlineStr">
        <is>
          <t>68ae67f1f38f970001c1e8b7</t>
        </is>
      </c>
      <c r="R2558" t="inlineStr">
        <is>
          <t>🚫重复</t>
        </is>
      </c>
      <c r="S2558" t="inlineStr">
        <is>
          <t>中小学教辅/教材</t>
        </is>
      </c>
      <c r="T2558" t="inlineStr">
        <is>
          <t>3.72</t>
        </is>
      </c>
      <c r="U2558" s="3">
        <v>46112.78107638889</v>
      </c>
      <c r="V2558"/>
      <c r="W2558" s="3">
        <v>46106</v>
      </c>
      <c r="X2558" t="inlineStr">
        <is>
          <t>03</t>
        </is>
      </c>
      <c r="Y2558" t="inlineStr">
        <is>
          <t>2026-Q1</t>
        </is>
      </c>
    </row>
    <row r="2559" ht="38.25" customHeight="1">
      <c r="A2559" t="inlineStr">
        <is>
          <t>中考英语作文句型练习写作提升辅导电子版可打印PDF/Word下载</t>
        </is>
      </c>
      <c r="B2559" t="inlineStr">
        <is>
          <t>recveQyeeRLMLg.jpg</t>
        </is>
      </c>
      <c r="C2559" s="2" t="str">
        <f>=HYPERLINK("https://xhslink.com/m/5Ql7kbQwY1A", "https://xhslink.com/m/5Ql7kbQwY1A")</f>
        <v>https://xhslink.com/m/5Ql7kbQwY1A</v>
      </c>
      <c r="D2559"/>
      <c r="E2559">
        <v>2346</v>
      </c>
      <c r="F2559">
        <v>3.9</v>
      </c>
      <c r="G2559"/>
      <c r="H2559">
        <v>600</v>
      </c>
      <c r="I2559"/>
      <c r="J2559"/>
      <c r="K2559" t="inlineStr">
        <is>
          <t>可打印</t>
        </is>
      </c>
      <c r="L2559"/>
      <c r="M2559" t="inlineStr">
        <is>
          <t>清华李老师的店</t>
        </is>
      </c>
      <c r="N2559">
        <v>1673</v>
      </c>
      <c r="O2559">
        <v>4.48</v>
      </c>
      <c r="P2559">
        <v>20000</v>
      </c>
      <c r="Q2559" t="inlineStr">
        <is>
          <t>68e4732ece94ee00011a4723</t>
        </is>
      </c>
      <c r="R2559" t="inlineStr">
        <is>
          <t>🚫重复</t>
        </is>
      </c>
      <c r="S2559" t="inlineStr">
        <is>
          <t>中小学教辅/教材</t>
        </is>
      </c>
      <c r="T2559" t="inlineStr">
        <is>
          <t>1.40</t>
        </is>
      </c>
      <c r="U2559" s="3">
        <v>46112.78107638889</v>
      </c>
      <c r="V2559"/>
      <c r="W2559" s="3">
        <v>46106</v>
      </c>
      <c r="X2559" t="inlineStr">
        <is>
          <t>03</t>
        </is>
      </c>
      <c r="Y2559" t="inlineStr">
        <is>
          <t>2026-Q1</t>
        </is>
      </c>
    </row>
    <row r="2560" ht="38.25" customHeight="1">
      <c r="A2560" t="inlineStr">
        <is>
          <t>印刷风格ps字体procreate下载ai电脑WPS中英文商用打印机复古做旧</t>
        </is>
      </c>
      <c r="B2560" t="inlineStr">
        <is>
          <t>__upload_recveQyeeRXAXB.jpg</t>
        </is>
      </c>
      <c r="C2560" s="2" t="str">
        <f>=HYPERLINK("https://xhslink.com/m/2ZrAGkQhwzm", "https://xhslink.com/m/2ZrAGkQhwzm")</f>
        <v>https://xhslink.com/m/2ZrAGkQhwzm</v>
      </c>
      <c r="D2560"/>
      <c r="E2560">
        <v>8732</v>
      </c>
      <c r="F2560">
        <v>3</v>
      </c>
      <c r="G2560"/>
      <c r="H2560">
        <v>550</v>
      </c>
      <c r="I2560"/>
      <c r="J2560">
        <v>100</v>
      </c>
      <c r="K2560" t="inlineStr">
        <is>
          <t>可打印</t>
        </is>
      </c>
      <c r="L2560"/>
      <c r="M2560" t="inlineStr">
        <is>
          <t>三只喵ppt的店</t>
        </is>
      </c>
      <c r="N2560">
        <v>3741</v>
      </c>
      <c r="O2560">
        <v>4.55</v>
      </c>
      <c r="P2560">
        <v>41000</v>
      </c>
      <c r="Q2560" t="inlineStr">
        <is>
          <t>67f39d00ae4ae00001d3f970</t>
        </is>
      </c>
      <c r="R2560" t="inlineStr">
        <is>
          <t>🚫重复</t>
        </is>
      </c>
      <c r="S2560" t="inlineStr">
        <is>
          <t>设计素材</t>
        </is>
      </c>
      <c r="T2560" t="inlineStr">
        <is>
          <t>2.33</t>
        </is>
      </c>
      <c r="U2560" s="3">
        <v>46112.78107638889</v>
      </c>
      <c r="V2560"/>
      <c r="W2560" s="3">
        <v>46106</v>
      </c>
      <c r="X2560" t="inlineStr">
        <is>
          <t>03</t>
        </is>
      </c>
      <c r="Y2560" t="inlineStr">
        <is>
          <t>2026-Q1</t>
        </is>
      </c>
    </row>
    <row r="2561" ht="38.25" customHeight="1">
      <c r="A2561" t="inlineStr">
        <is>
          <t>26春新版1-6年级语文上下册教案｜word｜可编辑｜可打印</t>
        </is>
      </c>
      <c r="B2561" t="inlineStr">
        <is>
          <t>recveQyeeR16FS.jpg</t>
        </is>
      </c>
      <c r="C2561" s="2" t="str">
        <f>=HYPERLINK("https://xhslink.com/m/A2o5nMtRGeK", "https://xhslink.com/m/A2o5nMtRGeK")</f>
        <v>https://xhslink.com/m/A2o5nMtRGeK</v>
      </c>
      <c r="D2561"/>
      <c r="E2561">
        <v>2606</v>
      </c>
      <c r="F2561">
        <v>12.9</v>
      </c>
      <c r="G2561"/>
      <c r="H2561">
        <v>400</v>
      </c>
      <c r="I2561"/>
      <c r="J2561"/>
      <c r="K2561" t="inlineStr">
        <is>
          <t>可编辑</t>
        </is>
      </c>
      <c r="L2561"/>
      <c r="M2561" t="inlineStr">
        <is>
          <t>宝藏教师周茉的店</t>
        </is>
      </c>
      <c r="N2561">
        <v>1997</v>
      </c>
      <c r="O2561">
        <v>4.18</v>
      </c>
      <c r="P2561">
        <v>6250</v>
      </c>
      <c r="Q2561" t="inlineStr">
        <is>
          <t>679daf6796b36c00010b89b8</t>
        </is>
      </c>
      <c r="R2561" t="inlineStr">
        <is>
          <t>🚫重复</t>
        </is>
      </c>
      <c r="S2561" t="inlineStr">
        <is>
          <t>中小学教辅/教材</t>
        </is>
      </c>
      <c r="T2561" t="inlineStr">
        <is>
          <t>1.30</t>
        </is>
      </c>
      <c r="U2561" s="3">
        <v>46112.78107638889</v>
      </c>
      <c r="V2561"/>
      <c r="W2561" s="3">
        <v>46106</v>
      </c>
      <c r="X2561" t="inlineStr">
        <is>
          <t>03</t>
        </is>
      </c>
      <c r="Y2561" t="inlineStr">
        <is>
          <t>2026-Q1</t>
        </is>
      </c>
    </row>
    <row r="2562" ht="38.25" customHeight="1">
      <c r="A2562" t="inlineStr">
        <is>
          <t>26年春新版人教版1-6年级数学上下教案｜可编辑</t>
        </is>
      </c>
      <c r="B2562" t="inlineStr">
        <is>
          <t>recveQyeeRrL0T.jpg</t>
        </is>
      </c>
      <c r="C2562" s="2" t="str">
        <f>=HYPERLINK("https://xhslink.com/m/15U71261tZA", "https://xhslink.com/m/15U71261tZA")</f>
        <v>https://xhslink.com/m/15U71261tZA</v>
      </c>
      <c r="D2562"/>
      <c r="E2562">
        <v>2399</v>
      </c>
      <c r="F2562">
        <v>12.9</v>
      </c>
      <c r="G2562"/>
      <c r="H2562">
        <v>800</v>
      </c>
      <c r="I2562"/>
      <c r="J2562"/>
      <c r="K2562" t="inlineStr">
        <is>
          <t>可编辑</t>
        </is>
      </c>
      <c r="L2562"/>
      <c r="M2562" t="inlineStr">
        <is>
          <t>童小鹿优质教资的店</t>
        </is>
      </c>
      <c r="N2562">
        <v>2051</v>
      </c>
      <c r="O2562">
        <v>4.33</v>
      </c>
      <c r="P2562">
        <v>4351</v>
      </c>
      <c r="Q2562" t="inlineStr">
        <is>
          <t>688d56e1e08d4d0001d1efb8</t>
        </is>
      </c>
      <c r="R2562"/>
      <c r="S2562" t="inlineStr">
        <is>
          <t>中小学教辅/教材</t>
        </is>
      </c>
      <c r="T2562" t="inlineStr">
        <is>
          <t>1.17</t>
        </is>
      </c>
      <c r="U2562" s="3">
        <v>46112.78107638889</v>
      </c>
      <c r="V2562"/>
      <c r="W2562" s="3">
        <v>46106</v>
      </c>
      <c r="X2562" t="inlineStr">
        <is>
          <t>03</t>
        </is>
      </c>
      <c r="Y2562" t="inlineStr">
        <is>
          <t>2026-Q1</t>
        </is>
      </c>
    </row>
    <row r="2563" ht="38.25" customHeight="1">
      <c r="A2563" t="inlineStr">
        <is>
          <t>最新100个申论必看热点·电子版自动发货·持续更新中</t>
        </is>
      </c>
      <c r="B2563" t="inlineStr">
        <is>
          <t>recveQyeeReT9e.jpg</t>
        </is>
      </c>
      <c r="C2563" s="2" t="str">
        <f>=HYPERLINK("https://xhslink.com/m/3qnRmWP2pJp", "https://xhslink.com/m/3qnRmWP2pJp")</f>
        <v>https://xhslink.com/m/3qnRmWP2pJp</v>
      </c>
      <c r="D2563"/>
      <c r="E2563">
        <v>14000</v>
      </c>
      <c r="F2563">
        <v>39.9</v>
      </c>
      <c r="G2563"/>
      <c r="H2563">
        <v>100</v>
      </c>
      <c r="I2563"/>
      <c r="J2563"/>
      <c r="K2563" t="inlineStr">
        <is>
          <t>持续更新</t>
        </is>
      </c>
      <c r="L2563"/>
      <c r="M2563" t="inlineStr">
        <is>
          <t>手把手学申论的店</t>
        </is>
      </c>
      <c r="N2563">
        <v>85000</v>
      </c>
      <c r="O2563">
        <v>4.14</v>
      </c>
      <c r="P2563">
        <v>15000</v>
      </c>
      <c r="Q2563" t="inlineStr">
        <is>
          <t>654f90e644a0ce0001291b79</t>
        </is>
      </c>
      <c r="R2563" t="inlineStr">
        <is>
          <t>🚫重复</t>
        </is>
      </c>
      <c r="S2563" t="inlineStr">
        <is>
          <t>考公资料</t>
        </is>
      </c>
      <c r="T2563" t="inlineStr">
        <is>
          <t>0.16</t>
        </is>
      </c>
      <c r="U2563" s="3">
        <v>46112.78107638889</v>
      </c>
      <c r="V2563"/>
      <c r="W2563" s="3">
        <v>46106</v>
      </c>
      <c r="X2563" t="inlineStr">
        <is>
          <t>03</t>
        </is>
      </c>
      <c r="Y2563" t="inlineStr">
        <is>
          <t>2026-Q1</t>
        </is>
      </c>
    </row>
    <row r="2564" ht="38.25" customHeight="1">
      <c r="A2564" t="inlineStr">
        <is>
          <t>2026年书学姐公考面试必背素材|成功逆袭4分上岸｜逆袭必背85+</t>
        </is>
      </c>
      <c r="B2564" t="inlineStr">
        <is>
          <t>recveQyeeRF5YO.jpg</t>
        </is>
      </c>
      <c r="C2564" s="2" t="str">
        <f>=HYPERLINK("https://xhslink.com/m/9o1kEtv7Eyd", "https://xhslink.com/m/9o1kEtv7Eyd")</f>
        <v>https://xhslink.com/m/9o1kEtv7Eyd</v>
      </c>
      <c r="D2564"/>
      <c r="E2564">
        <v>6520</v>
      </c>
      <c r="F2564">
        <v>59.9</v>
      </c>
      <c r="G2564"/>
      <c r="H2564">
        <v>300</v>
      </c>
      <c r="I2564"/>
      <c r="J2564"/>
      <c r="K2564" t="inlineStr">
        <is>
          <t>持续更新</t>
        </is>
      </c>
      <c r="L2564"/>
      <c r="M2564" t="inlineStr">
        <is>
          <t>书学姐（三次上岸）的店</t>
        </is>
      </c>
      <c r="N2564">
        <v>20000</v>
      </c>
      <c r="O2564">
        <v>4.57</v>
      </c>
      <c r="P2564">
        <v>21000</v>
      </c>
      <c r="Q2564" t="inlineStr">
        <is>
          <t>679d84ec75ca3a0001536f97</t>
        </is>
      </c>
      <c r="R2564" t="inlineStr">
        <is>
          <t>🚫重复</t>
        </is>
      </c>
      <c r="S2564" t="inlineStr">
        <is>
          <t>考公资料</t>
        </is>
      </c>
      <c r="T2564" t="inlineStr">
        <is>
          <t>0.33</t>
        </is>
      </c>
      <c r="U2564" s="3">
        <v>46112.78107638889</v>
      </c>
      <c r="V2564"/>
      <c r="W2564" s="3">
        <v>46106</v>
      </c>
      <c r="X2564" t="inlineStr">
        <is>
          <t>03</t>
        </is>
      </c>
      <c r="Y2564" t="inlineStr">
        <is>
          <t>2026-Q1</t>
        </is>
      </c>
    </row>
    <row r="2565" ht="38.25" customHeight="1">
      <c r="A2565" t="inlineStr">
        <is>
          <t>2027考研dd教育综合311全程班333全程班网课视频讲义赠送26</t>
        </is>
      </c>
      <c r="B2565" t="inlineStr">
        <is>
          <t>recveQyeeRPmjt.jpg</t>
        </is>
      </c>
      <c r="C2565" s="2" t="str">
        <f>=HYPERLINK("https://xhslink.com/m/3exX6AmbsrH", "https://xhslink.com/m/3exX6AmbsrH")</f>
        <v>https://xhslink.com/m/3exX6AmbsrH</v>
      </c>
      <c r="D2565"/>
      <c r="E2565">
        <v>1282</v>
      </c>
      <c r="F2565">
        <v>8.88</v>
      </c>
      <c r="G2565"/>
      <c r="H2565">
        <v>350</v>
      </c>
      <c r="I2565"/>
      <c r="J2565"/>
      <c r="K2565" t="inlineStr">
        <is>
          <t>持续更新</t>
        </is>
      </c>
      <c r="L2565"/>
      <c r="M2565" t="inlineStr">
        <is>
          <t>上岸原风的店</t>
        </is>
      </c>
      <c r="N2565">
        <v>835</v>
      </c>
      <c r="O2565">
        <v>4.43</v>
      </c>
      <c r="P2565">
        <v>14000</v>
      </c>
      <c r="Q2565" t="inlineStr">
        <is>
          <t>68a976383f78410001bf8f9d</t>
        </is>
      </c>
      <c r="R2565"/>
      <c r="S2565" t="inlineStr">
        <is>
          <t>考研资料</t>
        </is>
      </c>
      <c r="T2565" t="inlineStr">
        <is>
          <t>1.54</t>
        </is>
      </c>
      <c r="U2565" s="3">
        <v>46112.78107638889</v>
      </c>
      <c r="V2565"/>
      <c r="W2565" s="3">
        <v>46106</v>
      </c>
      <c r="X2565" t="inlineStr">
        <is>
          <t>03</t>
        </is>
      </c>
      <c r="Y2565" t="inlineStr">
        <is>
          <t>2026-Q1</t>
        </is>
      </c>
    </row>
    <row r="2566" ht="38.25" customHeight="1">
      <c r="A2566" t="inlineStr">
        <is>
          <t>画世界、画世界pro笔刷大集合8000+笔刷会持续更新</t>
        </is>
      </c>
      <c r="B2566" t="inlineStr">
        <is>
          <t>__upload_recveQyeeRauy3.jpg</t>
        </is>
      </c>
      <c r="C2566" s="2" t="str">
        <f>=HYPERLINK("https://xhslink.com/m/QafJofrn3g", "https://xhslink.com/m/QafJofrn3g")</f>
        <v>https://xhslink.com/m/QafJofrn3g</v>
      </c>
      <c r="D2566"/>
      <c r="E2566">
        <v>11000</v>
      </c>
      <c r="F2566">
        <v>3.99</v>
      </c>
      <c r="G2566"/>
      <c r="H2566">
        <v>4000</v>
      </c>
      <c r="I2566"/>
      <c r="J2566">
        <v>100</v>
      </c>
      <c r="K2566" t="inlineStr">
        <is>
          <t>持续更新</t>
        </is>
      </c>
      <c r="L2566" t="inlineStr">
        <is>
          <t>🔥低粉爆款</t>
        </is>
      </c>
      <c r="M2566" t="inlineStr">
        <is>
          <t>一笔小叶的店</t>
        </is>
      </c>
      <c r="N2566">
        <v>2463</v>
      </c>
      <c r="O2566">
        <v>4.58</v>
      </c>
      <c r="P2566">
        <v>11000</v>
      </c>
      <c r="Q2566" t="inlineStr">
        <is>
          <t>6883338febefca000108440f</t>
        </is>
      </c>
      <c r="R2566"/>
      <c r="S2566" t="inlineStr">
        <is>
          <t>设计素材</t>
        </is>
      </c>
      <c r="T2566" t="inlineStr">
        <is>
          <t>4.47</t>
        </is>
      </c>
      <c r="U2566" s="3">
        <v>46112.78107638889</v>
      </c>
      <c r="V2566"/>
      <c r="W2566" s="3">
        <v>46106</v>
      </c>
      <c r="X2566" t="inlineStr">
        <is>
          <t>03</t>
        </is>
      </c>
      <c r="Y2566" t="inlineStr">
        <is>
          <t>2026-Q1</t>
        </is>
      </c>
    </row>
    <row r="2567" ht="38.25" customHeight="1">
      <c r="A2567" t="inlineStr">
        <is>
          <t>合集持续更新，自动发货</t>
        </is>
      </c>
      <c r="B2567" t="inlineStr">
        <is>
          <t>recveQyeeRYIxP.jpg</t>
        </is>
      </c>
      <c r="C2567" s="2" t="str">
        <f>=HYPERLINK("https://xhslink.com/m/87ODA7AwQt8", "https://xhslink.com/m/87ODA7AwQt8")</f>
        <v>https://xhslink.com/m/87ODA7AwQt8</v>
      </c>
      <c r="D2567"/>
      <c r="E2567">
        <v>443</v>
      </c>
      <c r="F2567">
        <v>13.8</v>
      </c>
      <c r="G2567"/>
      <c r="H2567">
        <v>200</v>
      </c>
      <c r="I2567"/>
      <c r="J2567"/>
      <c r="K2567" t="inlineStr">
        <is>
          <t>持续更新</t>
        </is>
      </c>
      <c r="L2567" t="inlineStr">
        <is>
          <t>🔥低粉爆款</t>
        </is>
      </c>
      <c r="M2567" t="inlineStr">
        <is>
          <t>琳琳大厨的店</t>
        </is>
      </c>
      <c r="N2567">
        <v>16</v>
      </c>
      <c r="O2567">
        <v>4.25</v>
      </c>
      <c r="P2567">
        <v>1491</v>
      </c>
      <c r="Q2567" t="inlineStr">
        <is>
          <t>6976d4c278d8d500011fe35e</t>
        </is>
      </c>
      <c r="R2567"/>
      <c r="S2567" t="inlineStr">
        <is>
          <t>无匹配类别</t>
        </is>
      </c>
      <c r="T2567" t="inlineStr">
        <is>
          <t>27.69</t>
        </is>
      </c>
      <c r="U2567" s="3">
        <v>46112.78107638889</v>
      </c>
      <c r="V2567"/>
      <c r="W2567" s="3">
        <v>46106</v>
      </c>
      <c r="X2567" t="inlineStr">
        <is>
          <t>03</t>
        </is>
      </c>
      <c r="Y2567" t="inlineStr">
        <is>
          <t>2026-Q1</t>
        </is>
      </c>
    </row>
    <row r="2568" ht="38.25" customHeight="1">
      <c r="A2568" t="inlineStr">
        <is>
          <t>政治理论冲刺大盘点！超全！直接背！（持续更新中）</t>
        </is>
      </c>
      <c r="B2568" t="inlineStr">
        <is>
          <t>recveQyeeR4MGp.jpg</t>
        </is>
      </c>
      <c r="C2568" s="2" t="str">
        <f>=HYPERLINK("https://xhslink.com/m/56NRDft8xg3", "https://xhslink.com/m/56NRDft8xg3")</f>
        <v>https://xhslink.com/m/56NRDft8xg3</v>
      </c>
      <c r="D2568"/>
      <c r="E2568">
        <v>2566</v>
      </c>
      <c r="F2568">
        <v>1.99</v>
      </c>
      <c r="G2568"/>
      <c r="H2568">
        <v>850</v>
      </c>
      <c r="I2568"/>
      <c r="J2568"/>
      <c r="K2568" t="inlineStr">
        <is>
          <t>持续更新</t>
        </is>
      </c>
      <c r="L2568"/>
      <c r="M2568" t="inlineStr">
        <is>
          <t>小谭要一直努力的店</t>
        </is>
      </c>
      <c r="N2568">
        <v>1491</v>
      </c>
      <c r="O2568">
        <v>4.05</v>
      </c>
      <c r="P2568">
        <v>2754</v>
      </c>
      <c r="Q2568" t="inlineStr">
        <is>
          <t>6926e3e318096d0001ba52ca</t>
        </is>
      </c>
      <c r="R2568"/>
      <c r="S2568" t="inlineStr">
        <is>
          <t>考公资料</t>
        </is>
      </c>
      <c r="T2568" t="inlineStr">
        <is>
          <t>1.72</t>
        </is>
      </c>
      <c r="U2568" s="3">
        <v>46112.78107638889</v>
      </c>
      <c r="V2568"/>
      <c r="W2568" s="3">
        <v>46106</v>
      </c>
      <c r="X2568" t="inlineStr">
        <is>
          <t>03</t>
        </is>
      </c>
      <c r="Y2568" t="inlineStr">
        <is>
          <t>2026-Q1</t>
        </is>
      </c>
    </row>
    <row r="2569" ht="38.25" customHeight="1">
      <c r="A2569" t="inlineStr">
        <is>
          <t>2026版教师专用【小瓶盖儿精品课件】三下第一单元课件+详细教案</t>
        </is>
      </c>
      <c r="B2569" t="inlineStr">
        <is>
          <t>recveQyeeR8KAT.jpg</t>
        </is>
      </c>
      <c r="C2569" s="2" t="str">
        <f>=HYPERLINK("https://xhslink.com/m/5YbDOxMaMIv", "https://xhslink.com/m/5YbDOxMaMIv")</f>
        <v>https://xhslink.com/m/5YbDOxMaMIv</v>
      </c>
      <c r="D2569"/>
      <c r="E2569">
        <v>1095</v>
      </c>
      <c r="F2569">
        <v>128</v>
      </c>
      <c r="G2569"/>
      <c r="H2569">
        <v>200</v>
      </c>
      <c r="I2569"/>
      <c r="J2569"/>
      <c r="K2569" t="inlineStr">
        <is>
          <t>持续更新</t>
        </is>
      </c>
      <c r="L2569"/>
      <c r="M2569" t="inlineStr">
        <is>
          <t>小小瓶盖儿的店</t>
        </is>
      </c>
      <c r="N2569">
        <v>39000</v>
      </c>
      <c r="O2569">
        <v>4.51</v>
      </c>
      <c r="P2569">
        <v>44000</v>
      </c>
      <c r="Q2569" t="inlineStr">
        <is>
          <t>697826ce78d8d50001509990</t>
        </is>
      </c>
      <c r="R2569" t="inlineStr">
        <is>
          <t>🚫重复</t>
        </is>
      </c>
      <c r="S2569" t="inlineStr">
        <is>
          <t>中小学教辅/教材</t>
        </is>
      </c>
      <c r="T2569" t="inlineStr">
        <is>
          <t>0.03</t>
        </is>
      </c>
      <c r="U2569" s="3">
        <v>46112.78107638889</v>
      </c>
      <c r="V2569"/>
      <c r="W2569" s="3">
        <v>46106</v>
      </c>
      <c r="X2569" t="inlineStr">
        <is>
          <t>03</t>
        </is>
      </c>
      <c r="Y2569" t="inlineStr">
        <is>
          <t>2026-Q1</t>
        </is>
      </c>
    </row>
    <row r="2570" ht="38.25" customHeight="1">
      <c r="A2570" t="inlineStr">
        <is>
          <t>【1杯奶茶钱】日常实习&amp;招继任 信息汇总表-日更* 1年 ｜北大猫姐</t>
        </is>
      </c>
      <c r="B2570" t="inlineStr">
        <is>
          <t>recveQyeeROIbY.jpg</t>
        </is>
      </c>
      <c r="C2570" s="2" t="str">
        <f>=HYPERLINK("https://xhslink.com/m/t3YaA9wtZw", "https://xhslink.com/m/t3YaA9wtZw")</f>
        <v>https://xhslink.com/m/t3YaA9wtZw</v>
      </c>
      <c r="D2570"/>
      <c r="E2570">
        <v>6234</v>
      </c>
      <c r="F2570">
        <v>37</v>
      </c>
      <c r="G2570"/>
      <c r="H2570">
        <v>150</v>
      </c>
      <c r="I2570"/>
      <c r="J2570"/>
      <c r="K2570" t="inlineStr">
        <is>
          <t>一杯奶茶钱</t>
        </is>
      </c>
      <c r="L2570"/>
      <c r="M2570" t="inlineStr">
        <is>
          <t>猫姐教育的店</t>
        </is>
      </c>
      <c r="N2570">
        <v>4348</v>
      </c>
      <c r="O2570">
        <v>4.42</v>
      </c>
      <c r="P2570">
        <v>7445</v>
      </c>
      <c r="Q2570" t="inlineStr">
        <is>
          <t>6746c8b2d50504000120bb23</t>
        </is>
      </c>
      <c r="R2570"/>
      <c r="S2570" t="inlineStr">
        <is>
          <t>求职面试/职场</t>
        </is>
      </c>
      <c r="T2570" t="inlineStr">
        <is>
          <t>1.43</t>
        </is>
      </c>
      <c r="U2570" s="3">
        <v>46112.78107638889</v>
      </c>
      <c r="V2570"/>
      <c r="W2570" s="3">
        <v>46106</v>
      </c>
      <c r="X2570" t="inlineStr">
        <is>
          <t>03</t>
        </is>
      </c>
      <c r="Y2570" t="inlineStr">
        <is>
          <t>2026-Q1</t>
        </is>
      </c>
    </row>
    <row r="2571" ht="38.25" customHeight="1">
      <c r="A2571" t="inlineStr">
        <is>
          <t>兔子原创！桂林旅游吃喝玩乐超详细攻略｜2万字50页 全面实用省心</t>
        </is>
      </c>
      <c r="B2571" t="inlineStr">
        <is>
          <t>recveQyeeRXktv.jpg</t>
        </is>
      </c>
      <c r="C2571" s="2" t="str">
        <f>=HYPERLINK("https://xhslink.com/m/5u4WoFDEkmv", "https://xhslink.com/m/5u4WoFDEkmv")</f>
        <v>https://xhslink.com/m/5u4WoFDEkmv</v>
      </c>
      <c r="D2571"/>
      <c r="E2571">
        <v>1512</v>
      </c>
      <c r="F2571">
        <v>29.9</v>
      </c>
      <c r="G2571"/>
      <c r="H2571">
        <v>100</v>
      </c>
      <c r="I2571"/>
      <c r="J2571"/>
      <c r="K2571" t="inlineStr">
        <is>
          <t>原创</t>
        </is>
      </c>
      <c r="L2571" t="inlineStr">
        <is>
          <t>🔥低粉爆款</t>
        </is>
      </c>
      <c r="M2571" t="inlineStr">
        <is>
          <t>兔子能量站的店</t>
        </is>
      </c>
      <c r="N2571">
        <v>308</v>
      </c>
      <c r="O2571">
        <v>4.59</v>
      </c>
      <c r="P2571">
        <v>2234</v>
      </c>
      <c r="Q2571" t="inlineStr">
        <is>
          <t>6880eea586c0df00016fcb0d</t>
        </is>
      </c>
      <c r="R2571"/>
      <c r="S2571" t="inlineStr">
        <is>
          <t>生活成长</t>
        </is>
      </c>
      <c r="T2571" t="inlineStr">
        <is>
          <t>4.91</t>
        </is>
      </c>
      <c r="U2571" s="3">
        <v>46112.78107638889</v>
      </c>
      <c r="V2571"/>
      <c r="W2571" s="3">
        <v>46106</v>
      </c>
      <c r="X2571" t="inlineStr">
        <is>
          <t>03</t>
        </is>
      </c>
      <c r="Y2571" t="inlineStr">
        <is>
          <t>2026-Q1</t>
        </is>
      </c>
    </row>
    <row r="2572" ht="38.25" customHeight="1">
      <c r="A2572" t="inlineStr">
        <is>
          <t>217页高级感PPT模板职场汇报必备</t>
        </is>
      </c>
      <c r="B2572" t="inlineStr">
        <is>
          <t>recvfep4XqXUE7.jpg</t>
        </is>
      </c>
      <c r="C2572" s="2" t="str">
        <f>=HYPERLINK("https://xhslink.com/m/3kECV9E1yj0", "https://xhslink.com/m/3kECV9E1yj0")</f>
        <v>https://xhslink.com/m/3kECV9E1yj0</v>
      </c>
      <c r="D2572"/>
      <c r="E2572">
        <v>1463</v>
      </c>
      <c r="F2572">
        <v>1</v>
      </c>
      <c r="G2572"/>
      <c r="H2572">
        <v>250</v>
      </c>
      <c r="I2572"/>
      <c r="J2572"/>
      <c r="K2572" t="inlineStr">
        <is>
          <t>PPT</t>
        </is>
      </c>
      <c r="L2572"/>
      <c r="M2572" t="inlineStr">
        <is>
          <t>云朵的电子资料分享的店</t>
        </is>
      </c>
      <c r="N2572">
        <v>4901</v>
      </c>
      <c r="O2572">
        <v>4.6</v>
      </c>
      <c r="P2572">
        <v>36000</v>
      </c>
      <c r="Q2572" t="inlineStr">
        <is>
          <t>69621b658510c000011e3a33</t>
        </is>
      </c>
      <c r="R2572" t="inlineStr">
        <is>
          <t>🚫重复</t>
        </is>
      </c>
      <c r="S2572" t="inlineStr">
        <is>
          <t>PPT模板</t>
        </is>
      </c>
      <c r="T2572" t="inlineStr">
        <is>
          <t>0.30</t>
        </is>
      </c>
      <c r="U2572" s="3">
        <v>46112.78107638889</v>
      </c>
      <c r="V2572"/>
      <c r="W2572" s="3">
        <v>46110</v>
      </c>
      <c r="X2572" t="inlineStr">
        <is>
          <t>03</t>
        </is>
      </c>
      <c r="Y2572" t="inlineStr">
        <is>
          <t>2026-Q1</t>
        </is>
      </c>
    </row>
    <row r="2573" ht="38.25" customHeight="1">
      <c r="A2573" t="inlineStr">
        <is>
          <t>PPT套用模版（按编号拍下）温馨提示下单前确认好是否为自己所需</t>
        </is>
      </c>
      <c r="B2573" t="inlineStr">
        <is>
          <t>recvfep4XqRByx.jpg</t>
        </is>
      </c>
      <c r="C2573" s="2" t="str">
        <f>=HYPERLINK("https://xhslink.com/m/78R4L4vzsPa", "https://xhslink.com/m/78R4L4vzsPa")</f>
        <v>https://xhslink.com/m/78R4L4vzsPa</v>
      </c>
      <c r="D2573"/>
      <c r="E2573">
        <v>6984</v>
      </c>
      <c r="F2573">
        <v>2.99</v>
      </c>
      <c r="G2573"/>
      <c r="H2573">
        <v>150</v>
      </c>
      <c r="I2573"/>
      <c r="J2573"/>
      <c r="K2573" t="inlineStr">
        <is>
          <t>PPT</t>
        </is>
      </c>
      <c r="L2573" t="inlineStr">
        <is>
          <t>🔥低粉爆款</t>
        </is>
      </c>
      <c r="M2573" t="inlineStr">
        <is>
          <t>一口一个喜洋洋22的店</t>
        </is>
      </c>
      <c r="N2573">
        <v>1291</v>
      </c>
      <c r="O2573">
        <v>4.45</v>
      </c>
      <c r="P2573">
        <v>12000</v>
      </c>
      <c r="Q2573" t="inlineStr">
        <is>
          <t>6816b98d9d91940001f099f6</t>
        </is>
      </c>
      <c r="R2573" t="inlineStr">
        <is>
          <t>🚫重复</t>
        </is>
      </c>
      <c r="S2573" t="inlineStr">
        <is>
          <t>PPT模板</t>
        </is>
      </c>
      <c r="T2573" t="inlineStr">
        <is>
          <t>5.41</t>
        </is>
      </c>
      <c r="U2573" s="3">
        <v>46112.78107638889</v>
      </c>
      <c r="V2573"/>
      <c r="W2573" s="3">
        <v>46110</v>
      </c>
      <c r="X2573" t="inlineStr">
        <is>
          <t>03</t>
        </is>
      </c>
      <c r="Y2573" t="inlineStr">
        <is>
          <t>2026-Q1</t>
        </is>
      </c>
    </row>
    <row r="2574" ht="38.25" customHeight="1">
      <c r="A2574" t="inlineStr">
        <is>
          <t>3天心理直播课+3本纸质书+54节冲刺课</t>
        </is>
      </c>
      <c r="B2574" t="inlineStr">
        <is>
          <t>recvfep4XqkQVc.jpg</t>
        </is>
      </c>
      <c r="C2574" s="2" t="str">
        <f>=HYPERLINK("https://xhslink.com/m/4JRsXSuEh2E", "https://xhslink.com/m/4JRsXSuEh2E")</f>
        <v>https://xhslink.com/m/4JRsXSuEh2E</v>
      </c>
      <c r="D2574"/>
      <c r="E2574">
        <v>5599</v>
      </c>
      <c r="F2574">
        <v>19.9</v>
      </c>
      <c r="G2574"/>
      <c r="H2574">
        <v>850</v>
      </c>
      <c r="I2574"/>
      <c r="J2574"/>
      <c r="K2574" t="inlineStr">
        <is>
          <t>心理</t>
        </is>
      </c>
      <c r="L2574"/>
      <c r="M2574" t="inlineStr">
        <is>
          <t>育行家心理学堂的店</t>
        </is>
      </c>
      <c r="N2574">
        <v>23000</v>
      </c>
      <c r="O2574">
        <v>4.35</v>
      </c>
      <c r="P2574">
        <v>5622</v>
      </c>
      <c r="Q2574" t="inlineStr">
        <is>
          <t>6954eb54b2492100013d8419</t>
        </is>
      </c>
      <c r="R2574"/>
      <c r="S2574" t="inlineStr">
        <is>
          <t>生活成长</t>
        </is>
      </c>
      <c r="T2574" t="inlineStr">
        <is>
          <t>0.24</t>
        </is>
      </c>
      <c r="U2574" s="3">
        <v>46112.78107638889</v>
      </c>
      <c r="V2574"/>
      <c r="W2574" s="3">
        <v>46110</v>
      </c>
      <c r="X2574" t="inlineStr">
        <is>
          <t>03</t>
        </is>
      </c>
      <c r="Y2574" t="inlineStr">
        <is>
          <t>2026-Q1</t>
        </is>
      </c>
    </row>
    <row r="2575" ht="38.25" customHeight="1">
      <c r="A2575" t="inlineStr">
        <is>
          <t>2026新高考数学必刷题5000题型全归纳分专题训练习题高三复习提升</t>
        </is>
      </c>
      <c r="B2575" t="inlineStr">
        <is>
          <t>recvfep4XqJsn1.jpg</t>
        </is>
      </c>
      <c r="C2575" s="2" t="str">
        <f>=HYPERLINK("https://xhslink.com/m/9tiWo5H5Jd", "https://xhslink.com/m/9tiWo5H5Jd")</f>
        <v>https://xhslink.com/m/9tiWo5H5Jd</v>
      </c>
      <c r="D2575"/>
      <c r="E2575">
        <v>1375</v>
      </c>
      <c r="F2575">
        <v>6.9</v>
      </c>
      <c r="G2575"/>
      <c r="H2575">
        <v>100</v>
      </c>
      <c r="I2575"/>
      <c r="J2575"/>
      <c r="K2575" t="inlineStr">
        <is>
          <t>高考</t>
        </is>
      </c>
      <c r="L2575"/>
      <c r="M2575" t="inlineStr">
        <is>
          <t>娜娜老师📖的店</t>
        </is>
      </c>
      <c r="N2575">
        <v>2433</v>
      </c>
      <c r="O2575">
        <v>4.55</v>
      </c>
      <c r="P2575">
        <v>20000</v>
      </c>
      <c r="Q2575" t="inlineStr">
        <is>
          <t>6894aa9febefca0001ef90f0</t>
        </is>
      </c>
      <c r="R2575" t="inlineStr">
        <is>
          <t>🚫重复</t>
        </is>
      </c>
      <c r="S2575" t="inlineStr">
        <is>
          <t>高中/高考资料</t>
        </is>
      </c>
      <c r="T2575" t="inlineStr">
        <is>
          <t>0.57</t>
        </is>
      </c>
      <c r="U2575" s="3">
        <v>46112.78107638889</v>
      </c>
      <c r="V2575"/>
      <c r="W2575" s="3">
        <v>46110</v>
      </c>
      <c r="X2575" t="inlineStr">
        <is>
          <t>03</t>
        </is>
      </c>
      <c r="Y2575" t="inlineStr">
        <is>
          <t>2026-Q1</t>
        </is>
      </c>
    </row>
    <row r="2576" ht="38.25" customHeight="1">
      <c r="A2576" t="inlineStr">
        <is>
          <t>初中中考英语必背高频词汇单词短语完形填空固定搭配词性转换大纲</t>
        </is>
      </c>
      <c r="B2576" t="inlineStr">
        <is>
          <t>recvfep4Xq8aPo.jpg</t>
        </is>
      </c>
      <c r="C2576" s="2" t="str">
        <f>=HYPERLINK("https://xhslink.com/m/7uZcNwOmYFa", "https://xhslink.com/m/7uZcNwOmYFa")</f>
        <v>https://xhslink.com/m/7uZcNwOmYFa</v>
      </c>
      <c r="D2576"/>
      <c r="E2576">
        <v>2899</v>
      </c>
      <c r="F2576">
        <v>6.9</v>
      </c>
      <c r="G2576"/>
      <c r="H2576">
        <v>1000</v>
      </c>
      <c r="I2576"/>
      <c r="J2576"/>
      <c r="K2576" t="inlineStr">
        <is>
          <t>中考</t>
        </is>
      </c>
      <c r="L2576" t="inlineStr">
        <is>
          <t>🔥低粉爆款</t>
        </is>
      </c>
      <c r="M2576" t="inlineStr">
        <is>
          <t>一轩老师的店</t>
        </is>
      </c>
      <c r="N2576">
        <v>411</v>
      </c>
      <c r="O2576">
        <v>4.53</v>
      </c>
      <c r="P2576">
        <v>3131</v>
      </c>
      <c r="Q2576" t="inlineStr">
        <is>
          <t>695ccc6139b0d900011f8285</t>
        </is>
      </c>
      <c r="R2576"/>
      <c r="S2576" t="inlineStr">
        <is>
          <t>中小学教辅/教材</t>
        </is>
      </c>
      <c r="T2576" t="inlineStr">
        <is>
          <t>7.05</t>
        </is>
      </c>
      <c r="U2576" s="3">
        <v>46112.78107638889</v>
      </c>
      <c r="V2576"/>
      <c r="W2576" s="3">
        <v>46110</v>
      </c>
      <c r="X2576" t="inlineStr">
        <is>
          <t>03</t>
        </is>
      </c>
      <c r="Y2576" t="inlineStr">
        <is>
          <t>2026-Q1</t>
        </is>
      </c>
    </row>
    <row r="2577" ht="38.25" customHeight="1">
      <c r="A2577" t="inlineStr">
        <is>
          <t>22天搞定1600个中考必背词汇（背诵版+英汉互译）PDF电子版-601</t>
        </is>
      </c>
      <c r="B2577" t="inlineStr">
        <is>
          <t>recvfep4XqqcFb.jpg</t>
        </is>
      </c>
      <c r="C2577" s="2" t="str">
        <f>=HYPERLINK("https://xhslink.com/m/29PSJQTCSTZ", "https://xhslink.com/m/29PSJQTCSTZ")</f>
        <v>https://xhslink.com/m/29PSJQTCSTZ</v>
      </c>
      <c r="D2577"/>
      <c r="E2577">
        <v>15000</v>
      </c>
      <c r="F2577">
        <v>9.99</v>
      </c>
      <c r="G2577"/>
      <c r="H2577">
        <v>100</v>
      </c>
      <c r="I2577"/>
      <c r="J2577"/>
      <c r="K2577" t="inlineStr">
        <is>
          <t>中考</t>
        </is>
      </c>
      <c r="L2577"/>
      <c r="M2577" t="inlineStr">
        <is>
          <t>学子驿站英语站的店</t>
        </is>
      </c>
      <c r="N2577">
        <v>43000</v>
      </c>
      <c r="O2577">
        <v>4.64</v>
      </c>
      <c r="P2577">
        <v>128000</v>
      </c>
      <c r="Q2577" t="inlineStr">
        <is>
          <t>65bb2c373a18dd0001391c97</t>
        </is>
      </c>
      <c r="R2577" t="inlineStr">
        <is>
          <t>🚫重复</t>
        </is>
      </c>
      <c r="S2577" t="inlineStr">
        <is>
          <t>中小学教辅/教材</t>
        </is>
      </c>
      <c r="T2577" t="inlineStr">
        <is>
          <t>0.35</t>
        </is>
      </c>
      <c r="U2577" s="3">
        <v>46112.78107638889</v>
      </c>
      <c r="V2577"/>
      <c r="W2577" s="3">
        <v>46110</v>
      </c>
      <c r="X2577" t="inlineStr">
        <is>
          <t>03</t>
        </is>
      </c>
      <c r="Y2577" t="inlineStr">
        <is>
          <t>2026-Q1</t>
        </is>
      </c>
    </row>
    <row r="2578" ht="38.25" customHeight="1">
      <c r="A2578" t="inlineStr">
        <is>
          <t>2025年初三中考总复习语文数学英语一轮二轮专题专项训练电子版</t>
        </is>
      </c>
      <c r="B2578" t="inlineStr">
        <is>
          <t>recvfep4XqEEPf.jpg</t>
        </is>
      </c>
      <c r="C2578" s="2" t="str">
        <f>=HYPERLINK("https://xhslink.com/m/2xUFQuehrgm", "https://xhslink.com/m/2xUFQuehrgm")</f>
        <v>https://xhslink.com/m/2xUFQuehrgm</v>
      </c>
      <c r="D2578"/>
      <c r="E2578">
        <v>3429</v>
      </c>
      <c r="F2578">
        <v>9.9</v>
      </c>
      <c r="G2578"/>
      <c r="H2578">
        <v>150</v>
      </c>
      <c r="I2578"/>
      <c r="J2578"/>
      <c r="K2578" t="inlineStr">
        <is>
          <t>中考</t>
        </is>
      </c>
      <c r="L2578"/>
      <c r="M2578" t="inlineStr">
        <is>
          <t>赵老师的资料库的店</t>
        </is>
      </c>
      <c r="N2578">
        <v>16000</v>
      </c>
      <c r="O2578">
        <v>4.41</v>
      </c>
      <c r="P2578">
        <v>52000</v>
      </c>
      <c r="Q2578" t="inlineStr">
        <is>
          <t>677a10e8568edd0001ca0d1e</t>
        </is>
      </c>
      <c r="R2578" t="inlineStr">
        <is>
          <t>🚫重复</t>
        </is>
      </c>
      <c r="S2578" t="inlineStr">
        <is>
          <t>中小学教辅/教材</t>
        </is>
      </c>
      <c r="T2578" t="inlineStr">
        <is>
          <t>0.21</t>
        </is>
      </c>
      <c r="U2578" s="3">
        <v>46112.78107638889</v>
      </c>
      <c r="V2578"/>
      <c r="W2578" s="3">
        <v>46110</v>
      </c>
      <c r="X2578" t="inlineStr">
        <is>
          <t>03</t>
        </is>
      </c>
      <c r="Y2578" t="inlineStr">
        <is>
          <t>2026-Q1</t>
        </is>
      </c>
    </row>
    <row r="2579" ht="38.25" customHeight="1">
      <c r="A2579" t="inlineStr">
        <is>
          <t>一本 · 【中考押题作文】26新版语文英语热点押题范文赠临考妙招</t>
        </is>
      </c>
      <c r="B2579" t="inlineStr">
        <is>
          <t>__upload_recvfep4Xqa0mh.jpg</t>
        </is>
      </c>
      <c r="C2579" s="2" t="str">
        <f>=HYPERLINK("https://xhslink.com/m/6MUelbSYnG7", "https://xhslink.com/m/6MUelbSYnG7")</f>
        <v>https://xhslink.com/m/6MUelbSYnG7</v>
      </c>
      <c r="D2579"/>
      <c r="E2579">
        <v>3287</v>
      </c>
      <c r="F2579">
        <v>49.9</v>
      </c>
      <c r="G2579"/>
      <c r="H2579">
        <v>150</v>
      </c>
      <c r="I2579"/>
      <c r="J2579">
        <v>100</v>
      </c>
      <c r="K2579" t="inlineStr">
        <is>
          <t>中考</t>
        </is>
      </c>
      <c r="L2579"/>
      <c r="M2579" t="inlineStr">
        <is>
          <t>一本旗舰店</t>
        </is>
      </c>
      <c r="N2579">
        <v>71000</v>
      </c>
      <c r="O2579">
        <v>4.54</v>
      </c>
      <c r="P2579">
        <v>261000</v>
      </c>
      <c r="Q2579" t="inlineStr">
        <is>
          <t>699fe6494d1dca0001915e70</t>
        </is>
      </c>
      <c r="R2579" t="inlineStr">
        <is>
          <t>🚫重复</t>
        </is>
      </c>
      <c r="S2579" t="inlineStr">
        <is>
          <t>中小学教辅/教材</t>
        </is>
      </c>
      <c r="T2579" t="inlineStr">
        <is>
          <t>0.05</t>
        </is>
      </c>
      <c r="U2579" s="3">
        <v>46112.78107638889</v>
      </c>
      <c r="V2579"/>
      <c r="W2579" s="3">
        <v>46110</v>
      </c>
      <c r="X2579" t="inlineStr">
        <is>
          <t>03</t>
        </is>
      </c>
      <c r="Y2579" t="inlineStr">
        <is>
          <t>2026-Q1</t>
        </is>
      </c>
    </row>
    <row r="2580" ht="38.25" customHeight="1">
      <c r="A2580" t="inlineStr">
        <is>
          <t>中考数学一轮复习知识点题型分类电子档PDF版通用，拍前看说明</t>
        </is>
      </c>
      <c r="B2580" t="inlineStr">
        <is>
          <t>recvfep4Xqjshk.jpg</t>
        </is>
      </c>
      <c r="C2580" s="2" t="str">
        <f>=HYPERLINK("https://xhslink.com/m/qFrtrXqCS1", "https://xhslink.com/m/qFrtrXqCS1")</f>
        <v>https://xhslink.com/m/qFrtrXqCS1</v>
      </c>
      <c r="D2580"/>
      <c r="E2580">
        <v>8365</v>
      </c>
      <c r="F2580">
        <v>5</v>
      </c>
      <c r="G2580"/>
      <c r="H2580">
        <v>1000</v>
      </c>
      <c r="I2580"/>
      <c r="J2580"/>
      <c r="K2580" t="inlineStr">
        <is>
          <t>中考</t>
        </is>
      </c>
      <c r="L2580"/>
      <c r="M2580" t="inlineStr">
        <is>
          <t>旋转木马老师的店</t>
        </is>
      </c>
      <c r="N2580">
        <v>4797</v>
      </c>
      <c r="O2580">
        <v>4.3</v>
      </c>
      <c r="P2580">
        <v>27000</v>
      </c>
      <c r="Q2580" t="inlineStr">
        <is>
          <t>67e28d2960845d00019c9ef0</t>
        </is>
      </c>
      <c r="R2580" t="inlineStr">
        <is>
          <t>🚫重复</t>
        </is>
      </c>
      <c r="S2580" t="inlineStr">
        <is>
          <t>中小学教辅/教材</t>
        </is>
      </c>
      <c r="T2580" t="inlineStr">
        <is>
          <t>1.74</t>
        </is>
      </c>
      <c r="U2580" s="3">
        <v>46112.78107638889</v>
      </c>
      <c r="V2580"/>
      <c r="W2580" s="3">
        <v>46110</v>
      </c>
      <c r="X2580" t="inlineStr">
        <is>
          <t>03</t>
        </is>
      </c>
      <c r="Y2580" t="inlineStr">
        <is>
          <t>2026-Q1</t>
        </is>
      </c>
    </row>
    <row r="2581" ht="38.25" customHeight="1">
      <c r="A2581" t="inlineStr">
        <is>
          <t>中考专题复习课件（拍下自动发货)</t>
        </is>
      </c>
      <c r="B2581" t="inlineStr">
        <is>
          <t>recvfep4XqY4tE.jpg</t>
        </is>
      </c>
      <c r="C2581" s="2" t="str">
        <f>=HYPERLINK("https://xhslink.com/m/GPbad1ui8S", "https://xhslink.com/m/GPbad1ui8S")</f>
        <v>https://xhslink.com/m/GPbad1ui8S</v>
      </c>
      <c r="D2581"/>
      <c r="E2581">
        <v>1837</v>
      </c>
      <c r="F2581">
        <v>8.8</v>
      </c>
      <c r="G2581"/>
      <c r="H2581">
        <v>250</v>
      </c>
      <c r="I2581"/>
      <c r="J2581"/>
      <c r="K2581" t="inlineStr">
        <is>
          <t>中考</t>
        </is>
      </c>
      <c r="L2581"/>
      <c r="M2581" t="inlineStr">
        <is>
          <t>灵儿老师的资料库的店</t>
        </is>
      </c>
      <c r="N2581">
        <v>1938</v>
      </c>
      <c r="O2581">
        <v>4.41</v>
      </c>
      <c r="P2581">
        <v>7990</v>
      </c>
      <c r="Q2581" t="inlineStr">
        <is>
          <t>684fa1f16d19100001b62569</t>
        </is>
      </c>
      <c r="R2581" t="inlineStr">
        <is>
          <t>🚫重复</t>
        </is>
      </c>
      <c r="S2581" t="inlineStr">
        <is>
          <t>中小学教辅/教材</t>
        </is>
      </c>
      <c r="T2581" t="inlineStr">
        <is>
          <t>0.95</t>
        </is>
      </c>
      <c r="U2581" s="3">
        <v>46112.78107638889</v>
      </c>
      <c r="V2581"/>
      <c r="W2581" s="3">
        <v>46110</v>
      </c>
      <c r="X2581" t="inlineStr">
        <is>
          <t>03</t>
        </is>
      </c>
      <c r="Y2581" t="inlineStr">
        <is>
          <t>2026-Q1</t>
        </is>
      </c>
    </row>
    <row r="2582" ht="38.25" customHeight="1">
      <c r="A2582" t="inlineStr">
        <is>
          <t>小学英语语法专项训练合集小升初英语语法大全电子版资料</t>
        </is>
      </c>
      <c r="B2582" t="inlineStr">
        <is>
          <t>recvfep4XqzW7r.jpg</t>
        </is>
      </c>
      <c r="C2582" s="2" t="str">
        <f>=HYPERLINK("https://xhslink.com/m/16QIc3j3QAV", "https://xhslink.com/m/16QIc3j3QAV")</f>
        <v>https://xhslink.com/m/16QIc3j3QAV</v>
      </c>
      <c r="D2582"/>
      <c r="E2582">
        <v>5275</v>
      </c>
      <c r="F2582">
        <v>6.9</v>
      </c>
      <c r="G2582"/>
      <c r="H2582">
        <v>700</v>
      </c>
      <c r="I2582"/>
      <c r="J2582"/>
      <c r="K2582" t="inlineStr">
        <is>
          <t>小学资料</t>
        </is>
      </c>
      <c r="L2582"/>
      <c r="M2582" t="inlineStr">
        <is>
          <t>娜娜老师📖的店</t>
        </is>
      </c>
      <c r="N2582">
        <v>2433</v>
      </c>
      <c r="O2582">
        <v>4.55</v>
      </c>
      <c r="P2582">
        <v>20000</v>
      </c>
      <c r="Q2582" t="inlineStr">
        <is>
          <t>68b6c5e0096c87000171ba35</t>
        </is>
      </c>
      <c r="R2582" t="inlineStr">
        <is>
          <t>🚫重复</t>
        </is>
      </c>
      <c r="S2582" t="inlineStr">
        <is>
          <t>中小学教辅/教材</t>
        </is>
      </c>
      <c r="T2582" t="inlineStr">
        <is>
          <t>2.17</t>
        </is>
      </c>
      <c r="U2582" s="3">
        <v>46112.78107638889</v>
      </c>
      <c r="V2582"/>
      <c r="W2582" s="3">
        <v>46110</v>
      </c>
      <c r="X2582" t="inlineStr">
        <is>
          <t>03</t>
        </is>
      </c>
      <c r="Y2582" t="inlineStr">
        <is>
          <t>2026-Q1</t>
        </is>
      </c>
    </row>
    <row r="2583" ht="38.25" customHeight="1">
      <c r="A2583" t="inlineStr">
        <is>
          <t>苏教版三四五六上下册小升初数学期末考点类型复习（虚拟资料）</t>
        </is>
      </c>
      <c r="B2583" t="inlineStr">
        <is>
          <t>recvfep4XqF2Bf.jpg</t>
        </is>
      </c>
      <c r="C2583" s="2" t="str">
        <f>=HYPERLINK("https://xhslink.com/m/ApNfBBlssXD", "https://xhslink.com/m/ApNfBBlssXD")</f>
        <v>https://xhslink.com/m/ApNfBBlssXD</v>
      </c>
      <c r="D2583"/>
      <c r="E2583">
        <v>4204</v>
      </c>
      <c r="F2583">
        <v>5.9</v>
      </c>
      <c r="G2583"/>
      <c r="H2583">
        <v>700</v>
      </c>
      <c r="I2583"/>
      <c r="J2583"/>
      <c r="K2583" t="inlineStr">
        <is>
          <t>小学资料</t>
        </is>
      </c>
      <c r="L2583"/>
      <c r="M2583" t="inlineStr">
        <is>
          <t>花花老师🌸🌸的店</t>
        </is>
      </c>
      <c r="N2583">
        <v>5679</v>
      </c>
      <c r="O2583">
        <v>4.54</v>
      </c>
      <c r="P2583">
        <v>10000</v>
      </c>
      <c r="Q2583" t="inlineStr">
        <is>
          <t>6839c064d0c85b00013483c2</t>
        </is>
      </c>
      <c r="R2583" t="inlineStr">
        <is>
          <t>🚫重复</t>
        </is>
      </c>
      <c r="S2583" t="inlineStr">
        <is>
          <t>中小学教辅/教材</t>
        </is>
      </c>
      <c r="T2583" t="inlineStr">
        <is>
          <t>0.74</t>
        </is>
      </c>
      <c r="U2583" s="3">
        <v>46112.78107638889</v>
      </c>
      <c r="V2583"/>
      <c r="W2583" s="3">
        <v>46110</v>
      </c>
      <c r="X2583" t="inlineStr">
        <is>
          <t>03</t>
        </is>
      </c>
      <c r="Y2583" t="inlineStr">
        <is>
          <t>2026-Q1</t>
        </is>
      </c>
    </row>
    <row r="2584" ht="38.25" customHeight="1">
      <c r="A2584" t="inlineStr">
        <is>
          <t>小升初总复习资料电子版语文数学英语知识点汇总专项训练小升初</t>
        </is>
      </c>
      <c r="B2584" t="inlineStr">
        <is>
          <t>recvfep4XqPeHY.jpg</t>
        </is>
      </c>
      <c r="C2584" s="2" t="str">
        <f>=HYPERLINK("https://xhslink.com/m/1GvY3mwz8Ch", "https://xhslink.com/m/1GvY3mwz8Ch")</f>
        <v>https://xhslink.com/m/1GvY3mwz8Ch</v>
      </c>
      <c r="D2584"/>
      <c r="E2584">
        <v>4514</v>
      </c>
      <c r="F2584">
        <v>9.9</v>
      </c>
      <c r="G2584"/>
      <c r="H2584">
        <v>100</v>
      </c>
      <c r="I2584"/>
      <c r="J2584"/>
      <c r="K2584" t="inlineStr">
        <is>
          <t>小学资料</t>
        </is>
      </c>
      <c r="L2584"/>
      <c r="M2584" t="inlineStr">
        <is>
          <t>中考提分宝库的店</t>
        </is>
      </c>
      <c r="N2584">
        <v>22000</v>
      </c>
      <c r="O2584">
        <v>4.24</v>
      </c>
      <c r="P2584">
        <v>80000</v>
      </c>
      <c r="Q2584" t="inlineStr">
        <is>
          <t>677b139044e48100012c454c</t>
        </is>
      </c>
      <c r="R2584" t="inlineStr">
        <is>
          <t>🚫重复</t>
        </is>
      </c>
      <c r="S2584" t="inlineStr">
        <is>
          <t>中小学教辅/教材</t>
        </is>
      </c>
      <c r="T2584" t="inlineStr">
        <is>
          <t>0.21</t>
        </is>
      </c>
      <c r="U2584" s="3">
        <v>46112.78107638889</v>
      </c>
      <c r="V2584"/>
      <c r="W2584" s="3">
        <v>46110</v>
      </c>
      <c r="X2584" t="inlineStr">
        <is>
          <t>03</t>
        </is>
      </c>
      <c r="Y2584" t="inlineStr">
        <is>
          <t>2026-Q1</t>
        </is>
      </c>
    </row>
    <row r="2585" ht="38.25" customHeight="1">
      <c r="A2585" t="inlineStr">
        <is>
          <t>教师考编语文教招，语文分模块刷题题库，语文题海，语文积累包</t>
        </is>
      </c>
      <c r="B2585" t="inlineStr">
        <is>
          <t>recvfep4XqJonX.jpg</t>
        </is>
      </c>
      <c r="C2585" s="2" t="str">
        <f>=HYPERLINK("https://xhslink.com/m/6p1QcPbtYhi", "https://xhslink.com/m/6p1QcPbtYhi")</f>
        <v>https://xhslink.com/m/6p1QcPbtYhi</v>
      </c>
      <c r="D2585"/>
      <c r="E2585">
        <v>2207</v>
      </c>
      <c r="F2585">
        <v>5.66</v>
      </c>
      <c r="G2585"/>
      <c r="H2585">
        <v>400</v>
      </c>
      <c r="I2585"/>
      <c r="J2585"/>
      <c r="K2585" t="inlineStr">
        <is>
          <t>小学资料</t>
        </is>
      </c>
      <c r="L2585"/>
      <c r="M2585" t="inlineStr">
        <is>
          <t>旺仔瓶盖的店</t>
        </is>
      </c>
      <c r="N2585">
        <v>1094</v>
      </c>
      <c r="O2585">
        <v>4.5</v>
      </c>
      <c r="P2585">
        <v>9394</v>
      </c>
      <c r="Q2585" t="inlineStr">
        <is>
          <t>68975dbc86c0df00019800eb</t>
        </is>
      </c>
      <c r="R2585" t="inlineStr">
        <is>
          <t>🚫重复</t>
        </is>
      </c>
      <c r="S2585" t="inlineStr">
        <is>
          <t>老师资料</t>
        </is>
      </c>
      <c r="T2585" t="inlineStr">
        <is>
          <t>2.02</t>
        </is>
      </c>
      <c r="U2585" s="3">
        <v>46112.78107638889</v>
      </c>
      <c r="V2585"/>
      <c r="W2585" s="3">
        <v>46110</v>
      </c>
      <c r="X2585" t="inlineStr">
        <is>
          <t>03</t>
        </is>
      </c>
      <c r="Y2585" t="inlineStr">
        <is>
          <t>2026-Q1</t>
        </is>
      </c>
    </row>
    <row r="2586" ht="38.25" customHeight="1">
      <c r="A2586" t="inlineStr">
        <is>
          <t>【蒋军晶老师新书 3-6年级】超级作文本</t>
        </is>
      </c>
      <c r="B2586" t="inlineStr">
        <is>
          <t>__upload_recvfep4XqYZlz.jpg</t>
        </is>
      </c>
      <c r="C2586" s="2" t="str">
        <f>=HYPERLINK("https://xhslink.com/m/9xVlfah1yre", "https://xhslink.com/m/9xVlfah1yre")</f>
        <v>https://xhslink.com/m/9xVlfah1yre</v>
      </c>
      <c r="D2586"/>
      <c r="E2586">
        <v>42000</v>
      </c>
      <c r="F2586">
        <v>31.8</v>
      </c>
      <c r="G2586"/>
      <c r="H2586">
        <v>5000</v>
      </c>
      <c r="I2586"/>
      <c r="J2586">
        <v>300</v>
      </c>
      <c r="K2586" t="inlineStr">
        <is>
          <t>小学资料</t>
        </is>
      </c>
      <c r="L2586" t="inlineStr">
        <is>
          <t>🔥低粉爆款</t>
        </is>
      </c>
      <c r="M2586" t="inlineStr">
        <is>
          <t>仁意文化的店</t>
        </is>
      </c>
      <c r="N2586">
        <v>13000</v>
      </c>
      <c r="O2586">
        <v>4.6</v>
      </c>
      <c r="P2586">
        <v>588000</v>
      </c>
      <c r="Q2586" t="inlineStr">
        <is>
          <t>66a779e98a426600018c51aa</t>
        </is>
      </c>
      <c r="R2586" t="inlineStr">
        <is>
          <t>🚫重复</t>
        </is>
      </c>
      <c r="S2586" t="inlineStr">
        <is>
          <t>中小学教辅/教材</t>
        </is>
      </c>
      <c r="T2586" t="inlineStr">
        <is>
          <t>3.23</t>
        </is>
      </c>
      <c r="U2586" s="3">
        <v>46112.78107638889</v>
      </c>
      <c r="V2586"/>
      <c r="W2586" s="3">
        <v>46110</v>
      </c>
      <c r="X2586" t="inlineStr">
        <is>
          <t>03</t>
        </is>
      </c>
      <c r="Y2586" t="inlineStr">
        <is>
          <t>2026-Q1</t>
        </is>
      </c>
    </row>
    <row r="2587" ht="38.25" customHeight="1">
      <c r="A2587" t="inlineStr">
        <is>
          <t>2026年D类教育方案设计60篇（区分小学版和中学版）</t>
        </is>
      </c>
      <c r="B2587" t="inlineStr">
        <is>
          <t>recvfep4Xqtw3D.jpg</t>
        </is>
      </c>
      <c r="C2587" s="2" t="str">
        <f>=HYPERLINK("https://xhslink.com/m/N1pXVmyqIn", "https://xhslink.com/m/N1pXVmyqIn")</f>
        <v>https://xhslink.com/m/N1pXVmyqIn</v>
      </c>
      <c r="D2587"/>
      <c r="E2587">
        <v>1670</v>
      </c>
      <c r="F2587">
        <v>19.9</v>
      </c>
      <c r="G2587"/>
      <c r="H2587">
        <v>250</v>
      </c>
      <c r="I2587"/>
      <c r="J2587"/>
      <c r="K2587" t="inlineStr">
        <is>
          <t>小学资料</t>
        </is>
      </c>
      <c r="L2587"/>
      <c r="M2587" t="inlineStr">
        <is>
          <t>晓晓考编笔记的店</t>
        </is>
      </c>
      <c r="N2587">
        <v>1895</v>
      </c>
      <c r="O2587">
        <v>4.43</v>
      </c>
      <c r="P2587">
        <v>5014</v>
      </c>
      <c r="Q2587" t="inlineStr">
        <is>
          <t>68f0d2d74daabe0001d3b6f1</t>
        </is>
      </c>
      <c r="R2587"/>
      <c r="S2587" t="inlineStr">
        <is>
          <t>中小学教辅/教材</t>
        </is>
      </c>
      <c r="T2587" t="inlineStr">
        <is>
          <t>0.88</t>
        </is>
      </c>
      <c r="U2587" s="3">
        <v>46112.78107638889</v>
      </c>
      <c r="V2587"/>
      <c r="W2587" s="3">
        <v>46110</v>
      </c>
      <c r="X2587" t="inlineStr">
        <is>
          <t>03</t>
        </is>
      </c>
      <c r="Y2587" t="inlineStr">
        <is>
          <t>2026-Q1</t>
        </is>
      </c>
    </row>
    <row r="2588" ht="38.25" customHeight="1">
      <c r="A2588" t="inlineStr">
        <is>
          <t>26新版三年级下册语文单元总结复习知识点归纳PDF电子版送默写单</t>
        </is>
      </c>
      <c r="B2588" t="inlineStr">
        <is>
          <t>recvfep4XqkqFS.jpg</t>
        </is>
      </c>
      <c r="C2588" s="2" t="str">
        <f>=HYPERLINK("https://xhslink.com/m/6PkohNYZlQE", "https://xhslink.com/m/6PkohNYZlQE")</f>
        <v>https://xhslink.com/m/6PkohNYZlQE</v>
      </c>
      <c r="D2588"/>
      <c r="E2588">
        <v>1245</v>
      </c>
      <c r="F2588">
        <v>8</v>
      </c>
      <c r="G2588"/>
      <c r="H2588">
        <v>99</v>
      </c>
      <c r="I2588"/>
      <c r="J2588"/>
      <c r="K2588" t="inlineStr">
        <is>
          <t>小学资料</t>
        </is>
      </c>
      <c r="L2588"/>
      <c r="M2588" t="inlineStr">
        <is>
          <t>梧桐叶妈妈的店</t>
        </is>
      </c>
      <c r="N2588">
        <v>23000</v>
      </c>
      <c r="O2588">
        <v>4.52</v>
      </c>
      <c r="P2588">
        <v>8522</v>
      </c>
      <c r="Q2588" t="inlineStr">
        <is>
          <t>67c47cf9f6588900016dac8b</t>
        </is>
      </c>
      <c r="R2588"/>
      <c r="S2588" t="inlineStr">
        <is>
          <t>中小学教辅/教材</t>
        </is>
      </c>
      <c r="T2588" t="inlineStr">
        <is>
          <t>0.05</t>
        </is>
      </c>
      <c r="U2588" s="3">
        <v>46112.78107638889</v>
      </c>
      <c r="V2588"/>
      <c r="W2588" s="3">
        <v>46110</v>
      </c>
      <c r="X2588" t="inlineStr">
        <is>
          <t>03</t>
        </is>
      </c>
      <c r="Y2588" t="inlineStr">
        <is>
          <t>2026-Q1</t>
        </is>
      </c>
    </row>
    <row r="2589" ht="38.25" customHeight="1">
      <c r="A2589" t="inlineStr">
        <is>
          <t>五下语文全册知识点（空白+答案）</t>
        </is>
      </c>
      <c r="B2589" t="inlineStr">
        <is>
          <t>recvfep4Xqt3nB.jpg</t>
        </is>
      </c>
      <c r="C2589" s="2" t="str">
        <f>=HYPERLINK("https://xhslink.com/m/6XxsZ9W72JG", "https://xhslink.com/m/6XxsZ9W72JG")</f>
        <v>https://xhslink.com/m/6XxsZ9W72JG</v>
      </c>
      <c r="D2589"/>
      <c r="E2589">
        <v>10000</v>
      </c>
      <c r="F2589">
        <v>7.9</v>
      </c>
      <c r="G2589"/>
      <c r="H2589">
        <v>100</v>
      </c>
      <c r="I2589"/>
      <c r="J2589"/>
      <c r="K2589" t="inlineStr">
        <is>
          <t>小学资料</t>
        </is>
      </c>
      <c r="L2589"/>
      <c r="M2589" t="inlineStr">
        <is>
          <t>纸上花园的店</t>
        </is>
      </c>
      <c r="N2589">
        <v>25000</v>
      </c>
      <c r="O2589">
        <v>4.3</v>
      </c>
      <c r="P2589">
        <v>36000</v>
      </c>
      <c r="Q2589" t="inlineStr">
        <is>
          <t>663b6f62822f83000106638a</t>
        </is>
      </c>
      <c r="R2589"/>
      <c r="S2589" t="inlineStr">
        <is>
          <t>中小学教辅/教材</t>
        </is>
      </c>
      <c r="T2589" t="inlineStr">
        <is>
          <t>0.40</t>
        </is>
      </c>
      <c r="U2589" s="3">
        <v>46112.78107638889</v>
      </c>
      <c r="V2589"/>
      <c r="W2589" s="3">
        <v>46110</v>
      </c>
      <c r="X2589" t="inlineStr">
        <is>
          <t>03</t>
        </is>
      </c>
      <c r="Y2589" t="inlineStr">
        <is>
          <t>2026-Q1</t>
        </is>
      </c>
    </row>
    <row r="2590" ht="38.25" customHeight="1">
      <c r="A2590" t="inlineStr">
        <is>
          <t>2026春一二三四五六年级语数下册中小学教育</t>
        </is>
      </c>
      <c r="B2590" t="inlineStr">
        <is>
          <t>recvfep4XqUzwT.jpg</t>
        </is>
      </c>
      <c r="C2590" s="2" t="str">
        <f>=HYPERLINK("https://xhslink.com/m/9eTFoHkpv6C", "https://xhslink.com/m/9eTFoHkpv6C")</f>
        <v>https://xhslink.com/m/9eTFoHkpv6C</v>
      </c>
      <c r="D2590"/>
      <c r="E2590">
        <v>2260</v>
      </c>
      <c r="F2590">
        <v>6.8</v>
      </c>
      <c r="G2590"/>
      <c r="H2590">
        <v>750</v>
      </c>
      <c r="I2590">
        <v>2000</v>
      </c>
      <c r="J2590"/>
      <c r="K2590" t="inlineStr">
        <is>
          <t>小学资料</t>
        </is>
      </c>
      <c r="L2590" t="inlineStr">
        <is>
          <t>🔥低粉爆款</t>
        </is>
      </c>
      <c r="M2590" t="inlineStr">
        <is>
          <t>东东小庆幸的店</t>
        </is>
      </c>
      <c r="N2590">
        <v>732</v>
      </c>
      <c r="O2590">
        <v>4.38</v>
      </c>
      <c r="P2590">
        <v>2335</v>
      </c>
      <c r="Q2590" t="inlineStr">
        <is>
          <t>695fe002ce1e9f000147edda</t>
        </is>
      </c>
      <c r="R2590"/>
      <c r="S2590" t="inlineStr">
        <is>
          <t>中小学教辅/教材</t>
        </is>
      </c>
      <c r="T2590" t="inlineStr">
        <is>
          <t>3.09</t>
        </is>
      </c>
      <c r="U2590" s="3">
        <v>46112.78107638889</v>
      </c>
      <c r="V2590"/>
      <c r="W2590" s="3">
        <v>46110</v>
      </c>
      <c r="X2590" t="inlineStr">
        <is>
          <t>03</t>
        </is>
      </c>
      <c r="Y2590" t="inlineStr">
        <is>
          <t>2026-Q1</t>
        </is>
      </c>
    </row>
    <row r="2591" ht="38.25" customHeight="1">
      <c r="A2591" t="inlineStr">
        <is>
          <t>047-幼小衔接数学20以内，综合练习200页，非实物</t>
        </is>
      </c>
      <c r="B2591" t="inlineStr">
        <is>
          <t>recvfep4XqMwjr.jpg</t>
        </is>
      </c>
      <c r="C2591" s="2" t="str">
        <f>=HYPERLINK("https://xhslink.com/m/4xOjgbyMFVB", "https://xhslink.com/m/4xOjgbyMFVB")</f>
        <v>https://xhslink.com/m/4xOjgbyMFVB</v>
      </c>
      <c r="D2591"/>
      <c r="E2591">
        <v>3923</v>
      </c>
      <c r="F2591">
        <v>5.8</v>
      </c>
      <c r="G2591"/>
      <c r="H2591">
        <v>100</v>
      </c>
      <c r="I2591"/>
      <c r="J2591"/>
      <c r="K2591" t="inlineStr">
        <is>
          <t>小学资料</t>
        </is>
      </c>
      <c r="L2591"/>
      <c r="M2591" t="inlineStr">
        <is>
          <t>鑫钥i老师🍃吖的店</t>
        </is>
      </c>
      <c r="N2591">
        <v>15000</v>
      </c>
      <c r="O2591">
        <v>4.5</v>
      </c>
      <c r="P2591">
        <v>54000</v>
      </c>
      <c r="Q2591" t="inlineStr">
        <is>
          <t>67d59eb252503c00019a69e8</t>
        </is>
      </c>
      <c r="R2591"/>
      <c r="S2591" t="inlineStr">
        <is>
          <t>幼教资料</t>
        </is>
      </c>
      <c r="T2591" t="inlineStr">
        <is>
          <t>0.26</t>
        </is>
      </c>
      <c r="U2591" s="3">
        <v>46112.78107638889</v>
      </c>
      <c r="V2591"/>
      <c r="W2591" s="3">
        <v>46110</v>
      </c>
      <c r="X2591" t="inlineStr">
        <is>
          <t>03</t>
        </is>
      </c>
      <c r="Y2591" t="inlineStr">
        <is>
          <t>2026-Q1</t>
        </is>
      </c>
    </row>
    <row r="2592" ht="38.25" customHeight="1">
      <c r="A2592" t="inlineStr">
        <is>
          <t>26下教资笔试中小幼科一科二资料+网课全套资料【电子版】</t>
        </is>
      </c>
      <c r="B2592" t="inlineStr">
        <is>
          <t>recvfep4XqhKAX.jpg</t>
        </is>
      </c>
      <c r="C2592" s="2" t="str">
        <f>=HYPERLINK("https://xhslink.com/m/A6hCqFPSji5", "https://xhslink.com/m/A6hCqFPSji5")</f>
        <v>https://xhslink.com/m/A6hCqFPSji5</v>
      </c>
      <c r="D2592"/>
      <c r="E2592">
        <v>5531</v>
      </c>
      <c r="F2592">
        <v>9.9</v>
      </c>
      <c r="G2592"/>
      <c r="H2592">
        <v>3500</v>
      </c>
      <c r="I2592"/>
      <c r="J2592"/>
      <c r="K2592" t="inlineStr">
        <is>
          <t>小学资料</t>
        </is>
      </c>
      <c r="L2592" t="inlineStr">
        <is>
          <t>🔥低粉爆款</t>
        </is>
      </c>
      <c r="M2592" t="inlineStr">
        <is>
          <t>是青提子吖的店</t>
        </is>
      </c>
      <c r="N2592">
        <v>324</v>
      </c>
      <c r="O2592">
        <v>4.62</v>
      </c>
      <c r="P2592">
        <v>5556</v>
      </c>
      <c r="Q2592" t="inlineStr">
        <is>
          <t>691b039cd4669a0001ebcb84</t>
        </is>
      </c>
      <c r="R2592" t="inlineStr">
        <is>
          <t>🚫重复</t>
        </is>
      </c>
      <c r="S2592" t="inlineStr">
        <is>
          <t>教资资料</t>
        </is>
      </c>
      <c r="T2592" t="inlineStr">
        <is>
          <t>17.07</t>
        </is>
      </c>
      <c r="U2592" s="3">
        <v>46112.78107638889</v>
      </c>
      <c r="V2592"/>
      <c r="W2592" s="3">
        <v>46110</v>
      </c>
      <c r="X2592" t="inlineStr">
        <is>
          <t>03</t>
        </is>
      </c>
      <c r="Y2592" t="inlineStr">
        <is>
          <t>2026-Q1</t>
        </is>
      </c>
    </row>
    <row r="2593" ht="38.25" customHeight="1">
      <c r="A2593" t="inlineStr">
        <is>
          <t>人教版部编版五年级下册语文教案（表格）全册电子版word文档</t>
        </is>
      </c>
      <c r="B2593" t="inlineStr">
        <is>
          <t>recvfep4XqVJ4H.jpg</t>
        </is>
      </c>
      <c r="C2593" s="2" t="str">
        <f>=HYPERLINK("https://xhslink.com/m/7jjhos0bfMf", "https://xhslink.com/m/7jjhos0bfMf")</f>
        <v>https://xhslink.com/m/7jjhos0bfMf</v>
      </c>
      <c r="D2593"/>
      <c r="E2593">
        <v>2552</v>
      </c>
      <c r="F2593">
        <v>2.99</v>
      </c>
      <c r="G2593"/>
      <c r="H2593">
        <v>450</v>
      </c>
      <c r="I2593"/>
      <c r="J2593"/>
      <c r="K2593" t="inlineStr">
        <is>
          <t>小学资料</t>
        </is>
      </c>
      <c r="L2593"/>
      <c r="M2593" t="inlineStr">
        <is>
          <t>茹老师爱分享的店</t>
        </is>
      </c>
      <c r="N2593">
        <v>11000</v>
      </c>
      <c r="O2593">
        <v>4.59</v>
      </c>
      <c r="P2593">
        <v>30000</v>
      </c>
      <c r="Q2593" t="inlineStr">
        <is>
          <t>65713a2314f2c80001d4f075</t>
        </is>
      </c>
      <c r="R2593"/>
      <c r="S2593" t="inlineStr">
        <is>
          <t>中小学教辅/教材</t>
        </is>
      </c>
      <c r="T2593" t="inlineStr">
        <is>
          <t>0.23</t>
        </is>
      </c>
      <c r="U2593" s="3">
        <v>46112.78107638889</v>
      </c>
      <c r="V2593"/>
      <c r="W2593" s="3">
        <v>46110</v>
      </c>
      <c r="X2593" t="inlineStr">
        <is>
          <t>03</t>
        </is>
      </c>
      <c r="Y2593" t="inlineStr">
        <is>
          <t>2026-Q1</t>
        </is>
      </c>
    </row>
    <row r="2594" ht="38.25" customHeight="1">
      <c r="A2594" t="inlineStr">
        <is>
          <t>小学数学一年级上下册思维拓展应用训练题可打印电子版资料</t>
        </is>
      </c>
      <c r="B2594" t="inlineStr">
        <is>
          <t>recvfep4Xqp7W9.jpg</t>
        </is>
      </c>
      <c r="C2594" s="2" t="str">
        <f>=HYPERLINK("https://xhslink.com/m/A9v4SI1q0B0", "https://xhslink.com/m/A9v4SI1q0B0")</f>
        <v>https://xhslink.com/m/A9v4SI1q0B0</v>
      </c>
      <c r="D2594"/>
      <c r="E2594">
        <v>4433</v>
      </c>
      <c r="F2594">
        <v>3.9</v>
      </c>
      <c r="G2594"/>
      <c r="H2594">
        <v>600</v>
      </c>
      <c r="I2594"/>
      <c r="J2594"/>
      <c r="K2594" t="inlineStr">
        <is>
          <t>小学资料</t>
        </is>
      </c>
      <c r="L2594"/>
      <c r="M2594" t="inlineStr">
        <is>
          <t>小学麦穗老师的店</t>
        </is>
      </c>
      <c r="N2594">
        <v>4299</v>
      </c>
      <c r="O2594">
        <v>4.42</v>
      </c>
      <c r="P2594">
        <v>17000</v>
      </c>
      <c r="Q2594" t="inlineStr">
        <is>
          <t>690b2f709de01f0001521c4b</t>
        </is>
      </c>
      <c r="R2594" t="inlineStr">
        <is>
          <t>🚫重复</t>
        </is>
      </c>
      <c r="S2594" t="inlineStr">
        <is>
          <t>中小学教辅/教材</t>
        </is>
      </c>
      <c r="T2594" t="inlineStr">
        <is>
          <t>1.03</t>
        </is>
      </c>
      <c r="U2594" s="3">
        <v>46112.78107638889</v>
      </c>
      <c r="V2594"/>
      <c r="W2594" s="3">
        <v>46110</v>
      </c>
      <c r="X2594" t="inlineStr">
        <is>
          <t>03</t>
        </is>
      </c>
      <c r="Y2594" t="inlineStr">
        <is>
          <t>2026-Q1</t>
        </is>
      </c>
    </row>
    <row r="2595" ht="38.25" customHeight="1">
      <c r="A2595" t="inlineStr">
        <is>
          <t>2026教师编备考教综必备300个考点做题复习(中小学)</t>
        </is>
      </c>
      <c r="B2595" t="inlineStr">
        <is>
          <t>recvfep4XqZi1O.jpg</t>
        </is>
      </c>
      <c r="C2595" s="2" t="str">
        <f>=HYPERLINK("https://xhslink.com/m/1VfFdYu9br0", "https://xhslink.com/m/1VfFdYu9br0")</f>
        <v>https://xhslink.com/m/1VfFdYu9br0</v>
      </c>
      <c r="D2595"/>
      <c r="E2595">
        <v>4033</v>
      </c>
      <c r="F2595">
        <v>3.9</v>
      </c>
      <c r="G2595"/>
      <c r="H2595">
        <v>100</v>
      </c>
      <c r="I2595"/>
      <c r="J2595"/>
      <c r="K2595" t="inlineStr">
        <is>
          <t>小学资料</t>
        </is>
      </c>
      <c r="L2595"/>
      <c r="M2595" t="inlineStr">
        <is>
          <t>Sincere学姐的店</t>
        </is>
      </c>
      <c r="N2595">
        <v>17000</v>
      </c>
      <c r="O2595">
        <v>4.49</v>
      </c>
      <c r="P2595">
        <v>20000</v>
      </c>
      <c r="Q2595" t="inlineStr">
        <is>
          <t>683ef844f07878000101957e</t>
        </is>
      </c>
      <c r="R2595" t="inlineStr">
        <is>
          <t>🚫重复</t>
        </is>
      </c>
      <c r="S2595" t="inlineStr">
        <is>
          <t>中小学教辅/教材</t>
        </is>
      </c>
      <c r="T2595" t="inlineStr">
        <is>
          <t>0.24</t>
        </is>
      </c>
      <c r="U2595" s="3">
        <v>46112.78107638889</v>
      </c>
      <c r="V2595"/>
      <c r="W2595" s="3">
        <v>46110</v>
      </c>
      <c r="X2595" t="inlineStr">
        <is>
          <t>03</t>
        </is>
      </c>
      <c r="Y2595" t="inlineStr">
        <is>
          <t>2026-Q1</t>
        </is>
      </c>
    </row>
    <row r="2596" ht="38.25" customHeight="1">
      <c r="A2596" t="inlineStr">
        <is>
          <t>三年级下册语文阅读理解答题模板与练习，含答案共104页pdf电子版</t>
        </is>
      </c>
      <c r="B2596" t="inlineStr">
        <is>
          <t>recvfep4XqMTF2.jpg</t>
        </is>
      </c>
      <c r="C2596" s="2" t="str">
        <f>=HYPERLINK("https://xhslink.com/m/5BRP51zSFXZ", "https://xhslink.com/m/5BRP51zSFXZ")</f>
        <v>https://xhslink.com/m/5BRP51zSFXZ</v>
      </c>
      <c r="D2596"/>
      <c r="E2596">
        <v>2020</v>
      </c>
      <c r="F2596">
        <v>3.98</v>
      </c>
      <c r="G2596"/>
      <c r="H2596">
        <v>450</v>
      </c>
      <c r="I2596"/>
      <c r="J2596"/>
      <c r="K2596" t="inlineStr">
        <is>
          <t>小学资料</t>
        </is>
      </c>
      <c r="L2596"/>
      <c r="M2596" t="inlineStr">
        <is>
          <t>滋滋的气泡水的店</t>
        </is>
      </c>
      <c r="N2596">
        <v>4533</v>
      </c>
      <c r="O2596">
        <v>4.23</v>
      </c>
      <c r="P2596">
        <v>23000</v>
      </c>
      <c r="Q2596" t="inlineStr">
        <is>
          <t>698c7f9fa5576f0001d49386</t>
        </is>
      </c>
      <c r="R2596" t="inlineStr">
        <is>
          <t>🚫重复</t>
        </is>
      </c>
      <c r="S2596" t="inlineStr">
        <is>
          <t>中小学教辅/教材</t>
        </is>
      </c>
      <c r="T2596" t="inlineStr">
        <is>
          <t>0.45</t>
        </is>
      </c>
      <c r="U2596" s="3">
        <v>46112.78107638889</v>
      </c>
      <c r="V2596"/>
      <c r="W2596" s="3">
        <v>46110</v>
      </c>
      <c r="X2596" t="inlineStr">
        <is>
          <t>03</t>
        </is>
      </c>
      <c r="Y2596" t="inlineStr">
        <is>
          <t>2026-Q1</t>
        </is>
      </c>
    </row>
    <row r="2597" ht="38.25" customHeight="1">
      <c r="A2597" t="inlineStr">
        <is>
          <t>三～六年级（一册）语文知识点整理手写版范本（电子版）</t>
        </is>
      </c>
      <c r="B2597" t="inlineStr">
        <is>
          <t>recvfep4XqdlQb.jpg</t>
        </is>
      </c>
      <c r="C2597" s="2" t="str">
        <f>=HYPERLINK("https://xhslink.com/m/AWmPpnzIXRe", "https://xhslink.com/m/AWmPpnzIXRe")</f>
        <v>https://xhslink.com/m/AWmPpnzIXRe</v>
      </c>
      <c r="D2597"/>
      <c r="E2597">
        <v>10000</v>
      </c>
      <c r="F2597">
        <v>19.9</v>
      </c>
      <c r="G2597"/>
      <c r="H2597">
        <v>1000</v>
      </c>
      <c r="I2597"/>
      <c r="J2597"/>
      <c r="K2597" t="inlineStr">
        <is>
          <t>小学资料</t>
        </is>
      </c>
      <c r="L2597"/>
      <c r="M2597" t="inlineStr">
        <is>
          <t>向日葵语文园地🌻的店</t>
        </is>
      </c>
      <c r="N2597">
        <v>44000</v>
      </c>
      <c r="O2597">
        <v>4.55</v>
      </c>
      <c r="P2597">
        <v>18000</v>
      </c>
      <c r="Q2597" t="inlineStr">
        <is>
          <t>67a2469497ab0100017c187d</t>
        </is>
      </c>
      <c r="R2597"/>
      <c r="S2597" t="inlineStr">
        <is>
          <t>中小学教辅/教材</t>
        </is>
      </c>
      <c r="T2597" t="inlineStr">
        <is>
          <t>0.23</t>
        </is>
      </c>
      <c r="U2597" s="3">
        <v>46112.78107638889</v>
      </c>
      <c r="V2597"/>
      <c r="W2597" s="3">
        <v>46110</v>
      </c>
      <c r="X2597" t="inlineStr">
        <is>
          <t>03</t>
        </is>
      </c>
      <c r="Y2597" t="inlineStr">
        <is>
          <t>2026-Q1</t>
        </is>
      </c>
    </row>
    <row r="2598" ht="38.25" customHeight="1">
      <c r="A2598" t="inlineStr">
        <is>
          <t>26春小学3-6年级语文阅读理解考点与答题模板（含答案）</t>
        </is>
      </c>
      <c r="B2598" t="inlineStr">
        <is>
          <t>recvfep4XqHGlw.jpg</t>
        </is>
      </c>
      <c r="C2598" s="2" t="str">
        <f>=HYPERLINK("https://xhslink.com/m/501Bi8x6Vud", "https://xhslink.com/m/501Bi8x6Vud")</f>
        <v>https://xhslink.com/m/501Bi8x6Vud</v>
      </c>
      <c r="D2598"/>
      <c r="E2598">
        <v>2478</v>
      </c>
      <c r="F2598">
        <v>4.98</v>
      </c>
      <c r="G2598"/>
      <c r="H2598">
        <v>600</v>
      </c>
      <c r="I2598"/>
      <c r="J2598"/>
      <c r="K2598" t="inlineStr">
        <is>
          <t>小学资料</t>
        </is>
      </c>
      <c r="L2598"/>
      <c r="M2598" t="inlineStr">
        <is>
          <t>周老师小学提分资料的店</t>
        </is>
      </c>
      <c r="N2598">
        <v>1685</v>
      </c>
      <c r="O2598">
        <v>4.52</v>
      </c>
      <c r="P2598">
        <v>4285</v>
      </c>
      <c r="Q2598" t="inlineStr">
        <is>
          <t>6970915d973878000198707b</t>
        </is>
      </c>
      <c r="R2598"/>
      <c r="S2598" t="inlineStr">
        <is>
          <t>中小学教辅/教材</t>
        </is>
      </c>
      <c r="T2598" t="inlineStr">
        <is>
          <t>1.47</t>
        </is>
      </c>
      <c r="U2598" s="3">
        <v>46112.78107638889</v>
      </c>
      <c r="V2598"/>
      <c r="W2598" s="3">
        <v>46110</v>
      </c>
      <c r="X2598" t="inlineStr">
        <is>
          <t>03</t>
        </is>
      </c>
      <c r="Y2598" t="inlineStr">
        <is>
          <t>2026-Q1</t>
        </is>
      </c>
    </row>
    <row r="2599" ht="38.25" customHeight="1">
      <c r="A2599" t="inlineStr">
        <is>
          <t>2026人教版小学数学一二三四五六年级上下册教案课件ppt试题试卷</t>
        </is>
      </c>
      <c r="B2599" t="inlineStr">
        <is>
          <t>recvfep4XqsAvq.jpg</t>
        </is>
      </c>
      <c r="C2599" s="2" t="str">
        <f>=HYPERLINK("https://xhslink.com/m/6OiakVQEds", "https://xhslink.com/m/6OiakVQEds")</f>
        <v>https://xhslink.com/m/6OiakVQEds</v>
      </c>
      <c r="D2599"/>
      <c r="E2599">
        <v>6062</v>
      </c>
      <c r="F2599">
        <v>9.9</v>
      </c>
      <c r="G2599"/>
      <c r="H2599">
        <v>800</v>
      </c>
      <c r="I2599"/>
      <c r="J2599"/>
      <c r="K2599" t="inlineStr">
        <is>
          <t>小学资料</t>
        </is>
      </c>
      <c r="L2599"/>
      <c r="M2599" t="inlineStr">
        <is>
          <t>肖老师的店</t>
        </is>
      </c>
      <c r="N2599">
        <v>12000</v>
      </c>
      <c r="O2599">
        <v>4.61</v>
      </c>
      <c r="P2599">
        <v>74000</v>
      </c>
      <c r="Q2599" t="inlineStr">
        <is>
          <t>66e5dba0afa1e900017a0eb3</t>
        </is>
      </c>
      <c r="R2599" t="inlineStr">
        <is>
          <t>🚫重复</t>
        </is>
      </c>
      <c r="S2599" t="inlineStr">
        <is>
          <t>中小学教辅/教材</t>
        </is>
      </c>
      <c r="T2599" t="inlineStr">
        <is>
          <t>0.51</t>
        </is>
      </c>
      <c r="U2599" s="3">
        <v>46112.78107638889</v>
      </c>
      <c r="V2599"/>
      <c r="W2599" s="3">
        <v>46110</v>
      </c>
      <c r="X2599" t="inlineStr">
        <is>
          <t>03</t>
        </is>
      </c>
      <c r="Y2599" t="inlineStr">
        <is>
          <t>2026-Q1</t>
        </is>
      </c>
    </row>
    <row r="2600" ht="38.25" customHeight="1">
      <c r="A2600" t="inlineStr">
        <is>
          <t>林林老师小学语文手写笔记本册</t>
        </is>
      </c>
      <c r="B2600" t="inlineStr">
        <is>
          <t>recvfep4Xq8xrc.jpg</t>
        </is>
      </c>
      <c r="C2600" s="2" t="str">
        <f>=HYPERLINK("https://xhslink.com/m/6mIt2KSCrxO", "https://xhslink.com/m/6mIt2KSCrxO")</f>
        <v>https://xhslink.com/m/6mIt2KSCrxO</v>
      </c>
      <c r="D2600"/>
      <c r="E2600">
        <v>14000</v>
      </c>
      <c r="F2600">
        <v>39.9</v>
      </c>
      <c r="G2600"/>
      <c r="H2600">
        <v>4500</v>
      </c>
      <c r="I2600"/>
      <c r="J2600"/>
      <c r="K2600" t="inlineStr">
        <is>
          <t>小学资料</t>
        </is>
      </c>
      <c r="L2600"/>
      <c r="M2600" t="inlineStr">
        <is>
          <t>林林老师的店</t>
        </is>
      </c>
      <c r="N2600">
        <v>206000</v>
      </c>
      <c r="O2600">
        <v>4.76</v>
      </c>
      <c r="P2600">
        <v>57000</v>
      </c>
      <c r="Q2600" t="inlineStr">
        <is>
          <t>693a41e1266b95000117595a</t>
        </is>
      </c>
      <c r="R2600" t="inlineStr">
        <is>
          <t>🚫重复</t>
        </is>
      </c>
      <c r="S2600" t="inlineStr">
        <is>
          <t>中小学教辅/教材</t>
        </is>
      </c>
      <c r="T2600" t="inlineStr">
        <is>
          <t>0.07</t>
        </is>
      </c>
      <c r="U2600" s="3">
        <v>46112.78107638889</v>
      </c>
      <c r="V2600"/>
      <c r="W2600" s="3">
        <v>46110</v>
      </c>
      <c r="X2600" t="inlineStr">
        <is>
          <t>03</t>
        </is>
      </c>
      <c r="Y2600" t="inlineStr">
        <is>
          <t>2026-Q1</t>
        </is>
      </c>
    </row>
    <row r="2601" ht="38.25" customHeight="1">
      <c r="A2601" t="inlineStr">
        <is>
          <t>【每日一练】笔画笔顺偏旁部首楷书3-8岁儿童小学描红控笔练习册</t>
        </is>
      </c>
      <c r="B2601" t="inlineStr">
        <is>
          <t>recvfep4XqluY6.jpg</t>
        </is>
      </c>
      <c r="C2601" s="2" t="str">
        <f>=HYPERLINK("https://xhslink.com/m/5AidltB6jeV", "https://xhslink.com/m/5AidltB6jeV")</f>
        <v>https://xhslink.com/m/5AidltB6jeV</v>
      </c>
      <c r="D2601"/>
      <c r="E2601">
        <v>48000</v>
      </c>
      <c r="F2601">
        <v>32.9</v>
      </c>
      <c r="G2601"/>
      <c r="H2601">
        <v>550</v>
      </c>
      <c r="I2601"/>
      <c r="J2601"/>
      <c r="K2601" t="inlineStr">
        <is>
          <t>小学资料</t>
        </is>
      </c>
      <c r="L2601"/>
      <c r="M2601" t="inlineStr">
        <is>
          <t>A毛小姐爱学习的店</t>
        </is>
      </c>
      <c r="N2601">
        <v>19000</v>
      </c>
      <c r="O2601">
        <v>4.69</v>
      </c>
      <c r="P2601">
        <v>129000</v>
      </c>
      <c r="Q2601" t="inlineStr">
        <is>
          <t>68006febec1374000145f13c</t>
        </is>
      </c>
      <c r="R2601" t="inlineStr">
        <is>
          <t>🚫重复</t>
        </is>
      </c>
      <c r="S2601" t="inlineStr">
        <is>
          <t>中小学教辅/教材</t>
        </is>
      </c>
      <c r="T2601" t="inlineStr">
        <is>
          <t>2.53</t>
        </is>
      </c>
      <c r="U2601" s="3">
        <v>46112.78107638889</v>
      </c>
      <c r="V2601"/>
      <c r="W2601" s="3">
        <v>46110</v>
      </c>
      <c r="X2601" t="inlineStr">
        <is>
          <t>03</t>
        </is>
      </c>
      <c r="Y2601" t="inlineStr">
        <is>
          <t>2026-Q1</t>
        </is>
      </c>
    </row>
    <row r="2602" ht="38.25" customHeight="1">
      <c r="A2602" t="inlineStr">
        <is>
          <t>深圳小学一年级下册英语课课贴</t>
        </is>
      </c>
      <c r="B2602" t="inlineStr">
        <is>
          <t>recvfep4XqS2y3.jpg</t>
        </is>
      </c>
      <c r="C2602" s="2" t="str">
        <f>=HYPERLINK("https://xhslink.com/m/6NNpt330orM", "https://xhslink.com/m/6NNpt330orM")</f>
        <v>https://xhslink.com/m/6NNpt330orM</v>
      </c>
      <c r="D2602"/>
      <c r="E2602">
        <v>2662</v>
      </c>
      <c r="F2602">
        <v>18.8</v>
      </c>
      <c r="G2602"/>
      <c r="H2602">
        <v>1000</v>
      </c>
      <c r="I2602"/>
      <c r="J2602"/>
      <c r="K2602" t="inlineStr">
        <is>
          <t>小学资料</t>
        </is>
      </c>
      <c r="L2602"/>
      <c r="M2602" t="inlineStr">
        <is>
          <t>米米麻麻轰的店</t>
        </is>
      </c>
      <c r="N2602">
        <v>1863</v>
      </c>
      <c r="O2602">
        <v>4.43</v>
      </c>
      <c r="P2602">
        <v>7222</v>
      </c>
      <c r="Q2602" t="inlineStr">
        <is>
          <t>697d7f96b6ceb4000185fb04</t>
        </is>
      </c>
      <c r="R2602"/>
      <c r="S2602" t="inlineStr">
        <is>
          <t>中小学教辅/教材</t>
        </is>
      </c>
      <c r="T2602" t="inlineStr">
        <is>
          <t>1.43</t>
        </is>
      </c>
      <c r="U2602" s="3">
        <v>46112.78107638889</v>
      </c>
      <c r="V2602"/>
      <c r="W2602" s="3">
        <v>46110</v>
      </c>
      <c r="X2602" t="inlineStr">
        <is>
          <t>03</t>
        </is>
      </c>
      <c r="Y2602" t="inlineStr">
        <is>
          <t>2026-Q1</t>
        </is>
      </c>
    </row>
    <row r="2603" ht="38.25" customHeight="1">
      <c r="A2603" t="inlineStr">
        <is>
          <t>幼小衔接数学｜20以内数的综合练习，500页可打印</t>
        </is>
      </c>
      <c r="B2603" t="inlineStr">
        <is>
          <t>recvfep4XqMnE3.jpg</t>
        </is>
      </c>
      <c r="C2603" s="2" t="str">
        <f>=HYPERLINK("https://xhslink.com/m/1ya1Fd5RPP2", "https://xhslink.com/m/1ya1Fd5RPP2")</f>
        <v>https://xhslink.com/m/1ya1Fd5RPP2</v>
      </c>
      <c r="D2603"/>
      <c r="E2603">
        <v>1106</v>
      </c>
      <c r="F2603">
        <v>4.99</v>
      </c>
      <c r="G2603"/>
      <c r="H2603">
        <v>300</v>
      </c>
      <c r="I2603">
        <v>1000</v>
      </c>
      <c r="J2603"/>
      <c r="K2603" t="inlineStr">
        <is>
          <t>小学资料</t>
        </is>
      </c>
      <c r="L2603"/>
      <c r="M2603" t="inlineStr">
        <is>
          <t>欣宝麻麻全科启蒙的店</t>
        </is>
      </c>
      <c r="N2603">
        <v>679</v>
      </c>
      <c r="O2603">
        <v>4.46</v>
      </c>
      <c r="P2603">
        <v>3547</v>
      </c>
      <c r="Q2603" t="inlineStr">
        <is>
          <t>6948d1ba8ff5d40001d5f13b</t>
        </is>
      </c>
      <c r="R2603"/>
      <c r="S2603" t="inlineStr">
        <is>
          <t>中小学教辅/教材</t>
        </is>
      </c>
      <c r="T2603" t="inlineStr">
        <is>
          <t>1.63</t>
        </is>
      </c>
      <c r="U2603" s="3">
        <v>46112.78107638889</v>
      </c>
      <c r="V2603"/>
      <c r="W2603" s="3">
        <v>46110</v>
      </c>
      <c r="X2603" t="inlineStr">
        <is>
          <t>03</t>
        </is>
      </c>
      <c r="Y2603" t="inlineStr">
        <is>
          <t>2026-Q1</t>
        </is>
      </c>
    </row>
    <row r="2604" ht="38.25" customHeight="1">
      <c r="A2604" t="inlineStr">
        <is>
          <t>上岸熊 · 26下教资笔试教材中小学幼儿教师资格证备考试资料笔记真题</t>
        </is>
      </c>
      <c r="B2604" t="inlineStr">
        <is>
          <t>recvfep4XqGcJB.jpg</t>
        </is>
      </c>
      <c r="C2604" s="2" t="str">
        <f>=HYPERLINK("https://xhslink.com/m/4qXiOdgMoUU", "https://xhslink.com/m/4qXiOdgMoUU")</f>
        <v>https://xhslink.com/m/4qXiOdgMoUU</v>
      </c>
      <c r="D2604"/>
      <c r="E2604">
        <v>13000</v>
      </c>
      <c r="F2604">
        <v>27.9</v>
      </c>
      <c r="G2604"/>
      <c r="H2604">
        <v>250</v>
      </c>
      <c r="I2604">
        <v>1000</v>
      </c>
      <c r="J2604"/>
      <c r="K2604" t="inlineStr">
        <is>
          <t>小学资料</t>
        </is>
      </c>
      <c r="L2604"/>
      <c r="M2604" t="inlineStr">
        <is>
          <t>上岸熊旗舰店</t>
        </is>
      </c>
      <c r="N2604">
        <v>9814</v>
      </c>
      <c r="O2604">
        <v>4.57</v>
      </c>
      <c r="P2604">
        <v>47000</v>
      </c>
      <c r="Q2604" t="inlineStr">
        <is>
          <t>63bbcb77c44d0f0001632635</t>
        </is>
      </c>
      <c r="R2604" t="inlineStr">
        <is>
          <t>🚫重复</t>
        </is>
      </c>
      <c r="S2604" t="inlineStr">
        <is>
          <t>教资资料</t>
        </is>
      </c>
      <c r="T2604" t="inlineStr">
        <is>
          <t>1.32</t>
        </is>
      </c>
      <c r="U2604" s="3">
        <v>46112.78107638889</v>
      </c>
      <c r="V2604"/>
      <c r="W2604" s="3">
        <v>46110</v>
      </c>
      <c r="X2604" t="inlineStr">
        <is>
          <t>03</t>
        </is>
      </c>
      <c r="Y2604" t="inlineStr">
        <is>
          <t>2026-Q1</t>
        </is>
      </c>
    </row>
    <row r="2605" ht="38.25" customHeight="1">
      <c r="A2605" t="inlineStr">
        <is>
          <t>26上教资笔试科二简答题89道/中学教资简答题/小学教资简答题</t>
        </is>
      </c>
      <c r="B2605" t="inlineStr">
        <is>
          <t>recvfep4XqpFsd.jpg</t>
        </is>
      </c>
      <c r="C2605" s="2" t="str">
        <f>=HYPERLINK("https://xhslink.com/m/6OpTJVUBceL", "https://xhslink.com/m/6OpTJVUBceL")</f>
        <v>https://xhslink.com/m/6OpTJVUBceL</v>
      </c>
      <c r="D2605"/>
      <c r="E2605">
        <v>2624</v>
      </c>
      <c r="F2605">
        <v>2.66</v>
      </c>
      <c r="G2605"/>
      <c r="H2605">
        <v>1500</v>
      </c>
      <c r="I2605"/>
      <c r="J2605"/>
      <c r="K2605" t="inlineStr">
        <is>
          <t>小学资料</t>
        </is>
      </c>
      <c r="L2605"/>
      <c r="M2605" t="inlineStr">
        <is>
          <t>小鹿茶香的店</t>
        </is>
      </c>
      <c r="N2605">
        <v>1139</v>
      </c>
      <c r="O2605">
        <v>4.35</v>
      </c>
      <c r="P2605">
        <v>18000</v>
      </c>
      <c r="Q2605" t="inlineStr">
        <is>
          <t>694763711f22d20001cd4a5c</t>
        </is>
      </c>
      <c r="R2605"/>
      <c r="S2605" t="inlineStr">
        <is>
          <t>教资资料</t>
        </is>
      </c>
      <c r="T2605" t="inlineStr">
        <is>
          <t>2.30</t>
        </is>
      </c>
      <c r="U2605" s="3">
        <v>46112.78107638889</v>
      </c>
      <c r="V2605"/>
      <c r="W2605" s="3">
        <v>46110</v>
      </c>
      <c r="X2605" t="inlineStr">
        <is>
          <t>03</t>
        </is>
      </c>
      <c r="Y2605" t="inlineStr">
        <is>
          <t>2026-Q1</t>
        </is>
      </c>
    </row>
    <row r="2606" ht="38.25" customHeight="1">
      <c r="A2606" t="inlineStr">
        <is>
          <t>26上教资笔试COCO笔记+讲义资料</t>
        </is>
      </c>
      <c r="B2606" t="inlineStr">
        <is>
          <t>recvfep4XqArJb.jpg</t>
        </is>
      </c>
      <c r="C2606" s="2" t="str">
        <f>=HYPERLINK("https://xhslink.com/m/7foBgBwzfWv", "https://xhslink.com/m/7foBgBwzfWv")</f>
        <v>https://xhslink.com/m/7foBgBwzfWv</v>
      </c>
      <c r="D2606"/>
      <c r="E2606">
        <v>11000</v>
      </c>
      <c r="F2606">
        <v>2.99</v>
      </c>
      <c r="G2606"/>
      <c r="H2606">
        <v>3000</v>
      </c>
      <c r="I2606"/>
      <c r="J2606"/>
      <c r="K2606" t="inlineStr">
        <is>
          <t>小学资料</t>
        </is>
      </c>
      <c r="L2606" t="inlineStr">
        <is>
          <t>🔥低粉爆款</t>
        </is>
      </c>
      <c r="M2606" t="inlineStr">
        <is>
          <t>蜜桃气泡水资料库的店</t>
        </is>
      </c>
      <c r="N2606">
        <v>1855</v>
      </c>
      <c r="O2606">
        <v>4.4</v>
      </c>
      <c r="P2606">
        <v>24000</v>
      </c>
      <c r="Q2606" t="inlineStr">
        <is>
          <t>694215e8ab7cc40001dcf179</t>
        </is>
      </c>
      <c r="R2606"/>
      <c r="S2606" t="inlineStr">
        <is>
          <t>教资资料</t>
        </is>
      </c>
      <c r="T2606" t="inlineStr">
        <is>
          <t>5.93</t>
        </is>
      </c>
      <c r="U2606" s="3">
        <v>46112.78107638889</v>
      </c>
      <c r="V2606"/>
      <c r="W2606" s="3">
        <v>46110</v>
      </c>
      <c r="X2606" t="inlineStr">
        <is>
          <t>03</t>
        </is>
      </c>
      <c r="Y2606" t="inlineStr">
        <is>
          <t>2026-Q1</t>
        </is>
      </c>
    </row>
    <row r="2607" ht="38.25" customHeight="1">
      <c r="A2607" t="inlineStr">
        <is>
          <t>A02新版26春1-6年级下册语文生字表课课贴，电子版，非实物</t>
        </is>
      </c>
      <c r="B2607" t="inlineStr">
        <is>
          <t>recvfep4XqE7hT.jpg</t>
        </is>
      </c>
      <c r="C2607" s="2" t="str">
        <f>=HYPERLINK("https://xhslink.com/m/3FxENyj59Fh", "https://xhslink.com/m/3FxENyj59Fh")</f>
        <v>https://xhslink.com/m/3FxENyj59Fh</v>
      </c>
      <c r="D2607"/>
      <c r="E2607">
        <v>2066</v>
      </c>
      <c r="F2607">
        <v>2.99</v>
      </c>
      <c r="G2607"/>
      <c r="H2607">
        <v>1500</v>
      </c>
      <c r="I2607"/>
      <c r="J2607"/>
      <c r="K2607" t="inlineStr">
        <is>
          <t>小学资料</t>
        </is>
      </c>
      <c r="L2607"/>
      <c r="M2607" t="inlineStr">
        <is>
          <t>泠姀老师的店</t>
        </is>
      </c>
      <c r="N2607">
        <v>1241</v>
      </c>
      <c r="O2607">
        <v>4.5</v>
      </c>
      <c r="P2607">
        <v>7616</v>
      </c>
      <c r="Q2607" t="inlineStr">
        <is>
          <t>69514d89110a7f00013fe041</t>
        </is>
      </c>
      <c r="R2607"/>
      <c r="S2607" t="inlineStr">
        <is>
          <t>中小学教辅/教材</t>
        </is>
      </c>
      <c r="T2607" t="inlineStr">
        <is>
          <t>1.66</t>
        </is>
      </c>
      <c r="U2607" s="3">
        <v>46112.78107638889</v>
      </c>
      <c r="V2607"/>
      <c r="W2607" s="3">
        <v>46110</v>
      </c>
      <c r="X2607" t="inlineStr">
        <is>
          <t>03</t>
        </is>
      </c>
      <c r="Y2607" t="inlineStr">
        <is>
          <t>2026-Q1</t>
        </is>
      </c>
    </row>
    <row r="2608" ht="38.25" customHeight="1">
      <c r="A2608" t="inlineStr">
        <is>
          <t>26教师招聘教综三色笔记＋默写本＋速记口诀＋必备人物＋思维导图</t>
        </is>
      </c>
      <c r="B2608" t="inlineStr">
        <is>
          <t>__upload_recvfep4XqenZK.jpg</t>
        </is>
      </c>
      <c r="C2608" s="2" t="str">
        <f>=HYPERLINK("https://xhslink.com/m/1kH4OM3Br3I", "https://xhslink.com/m/1kH4OM3Br3I")</f>
        <v>https://xhslink.com/m/1kH4OM3Br3I</v>
      </c>
      <c r="D2608"/>
      <c r="E2608">
        <v>1781</v>
      </c>
      <c r="F2608">
        <v>7.98</v>
      </c>
      <c r="G2608"/>
      <c r="H2608">
        <v>100</v>
      </c>
      <c r="I2608"/>
      <c r="J2608">
        <v>100</v>
      </c>
      <c r="K2608" t="inlineStr">
        <is>
          <t>老师资料</t>
        </is>
      </c>
      <c r="L2608" t="inlineStr">
        <is>
          <t>🔥低粉爆款</t>
        </is>
      </c>
      <c r="M2608" t="inlineStr">
        <is>
          <t>夹心糯米ee的店</t>
        </is>
      </c>
      <c r="N2608">
        <v>89</v>
      </c>
      <c r="O2608">
        <v>4.58</v>
      </c>
      <c r="P2608">
        <v>5017</v>
      </c>
      <c r="Q2608" t="inlineStr">
        <is>
          <t>69aceb72b8f98300018c50ce</t>
        </is>
      </c>
      <c r="R2608"/>
      <c r="S2608" t="inlineStr">
        <is>
          <t>教资资料</t>
        </is>
      </c>
      <c r="T2608" t="inlineStr">
        <is>
          <t>20.01</t>
        </is>
      </c>
      <c r="U2608" s="3">
        <v>46112.78107638889</v>
      </c>
      <c r="V2608"/>
      <c r="W2608" s="3">
        <v>46110</v>
      </c>
      <c r="X2608" t="inlineStr">
        <is>
          <t>03</t>
        </is>
      </c>
      <c r="Y2608" t="inlineStr">
        <is>
          <t>2026-Q1</t>
        </is>
      </c>
    </row>
    <row r="2609" ht="38.25" customHeight="1">
      <c r="A2609" t="inlineStr">
        <is>
          <t>26年下教资笔试中小幼教师资格证笔试科目一二【电子版资料】</t>
        </is>
      </c>
      <c r="B2609" t="inlineStr">
        <is>
          <t>recvfep4XqwRWq.jpg</t>
        </is>
      </c>
      <c r="C2609" s="2" t="str">
        <f>=HYPERLINK("https://xhslink.com/m/448EwbNhHPw", "https://xhslink.com/m/448EwbNhHPw")</f>
        <v>https://xhslink.com/m/448EwbNhHPw</v>
      </c>
      <c r="D2609"/>
      <c r="E2609">
        <v>1880</v>
      </c>
      <c r="F2609">
        <v>9.9</v>
      </c>
      <c r="G2609"/>
      <c r="H2609">
        <v>1000</v>
      </c>
      <c r="I2609"/>
      <c r="J2609"/>
      <c r="K2609" t="inlineStr">
        <is>
          <t>老师资料</t>
        </is>
      </c>
      <c r="L2609"/>
      <c r="M2609" t="inlineStr">
        <is>
          <t>意嘉嘉的店</t>
        </is>
      </c>
      <c r="N2609">
        <v>19000</v>
      </c>
      <c r="O2609">
        <v>4.62</v>
      </c>
      <c r="P2609">
        <v>19000</v>
      </c>
      <c r="Q2609" t="inlineStr">
        <is>
          <t>695bd027a35123000143b7d0</t>
        </is>
      </c>
      <c r="R2609" t="inlineStr">
        <is>
          <t>🚫重复</t>
        </is>
      </c>
      <c r="S2609" t="inlineStr">
        <is>
          <t>教资资料</t>
        </is>
      </c>
      <c r="T2609" t="inlineStr">
        <is>
          <t>0.10</t>
        </is>
      </c>
      <c r="U2609" s="3">
        <v>46112.78107638889</v>
      </c>
      <c r="V2609"/>
      <c r="W2609" s="3">
        <v>46110</v>
      </c>
      <c r="X2609" t="inlineStr">
        <is>
          <t>03</t>
        </is>
      </c>
      <c r="Y2609" t="inlineStr">
        <is>
          <t>2026-Q1</t>
        </is>
      </c>
    </row>
    <row r="2610" ht="38.25" customHeight="1">
      <c r="A2610" t="inlineStr">
        <is>
          <t>教综思维导图纸质版</t>
        </is>
      </c>
      <c r="B2610" t="inlineStr">
        <is>
          <t>recvfep4Xq8Klo.jpg</t>
        </is>
      </c>
      <c r="C2610" s="2" t="str">
        <f>=HYPERLINK("https://xhslink.com/m/8FqRIIf35SG", "https://xhslink.com/m/8FqRIIf35SG")</f>
        <v>https://xhslink.com/m/8FqRIIf35SG</v>
      </c>
      <c r="D2610"/>
      <c r="E2610">
        <v>3902</v>
      </c>
      <c r="F2610">
        <v>22</v>
      </c>
      <c r="G2610"/>
      <c r="H2610">
        <v>100</v>
      </c>
      <c r="I2610"/>
      <c r="J2610"/>
      <c r="K2610" t="inlineStr">
        <is>
          <t>老师资料</t>
        </is>
      </c>
      <c r="L2610" t="inlineStr">
        <is>
          <t>🔥低粉爆款</t>
        </is>
      </c>
      <c r="M2610" t="inlineStr">
        <is>
          <t>上岸小鱼鱼的店</t>
        </is>
      </c>
      <c r="N2610">
        <v>951</v>
      </c>
      <c r="O2610">
        <v>4.57</v>
      </c>
      <c r="P2610">
        <v>4548</v>
      </c>
      <c r="Q2610" t="inlineStr">
        <is>
          <t>674d24e97f06b000018b5400</t>
        </is>
      </c>
      <c r="R2610"/>
      <c r="S2610" t="inlineStr">
        <is>
          <t>老师资料</t>
        </is>
      </c>
      <c r="T2610" t="inlineStr">
        <is>
          <t>4.10</t>
        </is>
      </c>
      <c r="U2610" s="3">
        <v>46112.78107638889</v>
      </c>
      <c r="V2610"/>
      <c r="W2610" s="3">
        <v>46110</v>
      </c>
      <c r="X2610" t="inlineStr">
        <is>
          <t>03</t>
        </is>
      </c>
      <c r="Y2610" t="inlineStr">
        <is>
          <t>2026-Q1</t>
        </is>
      </c>
    </row>
    <row r="2611" ht="38.25" customHeight="1">
      <c r="A2611" t="inlineStr">
        <is>
          <t>2026普通话水平测试冲刺礼包：考前冲刺视频课+电子版资料+范读</t>
        </is>
      </c>
      <c r="B2611" t="inlineStr">
        <is>
          <t>recvfep4Xq1qVf.jpg</t>
        </is>
      </c>
      <c r="C2611" s="2" t="str">
        <f>=HYPERLINK("https://xhslink.com/m/7VrqXo3kJ2z", "https://xhslink.com/m/7VrqXo3kJ2z")</f>
        <v>https://xhslink.com/m/7VrqXo3kJ2z</v>
      </c>
      <c r="D2611"/>
      <c r="E2611">
        <v>32000</v>
      </c>
      <c r="F2611">
        <v>9.9</v>
      </c>
      <c r="G2611"/>
      <c r="H2611">
        <v>700</v>
      </c>
      <c r="I2611"/>
      <c r="J2611"/>
      <c r="K2611" t="inlineStr">
        <is>
          <t>老师资料</t>
        </is>
      </c>
      <c r="L2611"/>
      <c r="M2611" t="inlineStr">
        <is>
          <t>炫酷小煜的店</t>
        </is>
      </c>
      <c r="N2611">
        <v>17000</v>
      </c>
      <c r="O2611">
        <v>4.43</v>
      </c>
      <c r="P2611">
        <v>38000</v>
      </c>
      <c r="Q2611" t="inlineStr">
        <is>
          <t>6822ad21965367000102bbfa</t>
        </is>
      </c>
      <c r="R2611" t="inlineStr">
        <is>
          <t>🚫重复</t>
        </is>
      </c>
      <c r="S2611" t="inlineStr">
        <is>
          <t>生活成长</t>
        </is>
      </c>
      <c r="T2611" t="inlineStr">
        <is>
          <t>1.88</t>
        </is>
      </c>
      <c r="U2611" s="3">
        <v>46112.78107638889</v>
      </c>
      <c r="V2611"/>
      <c r="W2611" s="3">
        <v>46110</v>
      </c>
      <c r="X2611" t="inlineStr">
        <is>
          <t>03</t>
        </is>
      </c>
      <c r="Y2611" t="inlineStr">
        <is>
          <t>2026-Q1</t>
        </is>
      </c>
    </row>
    <row r="2612" ht="38.25" customHeight="1">
      <c r="A2612" t="inlineStr">
        <is>
          <t>26上教资面试《初中语文》185篇蕞新试讲逐字稿（清晰可打印）</t>
        </is>
      </c>
      <c r="B2612" t="inlineStr">
        <is>
          <t>recvfep4XqmH4u.jpg</t>
        </is>
      </c>
      <c r="C2612" s="2" t="str">
        <f>=HYPERLINK("https://xhslink.com/m/9KOZH9u7vkG", "https://xhslink.com/m/9KOZH9u7vkG")</f>
        <v>https://xhslink.com/m/9KOZH9u7vkG</v>
      </c>
      <c r="D2612"/>
      <c r="E2612">
        <v>4733</v>
      </c>
      <c r="F2612">
        <v>9.9</v>
      </c>
      <c r="G2612"/>
      <c r="H2612">
        <v>100</v>
      </c>
      <c r="I2612"/>
      <c r="J2612"/>
      <c r="K2612" t="inlineStr">
        <is>
          <t>老师资料</t>
        </is>
      </c>
      <c r="L2612"/>
      <c r="M2612" t="inlineStr">
        <is>
          <t>晚晚爱学习的店</t>
        </is>
      </c>
      <c r="N2612">
        <v>2894</v>
      </c>
      <c r="O2612">
        <v>4.33</v>
      </c>
      <c r="P2612">
        <v>20000</v>
      </c>
      <c r="Q2612" t="inlineStr">
        <is>
          <t>671b7e0afe853100011dc484</t>
        </is>
      </c>
      <c r="R2612" t="inlineStr">
        <is>
          <t>🚫重复</t>
        </is>
      </c>
      <c r="S2612" t="inlineStr">
        <is>
          <t>教资资料</t>
        </is>
      </c>
      <c r="T2612" t="inlineStr">
        <is>
          <t>1.64</t>
        </is>
      </c>
      <c r="U2612" s="3">
        <v>46112.78107638889</v>
      </c>
      <c r="V2612"/>
      <c r="W2612" s="3">
        <v>46110</v>
      </c>
      <c r="X2612" t="inlineStr">
        <is>
          <t>03</t>
        </is>
      </c>
      <c r="Y2612" t="inlineStr">
        <is>
          <t>2026-Q1</t>
        </is>
      </c>
    </row>
    <row r="2613" ht="38.25" customHeight="1">
      <c r="A2613" t="inlineStr">
        <is>
          <t>教 师 资 格 证 笔试科三重点三色速记笔记</t>
        </is>
      </c>
      <c r="B2613" t="inlineStr">
        <is>
          <t>recvfep4Xq0CDh.jpg</t>
        </is>
      </c>
      <c r="C2613" s="2" t="str">
        <f>=HYPERLINK("https://xhslink.com/m/1By8Vaq5kna", "https://xhslink.com/m/1By8Vaq5kna")</f>
        <v>https://xhslink.com/m/1By8Vaq5kna</v>
      </c>
      <c r="D2613"/>
      <c r="E2613">
        <v>8873</v>
      </c>
      <c r="F2613">
        <v>6.98</v>
      </c>
      <c r="G2613"/>
      <c r="H2613">
        <v>2500</v>
      </c>
      <c r="I2613"/>
      <c r="J2613"/>
      <c r="K2613" t="inlineStr">
        <is>
          <t>老师资料</t>
        </is>
      </c>
      <c r="L2613" t="inlineStr">
        <is>
          <t>🔥低粉爆款</t>
        </is>
      </c>
      <c r="M2613" t="inlineStr">
        <is>
          <t>好运学 姐姐的店</t>
        </is>
      </c>
      <c r="N2613">
        <v>563</v>
      </c>
      <c r="O2613">
        <v>4.46</v>
      </c>
      <c r="P2613">
        <v>10000</v>
      </c>
      <c r="Q2613" t="inlineStr">
        <is>
          <t>685a4a3d7590770001970485</t>
        </is>
      </c>
      <c r="R2613" t="inlineStr">
        <is>
          <t>🚫重复</t>
        </is>
      </c>
      <c r="S2613" t="inlineStr">
        <is>
          <t>教资资料</t>
        </is>
      </c>
      <c r="T2613" t="inlineStr">
        <is>
          <t>15.76</t>
        </is>
      </c>
      <c r="U2613" s="3">
        <v>46112.78107638889</v>
      </c>
      <c r="V2613"/>
      <c r="W2613" s="3">
        <v>46110</v>
      </c>
      <c r="X2613" t="inlineStr">
        <is>
          <t>03</t>
        </is>
      </c>
      <c r="Y2613" t="inlineStr">
        <is>
          <t>2026-Q1</t>
        </is>
      </c>
    </row>
    <row r="2614" ht="38.25" customHeight="1">
      <c r="A2614" t="inlineStr">
        <is>
          <t>高考语文阅读理解答题模板记叙文+说明文+议论文+文言文+古诗词</t>
        </is>
      </c>
      <c r="B2614" t="inlineStr">
        <is>
          <t>recvfep4Xq9olO.jpg</t>
        </is>
      </c>
      <c r="C2614" s="2" t="str">
        <f>=HYPERLINK("https://xhslink.com/m/8V8VWP3OHmv", "https://xhslink.com/m/8V8VWP3OHmv")</f>
        <v>https://xhslink.com/m/8V8VWP3OHmv</v>
      </c>
      <c r="D2614"/>
      <c r="E2614">
        <v>1387</v>
      </c>
      <c r="F2614">
        <v>3.9</v>
      </c>
      <c r="G2614"/>
      <c r="H2614">
        <v>450</v>
      </c>
      <c r="I2614">
        <v>1000</v>
      </c>
      <c r="J2614"/>
      <c r="K2614" t="inlineStr">
        <is>
          <t>老师资料</t>
        </is>
      </c>
      <c r="L2614"/>
      <c r="M2614" t="inlineStr">
        <is>
          <t>清华齐老师（宝藏资料）的店</t>
        </is>
      </c>
      <c r="N2614">
        <v>1791</v>
      </c>
      <c r="O2614">
        <v>4.48</v>
      </c>
      <c r="P2614">
        <v>17000</v>
      </c>
      <c r="Q2614" t="inlineStr">
        <is>
          <t>68c7da9424f1f800012561cb</t>
        </is>
      </c>
      <c r="R2614" t="inlineStr">
        <is>
          <t>🚫重复</t>
        </is>
      </c>
      <c r="S2614" t="inlineStr">
        <is>
          <t>高中/高考资料</t>
        </is>
      </c>
      <c r="T2614" t="inlineStr">
        <is>
          <t>0.77</t>
        </is>
      </c>
      <c r="U2614" s="3">
        <v>46112.78107638889</v>
      </c>
      <c r="V2614"/>
      <c r="W2614" s="3">
        <v>46110</v>
      </c>
      <c r="X2614" t="inlineStr">
        <is>
          <t>03</t>
        </is>
      </c>
      <c r="Y2614" t="inlineStr">
        <is>
          <t>2026-Q1</t>
        </is>
      </c>
    </row>
    <row r="2615" ht="38.25" customHeight="1">
      <c r="A2615" t="inlineStr">
        <is>
          <t>教招学霸笔记：教育学、心理学、教育心理学以及小三门|电子版</t>
        </is>
      </c>
      <c r="B2615" t="inlineStr">
        <is>
          <t>recvfep4XqIqGf.jpg</t>
        </is>
      </c>
      <c r="C2615" s="2" t="str">
        <f>=HYPERLINK("https://xhslink.com/m/2IKLK8i2an", "https://xhslink.com/m/2IKLK8i2an")</f>
        <v>https://xhslink.com/m/2IKLK8i2an</v>
      </c>
      <c r="D2615"/>
      <c r="E2615">
        <v>8610</v>
      </c>
      <c r="F2615">
        <v>39.9</v>
      </c>
      <c r="G2615"/>
      <c r="H2615">
        <v>200</v>
      </c>
      <c r="I2615"/>
      <c r="J2615"/>
      <c r="K2615" t="inlineStr">
        <is>
          <t>老师资料</t>
        </is>
      </c>
      <c r="L2615" t="inlineStr">
        <is>
          <t>🔥低粉爆款</t>
        </is>
      </c>
      <c r="M2615" t="inlineStr">
        <is>
          <t>酸萌柠檬的店</t>
        </is>
      </c>
      <c r="N2615">
        <v>1844</v>
      </c>
      <c r="O2615">
        <v>4.33</v>
      </c>
      <c r="P2615">
        <v>9112</v>
      </c>
      <c r="Q2615" t="inlineStr">
        <is>
          <t>6738a7ba6189c20001ccfdd4</t>
        </is>
      </c>
      <c r="R2615"/>
      <c r="S2615" t="inlineStr">
        <is>
          <t>教资资料</t>
        </is>
      </c>
      <c r="T2615" t="inlineStr">
        <is>
          <t>4.67</t>
        </is>
      </c>
      <c r="U2615" s="3">
        <v>46112.78107638889</v>
      </c>
      <c r="V2615"/>
      <c r="W2615" s="3">
        <v>46110</v>
      </c>
      <c r="X2615" t="inlineStr">
        <is>
          <t>03</t>
        </is>
      </c>
      <c r="Y2615" t="inlineStr">
        <is>
          <t>2026-Q1</t>
        </is>
      </c>
    </row>
    <row r="2616" ht="38.25" customHeight="1">
      <c r="A2616" t="inlineStr">
        <is>
          <t>教资 英语科三资料（自动发货）（初中/高中）（看好下单不退款）</t>
        </is>
      </c>
      <c r="B2616" t="inlineStr">
        <is>
          <t>recvfep4XqUIJw.jpg</t>
        </is>
      </c>
      <c r="C2616" s="2" t="str">
        <f>=HYPERLINK("https://xhslink.com/m/A6uzWH4Rtqv", "https://xhslink.com/m/A6uzWH4Rtqv")</f>
        <v>https://xhslink.com/m/A6uzWH4Rtqv</v>
      </c>
      <c r="D2616"/>
      <c r="E2616">
        <v>1994</v>
      </c>
      <c r="F2616">
        <v>9.99</v>
      </c>
      <c r="G2616"/>
      <c r="H2616">
        <v>950</v>
      </c>
      <c r="I2616"/>
      <c r="J2616"/>
      <c r="K2616" t="inlineStr">
        <is>
          <t>老师资料</t>
        </is>
      </c>
      <c r="L2616"/>
      <c r="M2616" t="inlineStr">
        <is>
          <t>诉 冬 时的店</t>
        </is>
      </c>
      <c r="N2616">
        <v>27000</v>
      </c>
      <c r="O2616">
        <v>4.49</v>
      </c>
      <c r="P2616">
        <v>6919</v>
      </c>
      <c r="Q2616" t="inlineStr">
        <is>
          <t>6964923f2c7c42000116f9dd</t>
        </is>
      </c>
      <c r="R2616" t="inlineStr">
        <is>
          <t>🚫重复</t>
        </is>
      </c>
      <c r="S2616" t="inlineStr">
        <is>
          <t>教资资料</t>
        </is>
      </c>
      <c r="T2616" t="inlineStr">
        <is>
          <t>0.07</t>
        </is>
      </c>
      <c r="U2616" s="3">
        <v>46112.78107638889</v>
      </c>
      <c r="V2616"/>
      <c r="W2616" s="3">
        <v>46110</v>
      </c>
      <c r="X2616" t="inlineStr">
        <is>
          <t>03</t>
        </is>
      </c>
      <c r="Y2616" t="inlineStr">
        <is>
          <t>2026-Q1</t>
        </is>
      </c>
    </row>
    <row r="2617" ht="38.25" customHeight="1">
      <c r="A2617" t="inlineStr">
        <is>
          <t>【线上训练营】许林芳老师的学会薪酬绩效突破人效困境</t>
        </is>
      </c>
      <c r="B2617" t="inlineStr">
        <is>
          <t>recvfep4XqppEz.jpg</t>
        </is>
      </c>
      <c r="C2617" s="2" t="str">
        <f>=HYPERLINK("https://xhslink.com/m/7X42L9AVBxY", "https://xhslink.com/m/7X42L9AVBxY")</f>
        <v>https://xhslink.com/m/7X42L9AVBxY</v>
      </c>
      <c r="D2617"/>
      <c r="E2617">
        <v>6562</v>
      </c>
      <c r="F2617">
        <v>199</v>
      </c>
      <c r="G2617"/>
      <c r="H2617">
        <v>200</v>
      </c>
      <c r="I2617"/>
      <c r="J2617"/>
      <c r="K2617" t="inlineStr">
        <is>
          <t>老师资料</t>
        </is>
      </c>
      <c r="L2617"/>
      <c r="M2617" t="inlineStr">
        <is>
          <t>全域文化教育的店</t>
        </is>
      </c>
      <c r="N2617">
        <v>11000</v>
      </c>
      <c r="O2617">
        <v>4.52</v>
      </c>
      <c r="P2617">
        <v>15000</v>
      </c>
      <c r="Q2617" t="inlineStr">
        <is>
          <t>6646c82f95742c000117ca89</t>
        </is>
      </c>
      <c r="R2617"/>
      <c r="S2617" t="inlineStr">
        <is>
          <t>运营资料</t>
        </is>
      </c>
      <c r="T2617" t="inlineStr">
        <is>
          <t>0.60</t>
        </is>
      </c>
      <c r="U2617" s="3">
        <v>46112.78107638889</v>
      </c>
      <c r="V2617"/>
      <c r="W2617" s="3">
        <v>46110</v>
      </c>
      <c r="X2617" t="inlineStr">
        <is>
          <t>03</t>
        </is>
      </c>
      <c r="Y2617" t="inlineStr">
        <is>
          <t>2026-Q1</t>
        </is>
      </c>
    </row>
    <row r="2618" ht="38.25" customHeight="1">
      <c r="A2618" t="inlineStr">
        <is>
          <t>花生十三 · 26国省考笔试系统班</t>
        </is>
      </c>
      <c r="B2618" t="inlineStr">
        <is>
          <t>recvfep4XqkXlv.jpg</t>
        </is>
      </c>
      <c r="C2618" s="2" t="str">
        <f>=HYPERLINK("https://xhslink.com/m/JQzwP9l2SA", "https://xhslink.com/m/JQzwP9l2SA")</f>
        <v>https://xhslink.com/m/JQzwP9l2SA</v>
      </c>
      <c r="D2618"/>
      <c r="E2618">
        <v>7612</v>
      </c>
      <c r="F2618">
        <v>599</v>
      </c>
      <c r="G2618"/>
      <c r="H2618">
        <v>100</v>
      </c>
      <c r="I2618"/>
      <c r="J2618"/>
      <c r="K2618" t="inlineStr">
        <is>
          <t>老师资料</t>
        </is>
      </c>
      <c r="L2618"/>
      <c r="M2618" t="inlineStr">
        <is>
          <t>四海公考的店</t>
        </is>
      </c>
      <c r="N2618">
        <v>109000</v>
      </c>
      <c r="O2618">
        <v>4.49</v>
      </c>
      <c r="P2618">
        <v>44000</v>
      </c>
      <c r="Q2618" t="inlineStr">
        <is>
          <t>68357cadf078780001c5f863</t>
        </is>
      </c>
      <c r="R2618" t="inlineStr">
        <is>
          <t>🚫重复</t>
        </is>
      </c>
      <c r="S2618" t="inlineStr">
        <is>
          <t>考公资料</t>
        </is>
      </c>
      <c r="T2618" t="inlineStr">
        <is>
          <t>0.07</t>
        </is>
      </c>
      <c r="U2618" s="3">
        <v>46112.78107638889</v>
      </c>
      <c r="V2618"/>
      <c r="W2618" s="3">
        <v>46110</v>
      </c>
      <c r="X2618" t="inlineStr">
        <is>
          <t>03</t>
        </is>
      </c>
      <c r="Y2618" t="inlineStr">
        <is>
          <t>2026-Q1</t>
        </is>
      </c>
    </row>
    <row r="2619" ht="38.25" customHeight="1">
      <c r="A2619" t="inlineStr">
        <is>
          <t>2026D类综应背诵资教师招聘必背诵知识口诀事业单位综合应用重点</t>
        </is>
      </c>
      <c r="B2619" t="inlineStr">
        <is>
          <t>recvfep4XqZHtb.jpg</t>
        </is>
      </c>
      <c r="C2619" s="2" t="str">
        <f>=HYPERLINK("https://xhslink.com/m/AYqG6tAl0zY", "https://xhslink.com/m/AYqG6tAl0zY")</f>
        <v>https://xhslink.com/m/AYqG6tAl0zY</v>
      </c>
      <c r="D2619"/>
      <c r="E2619">
        <v>15000</v>
      </c>
      <c r="F2619">
        <v>18.8</v>
      </c>
      <c r="G2619"/>
      <c r="H2619">
        <v>350</v>
      </c>
      <c r="I2619"/>
      <c r="J2619"/>
      <c r="K2619" t="inlineStr">
        <is>
          <t>老师资料</t>
        </is>
      </c>
      <c r="L2619"/>
      <c r="M2619" t="inlineStr">
        <is>
          <t>贝考资料的店</t>
        </is>
      </c>
      <c r="N2619">
        <v>6406</v>
      </c>
      <c r="O2619">
        <v>4.34</v>
      </c>
      <c r="P2619">
        <v>15000</v>
      </c>
      <c r="Q2619" t="inlineStr">
        <is>
          <t>65b7f4cd3a18dd00012ce4f8</t>
        </is>
      </c>
      <c r="R2619"/>
      <c r="S2619" t="inlineStr">
        <is>
          <t>教资资料</t>
        </is>
      </c>
      <c r="T2619" t="inlineStr">
        <is>
          <t>2.34</t>
        </is>
      </c>
      <c r="U2619" s="3">
        <v>46112.78107638889</v>
      </c>
      <c r="V2619"/>
      <c r="W2619" s="3">
        <v>46110</v>
      </c>
      <c r="X2619" t="inlineStr">
        <is>
          <t>03</t>
        </is>
      </c>
      <c r="Y2619" t="inlineStr">
        <is>
          <t>2026-Q1</t>
        </is>
      </c>
    </row>
    <row r="2620" ht="38.25" customHeight="1">
      <c r="A2620" t="inlineStr">
        <is>
          <t>正版｜初中数学低分重建｜自学、逆袭、必备教辅｜通俗易懂</t>
        </is>
      </c>
      <c r="B2620" t="inlineStr">
        <is>
          <t>recvfep4XqYLXf.jpg</t>
        </is>
      </c>
      <c r="C2620" s="2" t="str">
        <f>=HYPERLINK("https://xhslink.com/m/4fk2OlJZdOY", "https://xhslink.com/m/4fk2OlJZdOY")</f>
        <v>https://xhslink.com/m/4fk2OlJZdOY</v>
      </c>
      <c r="D2620"/>
      <c r="E2620">
        <v>6426</v>
      </c>
      <c r="F2620">
        <v>88</v>
      </c>
      <c r="G2620"/>
      <c r="H2620">
        <v>150</v>
      </c>
      <c r="I2620"/>
      <c r="J2620"/>
      <c r="K2620" t="inlineStr">
        <is>
          <t>初中数学资料</t>
        </is>
      </c>
      <c r="L2620"/>
      <c r="M2620" t="inlineStr">
        <is>
          <t>初中数学低分重建的店</t>
        </is>
      </c>
      <c r="N2620">
        <v>3416</v>
      </c>
      <c r="O2620">
        <v>4.62</v>
      </c>
      <c r="P2620">
        <v>6547</v>
      </c>
      <c r="Q2620" t="inlineStr">
        <is>
          <t>6826e8a3d6ff4d00011e06ea</t>
        </is>
      </c>
      <c r="R2620" t="inlineStr">
        <is>
          <t>🚫重复</t>
        </is>
      </c>
      <c r="S2620" t="inlineStr">
        <is>
          <t>中小学教辅/教材</t>
        </is>
      </c>
      <c r="T2620" t="inlineStr">
        <is>
          <t>1.88</t>
        </is>
      </c>
      <c r="U2620" s="3">
        <v>46112.78107638889</v>
      </c>
      <c r="V2620"/>
      <c r="W2620" s="3">
        <v>46110</v>
      </c>
      <c r="X2620" t="inlineStr">
        <is>
          <t>03</t>
        </is>
      </c>
      <c r="Y2620" t="inlineStr">
        <is>
          <t>2026-Q1</t>
        </is>
      </c>
    </row>
    <row r="2621" ht="38.25" customHeight="1">
      <c r="A2621" t="inlineStr">
        <is>
          <t>初中数学睡前默写小纸条资料包中考合集通用版（电子版资料）</t>
        </is>
      </c>
      <c r="B2621" t="inlineStr">
        <is>
          <t>recvfep4Xqrpkv.jpg</t>
        </is>
      </c>
      <c r="C2621" s="2" t="str">
        <f>=HYPERLINK("https://xhslink.com/m/Ab6TUTVqjYv", "https://xhslink.com/m/Ab6TUTVqjYv")</f>
        <v>https://xhslink.com/m/Ab6TUTVqjYv</v>
      </c>
      <c r="D2621"/>
      <c r="E2621">
        <v>3007</v>
      </c>
      <c r="F2621">
        <v>12.8</v>
      </c>
      <c r="G2621"/>
      <c r="H2621">
        <v>150</v>
      </c>
      <c r="I2621"/>
      <c r="J2621"/>
      <c r="K2621" t="inlineStr">
        <is>
          <t>初中数学资料</t>
        </is>
      </c>
      <c r="L2621"/>
      <c r="M2621" t="inlineStr">
        <is>
          <t>马老师资料库的店</t>
        </is>
      </c>
      <c r="N2621">
        <v>1934</v>
      </c>
      <c r="O2621">
        <v>4.44</v>
      </c>
      <c r="P2621">
        <v>4127</v>
      </c>
      <c r="Q2621" t="inlineStr">
        <is>
          <t>691d5f1214b5260001c269d2</t>
        </is>
      </c>
      <c r="R2621" t="inlineStr">
        <is>
          <t>🚫重复</t>
        </is>
      </c>
      <c r="S2621" t="inlineStr">
        <is>
          <t>中小学教辅/教材</t>
        </is>
      </c>
      <c r="T2621" t="inlineStr">
        <is>
          <t>1.55</t>
        </is>
      </c>
      <c r="U2621" s="3">
        <v>46112.78107638889</v>
      </c>
      <c r="V2621"/>
      <c r="W2621" s="3">
        <v>46110</v>
      </c>
      <c r="X2621" t="inlineStr">
        <is>
          <t>03</t>
        </is>
      </c>
      <c r="Y2621" t="inlineStr">
        <is>
          <t>2026-Q1</t>
        </is>
      </c>
    </row>
    <row r="2622" ht="38.25" customHeight="1">
      <c r="A2622" t="inlineStr">
        <is>
          <t>2026初中语文数学英语物理化生物史地道法知识点总结电子版多版本</t>
        </is>
      </c>
      <c r="B2622" t="inlineStr">
        <is>
          <t>recvfep4Xq7WL5.jpg</t>
        </is>
      </c>
      <c r="C2622" s="2" t="str">
        <f>=HYPERLINK("https://xhslink.com/m/3Uk0khA6eLo", "https://xhslink.com/m/3Uk0khA6eLo")</f>
        <v>https://xhslink.com/m/3Uk0khA6eLo</v>
      </c>
      <c r="D2622"/>
      <c r="E2622">
        <v>26000</v>
      </c>
      <c r="F2622">
        <v>19.8</v>
      </c>
      <c r="G2622"/>
      <c r="H2622">
        <v>450</v>
      </c>
      <c r="I2622">
        <v>3000</v>
      </c>
      <c r="J2622"/>
      <c r="K2622" t="inlineStr">
        <is>
          <t>初中数学资料</t>
        </is>
      </c>
      <c r="L2622"/>
      <c r="M2622" t="inlineStr">
        <is>
          <t>赵老师的资料库的店</t>
        </is>
      </c>
      <c r="N2622">
        <v>16000</v>
      </c>
      <c r="O2622">
        <v>4.41</v>
      </c>
      <c r="P2622">
        <v>52000</v>
      </c>
      <c r="Q2622" t="inlineStr">
        <is>
          <t>672cd74310adb50001c5719c</t>
        </is>
      </c>
      <c r="R2622" t="inlineStr">
        <is>
          <t>🚫重复</t>
        </is>
      </c>
      <c r="S2622" t="inlineStr">
        <is>
          <t>中小学教辅/教材</t>
        </is>
      </c>
      <c r="T2622" t="inlineStr">
        <is>
          <t>1.62</t>
        </is>
      </c>
      <c r="U2622" s="3">
        <v>46112.78107638889</v>
      </c>
      <c r="V2622"/>
      <c r="W2622" s="3">
        <v>46110</v>
      </c>
      <c r="X2622" t="inlineStr">
        <is>
          <t>03</t>
        </is>
      </c>
      <c r="Y2622" t="inlineStr">
        <is>
          <t>2026-Q1</t>
        </is>
      </c>
    </row>
    <row r="2623" ht="38.25" customHeight="1">
      <c r="A2623" t="inlineStr">
        <is>
          <t>浙江大学出版社初高中数学思想方法导引张金良主编辅导资料书</t>
        </is>
      </c>
      <c r="B2623" t="inlineStr">
        <is>
          <t>__upload_recvfep4Xq0spg.jpg</t>
        </is>
      </c>
      <c r="C2623" s="2" t="str">
        <f>=HYPERLINK("https://xhslink.com/m/6LEYB4dDkBA", "https://xhslink.com/m/6LEYB4dDkBA")</f>
        <v>https://xhslink.com/m/6LEYB4dDkBA</v>
      </c>
      <c r="D2623"/>
      <c r="E2623">
        <v>3792</v>
      </c>
      <c r="F2623">
        <v>38.87</v>
      </c>
      <c r="G2623"/>
      <c r="H2623">
        <v>350</v>
      </c>
      <c r="I2623"/>
      <c r="J2623">
        <v>200</v>
      </c>
      <c r="K2623" t="inlineStr">
        <is>
          <t>初中数学资料</t>
        </is>
      </c>
      <c r="L2623"/>
      <c r="M2623" t="inlineStr">
        <is>
          <t>提分书屋的店</t>
        </is>
      </c>
      <c r="N2623">
        <v>1382</v>
      </c>
      <c r="O2623">
        <v>4.76</v>
      </c>
      <c r="P2623">
        <v>3969</v>
      </c>
      <c r="Q2623" t="inlineStr">
        <is>
          <t>669b5bb65cf22c0001b591a6</t>
        </is>
      </c>
      <c r="R2623" t="inlineStr">
        <is>
          <t>🚫重复</t>
        </is>
      </c>
      <c r="S2623" t="inlineStr">
        <is>
          <t>中小学教辅/教材</t>
        </is>
      </c>
      <c r="T2623" t="inlineStr">
        <is>
          <t>2.74</t>
        </is>
      </c>
      <c r="U2623" s="3">
        <v>46112.78107638889</v>
      </c>
      <c r="V2623"/>
      <c r="W2623" s="3">
        <v>46110</v>
      </c>
      <c r="X2623" t="inlineStr">
        <is>
          <t>03</t>
        </is>
      </c>
      <c r="Y2623" t="inlineStr">
        <is>
          <t>2026-Q1</t>
        </is>
      </c>
    </row>
    <row r="2624" ht="38.25" customHeight="1">
      <c r="A2624" t="inlineStr">
        <is>
          <t>2026春季北师大版初中数学七八九年级上下册课件PPT教案试卷练习</t>
        </is>
      </c>
      <c r="B2624" t="inlineStr">
        <is>
          <t>recvfep4XqTU0M.jpg</t>
        </is>
      </c>
      <c r="C2624" s="2" t="str">
        <f>=HYPERLINK("https://xhslink.com/m/2gVwWvqDGIn", "https://xhslink.com/m/2gVwWvqDGIn")</f>
        <v>https://xhslink.com/m/2gVwWvqDGIn</v>
      </c>
      <c r="D2624"/>
      <c r="E2624">
        <v>2654</v>
      </c>
      <c r="F2624">
        <v>9.9</v>
      </c>
      <c r="G2624"/>
      <c r="H2624">
        <v>350</v>
      </c>
      <c r="I2624"/>
      <c r="J2624"/>
      <c r="K2624" t="inlineStr">
        <is>
          <t>初中数学资料</t>
        </is>
      </c>
      <c r="L2624"/>
      <c r="M2624" t="inlineStr">
        <is>
          <t>小小智慧的店</t>
        </is>
      </c>
      <c r="N2624">
        <v>8852</v>
      </c>
      <c r="O2624">
        <v>4.61</v>
      </c>
      <c r="P2624">
        <v>56000</v>
      </c>
      <c r="Q2624" t="inlineStr">
        <is>
          <t>676c125d96674d0001243ad3</t>
        </is>
      </c>
      <c r="R2624" t="inlineStr">
        <is>
          <t>🚫重复</t>
        </is>
      </c>
      <c r="S2624" t="inlineStr">
        <is>
          <t>中小学教辅/教材</t>
        </is>
      </c>
      <c r="T2624" t="inlineStr">
        <is>
          <t>0.30</t>
        </is>
      </c>
      <c r="U2624" s="3">
        <v>46112.78107638889</v>
      </c>
      <c r="V2624"/>
      <c r="W2624" s="3">
        <v>46110</v>
      </c>
      <c r="X2624" t="inlineStr">
        <is>
          <t>03</t>
        </is>
      </c>
      <c r="Y2624" t="inlineStr">
        <is>
          <t>2026-Q1</t>
        </is>
      </c>
    </row>
    <row r="2625" ht="38.25" customHeight="1">
      <c r="A2625" t="inlineStr">
        <is>
          <t>【人教版】初中数学三年的知识点总结35页 电子版pdf版</t>
        </is>
      </c>
      <c r="B2625" t="inlineStr">
        <is>
          <t>recvfep4XqksRm.jpg</t>
        </is>
      </c>
      <c r="C2625" s="2" t="str">
        <f>=HYPERLINK("https://xhslink.com/m/AQgYeydllhv", "https://xhslink.com/m/AQgYeydllhv")</f>
        <v>https://xhslink.com/m/AQgYeydllhv</v>
      </c>
      <c r="D2625"/>
      <c r="E2625">
        <v>2906</v>
      </c>
      <c r="F2625">
        <v>2.9</v>
      </c>
      <c r="G2625"/>
      <c r="H2625">
        <v>300</v>
      </c>
      <c r="I2625">
        <v>1000</v>
      </c>
      <c r="J2625"/>
      <c r="K2625" t="inlineStr">
        <is>
          <t>初中数学资料</t>
        </is>
      </c>
      <c r="L2625"/>
      <c r="M2625" t="inlineStr">
        <is>
          <t>心语老师的店</t>
        </is>
      </c>
      <c r="N2625">
        <v>9774</v>
      </c>
      <c r="O2625">
        <v>4.29</v>
      </c>
      <c r="P2625">
        <v>69000</v>
      </c>
      <c r="Q2625" t="inlineStr">
        <is>
          <t>684e0990e17b8a0001b32816</t>
        </is>
      </c>
      <c r="R2625" t="inlineStr">
        <is>
          <t>🚫重复</t>
        </is>
      </c>
      <c r="S2625" t="inlineStr">
        <is>
          <t>中小学教辅/教材</t>
        </is>
      </c>
      <c r="T2625" t="inlineStr">
        <is>
          <t>0.30</t>
        </is>
      </c>
      <c r="U2625" s="3">
        <v>46112.78107638889</v>
      </c>
      <c r="V2625"/>
      <c r="W2625" s="3">
        <v>46110</v>
      </c>
      <c r="X2625" t="inlineStr">
        <is>
          <t>03</t>
        </is>
      </c>
      <c r="Y2625" t="inlineStr">
        <is>
          <t>2026-Q1</t>
        </is>
      </c>
    </row>
    <row r="2626" ht="38.25" customHeight="1">
      <c r="A2626" t="inlineStr">
        <is>
          <t>2026人教版初中数学七八九年级上下册教案设计PPT课件试题试卷</t>
        </is>
      </c>
      <c r="B2626" t="inlineStr">
        <is>
          <t>recvfep4XqhRgA.jpg</t>
        </is>
      </c>
      <c r="C2626" s="2" t="str">
        <f>=HYPERLINK("https://xhslink.com/m/AJDxlfOBuzP", "https://xhslink.com/m/AJDxlfOBuzP")</f>
        <v>https://xhslink.com/m/AJDxlfOBuzP</v>
      </c>
      <c r="D2626"/>
      <c r="E2626">
        <v>4388</v>
      </c>
      <c r="F2626">
        <v>9.9</v>
      </c>
      <c r="G2626"/>
      <c r="H2626">
        <v>250</v>
      </c>
      <c r="I2626"/>
      <c r="J2626"/>
      <c r="K2626" t="inlineStr">
        <is>
          <t>初中数学资料</t>
        </is>
      </c>
      <c r="L2626"/>
      <c r="M2626" t="inlineStr">
        <is>
          <t>肖老师的店</t>
        </is>
      </c>
      <c r="N2626">
        <v>12000</v>
      </c>
      <c r="O2626">
        <v>4.61</v>
      </c>
      <c r="P2626">
        <v>74000</v>
      </c>
      <c r="Q2626" t="inlineStr">
        <is>
          <t>66d5cf77378c740001ac7a51</t>
        </is>
      </c>
      <c r="R2626" t="inlineStr">
        <is>
          <t>🚫重复</t>
        </is>
      </c>
      <c r="S2626" t="inlineStr">
        <is>
          <t>中小学教辅/教材</t>
        </is>
      </c>
      <c r="T2626" t="inlineStr">
        <is>
          <t>0.37</t>
        </is>
      </c>
      <c r="U2626" s="3">
        <v>46112.78107638889</v>
      </c>
      <c r="V2626"/>
      <c r="W2626" s="3">
        <v>46110</v>
      </c>
      <c r="X2626" t="inlineStr">
        <is>
          <t>03</t>
        </is>
      </c>
      <c r="Y2626" t="inlineStr">
        <is>
          <t>2026-Q1</t>
        </is>
      </c>
    </row>
    <row r="2627" ht="38.25" customHeight="1">
      <c r="A2627" t="inlineStr">
        <is>
          <t>初中/高中教资笔试科目三历年真题试题</t>
        </is>
      </c>
      <c r="B2627" t="inlineStr">
        <is>
          <t>recvfep4XqShLN.jpg</t>
        </is>
      </c>
      <c r="C2627" s="2" t="str">
        <f>=HYPERLINK("https://xhslink.com/m/3dtrlGZdL5X", "https://xhslink.com/m/3dtrlGZdL5X")</f>
        <v>https://xhslink.com/m/3dtrlGZdL5X</v>
      </c>
      <c r="D2627"/>
      <c r="E2627">
        <v>4639</v>
      </c>
      <c r="F2627">
        <v>3.8</v>
      </c>
      <c r="G2627"/>
      <c r="H2627">
        <v>200</v>
      </c>
      <c r="I2627"/>
      <c r="J2627"/>
      <c r="K2627" t="inlineStr">
        <is>
          <t>初中数学资料</t>
        </is>
      </c>
      <c r="L2627" t="inlineStr">
        <is>
          <t>🔥低粉爆款</t>
        </is>
      </c>
      <c r="M2627" t="inlineStr">
        <is>
          <t>过过考试资料库的店</t>
        </is>
      </c>
      <c r="N2627">
        <v>1211</v>
      </c>
      <c r="O2627">
        <v>4.4</v>
      </c>
      <c r="P2627">
        <v>7085</v>
      </c>
      <c r="Q2627" t="inlineStr">
        <is>
          <t>6655ab36b4ff490001f45bc4</t>
        </is>
      </c>
      <c r="R2627" t="inlineStr">
        <is>
          <t>🚫重复</t>
        </is>
      </c>
      <c r="S2627" t="inlineStr">
        <is>
          <t>教资资料</t>
        </is>
      </c>
      <c r="T2627" t="inlineStr">
        <is>
          <t>3.83</t>
        </is>
      </c>
      <c r="U2627" s="3">
        <v>46112.78107638889</v>
      </c>
      <c r="V2627"/>
      <c r="W2627" s="3">
        <v>46110</v>
      </c>
      <c r="X2627" t="inlineStr">
        <is>
          <t>03</t>
        </is>
      </c>
      <c r="Y2627" t="inlineStr">
        <is>
          <t>2026-Q1</t>
        </is>
      </c>
    </row>
    <row r="2628" ht="38.25" customHeight="1">
      <c r="A2628" t="inlineStr">
        <is>
          <t>初中练习单元期中期末月考检测卷初一初二初三多版本【电子版】</t>
        </is>
      </c>
      <c r="B2628" t="inlineStr">
        <is>
          <t>recvfep4XqpfYm.jpg</t>
        </is>
      </c>
      <c r="C2628" s="2" t="str">
        <f>=HYPERLINK("https://xhslink.com/m/48S7KUWE6q1", "https://xhslink.com/m/48S7KUWE6q1")</f>
        <v>https://xhslink.com/m/48S7KUWE6q1</v>
      </c>
      <c r="D2628"/>
      <c r="E2628">
        <v>8264</v>
      </c>
      <c r="F2628">
        <v>4.9</v>
      </c>
      <c r="G2628"/>
      <c r="H2628">
        <v>500</v>
      </c>
      <c r="I2628"/>
      <c r="J2628"/>
      <c r="K2628" t="inlineStr">
        <is>
          <t>初中数学资料</t>
        </is>
      </c>
      <c r="L2628" t="inlineStr">
        <is>
          <t>🔥低粉爆款</t>
        </is>
      </c>
      <c r="M2628" t="inlineStr">
        <is>
          <t>周老师的资料库的店</t>
        </is>
      </c>
      <c r="N2628">
        <v>1702</v>
      </c>
      <c r="O2628">
        <v>4.58</v>
      </c>
      <c r="P2628">
        <v>14000</v>
      </c>
      <c r="Q2628" t="inlineStr">
        <is>
          <t>683e925b3aa6a600158defa7</t>
        </is>
      </c>
      <c r="R2628" t="inlineStr">
        <is>
          <t>🚫重复</t>
        </is>
      </c>
      <c r="S2628" t="inlineStr">
        <is>
          <t>中小学教辅/教材</t>
        </is>
      </c>
      <c r="T2628" t="inlineStr">
        <is>
          <t>4.86</t>
        </is>
      </c>
      <c r="U2628" s="3">
        <v>46112.78107638889</v>
      </c>
      <c r="V2628"/>
      <c r="W2628" s="3">
        <v>46110</v>
      </c>
      <c r="X2628" t="inlineStr">
        <is>
          <t>03</t>
        </is>
      </c>
      <c r="Y2628" t="inlineStr">
        <is>
          <t>2026-Q1</t>
        </is>
      </c>
    </row>
    <row r="2629" ht="38.25" customHeight="1">
      <c r="A2629" t="inlineStr">
        <is>
          <t>2026  8（下）数学每日一道压轴题电子版（含答案）</t>
        </is>
      </c>
      <c r="B2629" t="inlineStr">
        <is>
          <t>recvfep4Xq32Wq.jpg</t>
        </is>
      </c>
      <c r="C2629" s="2" t="str">
        <f>=HYPERLINK("https://xhslink.com/m/7hT4VmnZq6L", "https://xhslink.com/m/7hT4VmnZq6L")</f>
        <v>https://xhslink.com/m/7hT4VmnZq6L</v>
      </c>
      <c r="D2629"/>
      <c r="E2629">
        <v>4361</v>
      </c>
      <c r="F2629">
        <v>39.9</v>
      </c>
      <c r="G2629"/>
      <c r="H2629">
        <v>100</v>
      </c>
      <c r="I2629"/>
      <c r="J2629"/>
      <c r="K2629" t="inlineStr">
        <is>
          <t>小学数学资料</t>
        </is>
      </c>
      <c r="L2629"/>
      <c r="M2629" t="inlineStr">
        <is>
          <t>学海笔记（收学员）的店</t>
        </is>
      </c>
      <c r="N2629">
        <v>58000</v>
      </c>
      <c r="O2629">
        <v>4.37</v>
      </c>
      <c r="P2629">
        <v>25000</v>
      </c>
      <c r="Q2629" t="inlineStr">
        <is>
          <t>673320b14a986500018d640c</t>
        </is>
      </c>
      <c r="R2629"/>
      <c r="S2629" t="inlineStr">
        <is>
          <t>中小学教辅/教材</t>
        </is>
      </c>
      <c r="T2629" t="inlineStr">
        <is>
          <t>0.08</t>
        </is>
      </c>
      <c r="U2629" s="3">
        <v>46112.78107638889</v>
      </c>
      <c r="V2629"/>
      <c r="W2629" s="3">
        <v>46110</v>
      </c>
      <c r="X2629" t="inlineStr">
        <is>
          <t>03</t>
        </is>
      </c>
      <c r="Y2629" t="inlineStr">
        <is>
          <t>2026-Q1</t>
        </is>
      </c>
    </row>
    <row r="2630" ht="38.25" customHeight="1">
      <c r="A2630" t="inlineStr">
        <is>
          <t>数学自主学习训练 胡洋·著  线装书局出版社</t>
        </is>
      </c>
      <c r="B2630" t="inlineStr">
        <is>
          <t>recvfep4XqWEv5.jpg</t>
        </is>
      </c>
      <c r="C2630" s="2" t="str">
        <f>=HYPERLINK("https://xhslink.com/m/62m8QAOTTsR", "https://xhslink.com/m/62m8QAOTTsR")</f>
        <v>https://xhslink.com/m/62m8QAOTTsR</v>
      </c>
      <c r="D2630"/>
      <c r="E2630">
        <v>6801</v>
      </c>
      <c r="F2630">
        <v>58</v>
      </c>
      <c r="G2630"/>
      <c r="H2630">
        <v>200</v>
      </c>
      <c r="I2630">
        <v>1000</v>
      </c>
      <c r="J2630"/>
      <c r="K2630" t="inlineStr">
        <is>
          <t>小学数学资料</t>
        </is>
      </c>
      <c r="L2630"/>
      <c r="M2630" t="inlineStr">
        <is>
          <t>数学玩家胡老师咨询的店</t>
        </is>
      </c>
      <c r="N2630">
        <v>165000</v>
      </c>
      <c r="O2630">
        <v>4.72</v>
      </c>
      <c r="P2630">
        <v>12000</v>
      </c>
      <c r="Q2630" t="inlineStr">
        <is>
          <t>665590baa29a70000191bf49</t>
        </is>
      </c>
      <c r="R2630" t="inlineStr">
        <is>
          <t>🚫重复</t>
        </is>
      </c>
      <c r="S2630" t="inlineStr">
        <is>
          <t>中小学教辅/教材</t>
        </is>
      </c>
      <c r="T2630" t="inlineStr">
        <is>
          <t>0.04</t>
        </is>
      </c>
      <c r="U2630" s="3">
        <v>46112.78107638889</v>
      </c>
      <c r="V2630"/>
      <c r="W2630" s="3">
        <v>46110</v>
      </c>
      <c r="X2630" t="inlineStr">
        <is>
          <t>03</t>
        </is>
      </c>
      <c r="Y2630" t="inlineStr">
        <is>
          <t>2026-Q1</t>
        </is>
      </c>
    </row>
    <row r="2631" ht="38.25" customHeight="1">
      <c r="A2631" t="inlineStr">
        <is>
          <t>2026新北师大版小学数学一二三四五六年级上下册教学PPT课件教案</t>
        </is>
      </c>
      <c r="B2631" t="inlineStr">
        <is>
          <t>recvfep4XqXEcn.jpg</t>
        </is>
      </c>
      <c r="C2631" s="2" t="str">
        <f>=HYPERLINK("https://xhslink.com/m/8sd2MNyJHqc", "https://xhslink.com/m/8sd2MNyJHqc")</f>
        <v>https://xhslink.com/m/8sd2MNyJHqc</v>
      </c>
      <c r="D2631"/>
      <c r="E2631">
        <v>2115</v>
      </c>
      <c r="F2631">
        <v>9.9</v>
      </c>
      <c r="G2631"/>
      <c r="H2631">
        <v>100</v>
      </c>
      <c r="I2631"/>
      <c r="J2631"/>
      <c r="K2631" t="inlineStr">
        <is>
          <t>小学数学资料</t>
        </is>
      </c>
      <c r="L2631"/>
      <c r="M2631" t="inlineStr">
        <is>
          <t>小小智慧的店</t>
        </is>
      </c>
      <c r="N2631">
        <v>8852</v>
      </c>
      <c r="O2631">
        <v>4.61</v>
      </c>
      <c r="P2631">
        <v>56000</v>
      </c>
      <c r="Q2631" t="inlineStr">
        <is>
          <t>678b832b5ed7270001f97cc5</t>
        </is>
      </c>
      <c r="R2631" t="inlineStr">
        <is>
          <t>🚫重复</t>
        </is>
      </c>
      <c r="S2631" t="inlineStr">
        <is>
          <t>中小学教辅/教材</t>
        </is>
      </c>
      <c r="T2631" t="inlineStr">
        <is>
          <t>0.24</t>
        </is>
      </c>
      <c r="U2631" s="3">
        <v>46112.78107638889</v>
      </c>
      <c r="V2631"/>
      <c r="W2631" s="3">
        <v>46110</v>
      </c>
      <c r="X2631" t="inlineStr">
        <is>
          <t>03</t>
        </is>
      </c>
      <c r="Y2631" t="inlineStr">
        <is>
          <t>2026-Q1</t>
        </is>
      </c>
    </row>
    <row r="2632" ht="38.25" customHeight="1">
      <c r="A2632" t="inlineStr">
        <is>
          <t>2026北师大版小学数学一二三四五六年级上下册教案课件ppt试题</t>
        </is>
      </c>
      <c r="B2632" t="inlineStr">
        <is>
          <t>recvfep4XqZh8u.jpg</t>
        </is>
      </c>
      <c r="C2632" s="2" t="str">
        <f>=HYPERLINK("https://xhslink.com/m/7drvdlVZNsR", "https://xhslink.com/m/7drvdlVZNsR")</f>
        <v>https://xhslink.com/m/7drvdlVZNsR</v>
      </c>
      <c r="D2632"/>
      <c r="E2632">
        <v>4687</v>
      </c>
      <c r="F2632">
        <v>9.9</v>
      </c>
      <c r="G2632"/>
      <c r="H2632">
        <v>550</v>
      </c>
      <c r="I2632"/>
      <c r="J2632"/>
      <c r="K2632" t="inlineStr">
        <is>
          <t>小学数学资料</t>
        </is>
      </c>
      <c r="L2632"/>
      <c r="M2632" t="inlineStr">
        <is>
          <t>肖老师的店</t>
        </is>
      </c>
      <c r="N2632">
        <v>12000</v>
      </c>
      <c r="O2632">
        <v>4.61</v>
      </c>
      <c r="P2632">
        <v>74000</v>
      </c>
      <c r="Q2632" t="inlineStr">
        <is>
          <t>674d81e87473100001675464</t>
        </is>
      </c>
      <c r="R2632" t="inlineStr">
        <is>
          <t>🚫重复</t>
        </is>
      </c>
      <c r="S2632" t="inlineStr">
        <is>
          <t>中小学教辅/教材</t>
        </is>
      </c>
      <c r="T2632" t="inlineStr">
        <is>
          <t>0.39</t>
        </is>
      </c>
      <c r="U2632" s="3">
        <v>46112.78107638889</v>
      </c>
      <c r="V2632"/>
      <c r="W2632" s="3">
        <v>46110</v>
      </c>
      <c r="X2632" t="inlineStr">
        <is>
          <t>03</t>
        </is>
      </c>
      <c r="Y2632" t="inlineStr">
        <is>
          <t>2026-Q1</t>
        </is>
      </c>
    </row>
    <row r="2633" ht="38.25" customHeight="1">
      <c r="A2633" t="inlineStr">
        <is>
          <t>2026春季新版苏教版小学数学一二三四五六年级上下册课件PPT教案</t>
        </is>
      </c>
      <c r="B2633" t="inlineStr">
        <is>
          <t>recvfep4XqST8c.jpg</t>
        </is>
      </c>
      <c r="C2633" s="2" t="str">
        <f>=HYPERLINK("https://xhslink.com/m/6honNBdAqXl", "https://xhslink.com/m/6honNBdAqXl")</f>
        <v>https://xhslink.com/m/6honNBdAqXl</v>
      </c>
      <c r="D2633"/>
      <c r="E2633">
        <v>3084</v>
      </c>
      <c r="F2633">
        <v>9.9</v>
      </c>
      <c r="G2633"/>
      <c r="H2633">
        <v>350</v>
      </c>
      <c r="I2633"/>
      <c r="J2633"/>
      <c r="K2633" t="inlineStr">
        <is>
          <t>小学数学资料</t>
        </is>
      </c>
      <c r="L2633"/>
      <c r="M2633" t="inlineStr">
        <is>
          <t>小小智慧的店</t>
        </is>
      </c>
      <c r="N2633">
        <v>8852</v>
      </c>
      <c r="O2633">
        <v>4.61</v>
      </c>
      <c r="P2633">
        <v>56000</v>
      </c>
      <c r="Q2633" t="inlineStr">
        <is>
          <t>67614dffb1267e00018f8182</t>
        </is>
      </c>
      <c r="R2633" t="inlineStr">
        <is>
          <t>🚫重复</t>
        </is>
      </c>
      <c r="S2633" t="inlineStr">
        <is>
          <t>中小学教辅/教材</t>
        </is>
      </c>
      <c r="T2633" t="inlineStr">
        <is>
          <t>0.35</t>
        </is>
      </c>
      <c r="U2633" s="3">
        <v>46112.78107638889</v>
      </c>
      <c r="V2633"/>
      <c r="W2633" s="3">
        <v>46110</v>
      </c>
      <c r="X2633" t="inlineStr">
        <is>
          <t>03</t>
        </is>
      </c>
      <c r="Y2633" t="inlineStr">
        <is>
          <t>2026-Q1</t>
        </is>
      </c>
    </row>
    <row r="2634" ht="38.25" customHeight="1">
      <c r="A2634" t="inlineStr">
        <is>
          <t>【汤匙老师】数学有方法</t>
        </is>
      </c>
      <c r="B2634" t="inlineStr">
        <is>
          <t>recvfep4XqxPqM.jpg</t>
        </is>
      </c>
      <c r="C2634" s="2" t="str">
        <f>=HYPERLINK("https://xhslink.com/m/90l3rUYeqSg", "https://xhslink.com/m/90l3rUYeqSg")</f>
        <v>https://xhslink.com/m/90l3rUYeqSg</v>
      </c>
      <c r="D2634"/>
      <c r="E2634">
        <v>1340</v>
      </c>
      <c r="F2634">
        <v>39</v>
      </c>
      <c r="G2634"/>
      <c r="H2634">
        <v>100</v>
      </c>
      <c r="I2634">
        <v>1000</v>
      </c>
      <c r="J2634"/>
      <c r="K2634" t="inlineStr">
        <is>
          <t>小学数学资料</t>
        </is>
      </c>
      <c r="L2634" t="inlineStr">
        <is>
          <t>🔥低粉爆款</t>
        </is>
      </c>
      <c r="M2634" t="inlineStr">
        <is>
          <t>微橡英语图书的店</t>
        </is>
      </c>
      <c r="N2634">
        <v>146</v>
      </c>
      <c r="O2634">
        <v>4.55</v>
      </c>
      <c r="P2634">
        <v>1765</v>
      </c>
      <c r="Q2634" t="inlineStr">
        <is>
          <t>695b6417bd92f50001975cc6</t>
        </is>
      </c>
      <c r="R2634"/>
      <c r="S2634" t="inlineStr">
        <is>
          <t>老师资料</t>
        </is>
      </c>
      <c r="T2634" t="inlineStr">
        <is>
          <t>9.18</t>
        </is>
      </c>
      <c r="U2634" s="3">
        <v>46112.78107638889</v>
      </c>
      <c r="V2634"/>
      <c r="W2634" s="3">
        <v>46110</v>
      </c>
      <c r="X2634" t="inlineStr">
        <is>
          <t>03</t>
        </is>
      </c>
      <c r="Y2634" t="inlineStr">
        <is>
          <t>2026-Q1</t>
        </is>
      </c>
    </row>
    <row r="2635" ht="38.25" customHeight="1">
      <c r="A2635" t="inlineStr">
        <is>
          <t>小学数学一二三四五六年级上下册口算计算竖式脱式每日一练电子版</t>
        </is>
      </c>
      <c r="B2635" t="inlineStr">
        <is>
          <t>recvfep4Xq68wE.jpg</t>
        </is>
      </c>
      <c r="C2635" s="2" t="str">
        <f>=HYPERLINK("https://xhslink.com/m/1pgDTzB5APX", "https://xhslink.com/m/1pgDTzB5APX")</f>
        <v>https://xhslink.com/m/1pgDTzB5APX</v>
      </c>
      <c r="D2635"/>
      <c r="E2635">
        <v>903</v>
      </c>
      <c r="F2635">
        <v>5.99</v>
      </c>
      <c r="G2635"/>
      <c r="H2635">
        <v>150</v>
      </c>
      <c r="I2635"/>
      <c r="J2635"/>
      <c r="K2635" t="inlineStr">
        <is>
          <t>小学数学资料</t>
        </is>
      </c>
      <c r="L2635"/>
      <c r="M2635" t="inlineStr">
        <is>
          <t>秦老师状元笔记的店</t>
        </is>
      </c>
      <c r="N2635">
        <v>1385</v>
      </c>
      <c r="O2635">
        <v>4.55</v>
      </c>
      <c r="P2635">
        <v>8078</v>
      </c>
      <c r="Q2635" t="inlineStr">
        <is>
          <t>682ae7ad35e1e40001ef3479</t>
        </is>
      </c>
      <c r="R2635"/>
      <c r="S2635" t="inlineStr">
        <is>
          <t>中小学教辅/教材</t>
        </is>
      </c>
      <c r="T2635" t="inlineStr">
        <is>
          <t>0.65</t>
        </is>
      </c>
      <c r="U2635" s="3">
        <v>46112.78107638889</v>
      </c>
      <c r="V2635"/>
      <c r="W2635" s="3">
        <v>46110</v>
      </c>
      <c r="X2635" t="inlineStr">
        <is>
          <t>03</t>
        </is>
      </c>
      <c r="Y2635" t="inlineStr">
        <is>
          <t>2026-Q1</t>
        </is>
      </c>
    </row>
    <row r="2636" ht="38.25" customHeight="1">
      <c r="A2636" t="inlineStr">
        <is>
          <t>2026春新人教版小学数学动画视频</t>
        </is>
      </c>
      <c r="B2636" t="inlineStr">
        <is>
          <t>recvfep4XqJHRk.jpg</t>
        </is>
      </c>
      <c r="C2636" s="2" t="str">
        <f>=HYPERLINK("https://xhslink.com/m/3a2z5fGFm7q", "https://xhslink.com/m/3a2z5fGFm7q")</f>
        <v>https://xhslink.com/m/3a2z5fGFm7q</v>
      </c>
      <c r="D2636"/>
      <c r="E2636">
        <v>1781</v>
      </c>
      <c r="F2636">
        <v>9.99</v>
      </c>
      <c r="G2636"/>
      <c r="H2636">
        <v>950</v>
      </c>
      <c r="I2636"/>
      <c r="J2636"/>
      <c r="K2636" t="inlineStr">
        <is>
          <t>小学数学资料</t>
        </is>
      </c>
      <c r="L2636"/>
      <c r="M2636" t="inlineStr">
        <is>
          <t>数学丁丁乐园的店</t>
        </is>
      </c>
      <c r="N2636">
        <v>2463</v>
      </c>
      <c r="O2636">
        <v>4.43</v>
      </c>
      <c r="P2636">
        <v>4483</v>
      </c>
      <c r="Q2636" t="inlineStr">
        <is>
          <t>694be07cf489e4000173e66f</t>
        </is>
      </c>
      <c r="R2636"/>
      <c r="S2636" t="inlineStr">
        <is>
          <t>中小学教辅/教材</t>
        </is>
      </c>
      <c r="T2636" t="inlineStr">
        <is>
          <t>0.72</t>
        </is>
      </c>
      <c r="U2636" s="3">
        <v>46112.78107638889</v>
      </c>
      <c r="V2636"/>
      <c r="W2636" s="3">
        <v>46110</v>
      </c>
      <c r="X2636" t="inlineStr">
        <is>
          <t>03</t>
        </is>
      </c>
      <c r="Y2636" t="inlineStr">
        <is>
          <t>2026-Q1</t>
        </is>
      </c>
    </row>
    <row r="2637" ht="38.25" customHeight="1">
      <c r="A2637" t="inlineStr">
        <is>
          <t>小升初总复习资料电子版语文数学英语知识点汇总专项训练小升初</t>
        </is>
      </c>
      <c r="B2637" t="inlineStr">
        <is>
          <t>recvfep4XquwjZ.jpg</t>
        </is>
      </c>
      <c r="C2637" s="2" t="str">
        <f>=HYPERLINK("https://xhslink.com/m/764vZGw29sO", "https://xhslink.com/m/764vZGw29sO")</f>
        <v>https://xhslink.com/m/764vZGw29sO</v>
      </c>
      <c r="D2637"/>
      <c r="E2637">
        <v>4514</v>
      </c>
      <c r="F2637">
        <v>15.8</v>
      </c>
      <c r="G2637"/>
      <c r="H2637">
        <v>100</v>
      </c>
      <c r="I2637"/>
      <c r="J2637"/>
      <c r="K2637" t="inlineStr">
        <is>
          <t>小学数学资料</t>
        </is>
      </c>
      <c r="L2637"/>
      <c r="M2637" t="inlineStr">
        <is>
          <t>中考提分宝库的店</t>
        </is>
      </c>
      <c r="N2637">
        <v>22000</v>
      </c>
      <c r="O2637">
        <v>4.24</v>
      </c>
      <c r="P2637">
        <v>80000</v>
      </c>
      <c r="Q2637" t="inlineStr">
        <is>
          <t>677b139044e48100012c4561</t>
        </is>
      </c>
      <c r="R2637" t="inlineStr">
        <is>
          <t>🚫重复</t>
        </is>
      </c>
      <c r="S2637" t="inlineStr">
        <is>
          <t>中小学教辅/教材</t>
        </is>
      </c>
      <c r="T2637" t="inlineStr">
        <is>
          <t>0.21</t>
        </is>
      </c>
      <c r="U2637" s="3">
        <v>46112.78107638889</v>
      </c>
      <c r="V2637"/>
      <c r="W2637" s="3">
        <v>46110</v>
      </c>
      <c r="X2637" t="inlineStr">
        <is>
          <t>03</t>
        </is>
      </c>
      <c r="Y2637" t="inlineStr">
        <is>
          <t>2026-Q1</t>
        </is>
      </c>
    </row>
    <row r="2638" ht="38.25" customHeight="1">
      <c r="A2638" t="inlineStr">
        <is>
          <t>18(2026新版)一年级下册数学《每日一练30天》综合提优</t>
        </is>
      </c>
      <c r="B2638" t="inlineStr">
        <is>
          <t>recvfep4XqZmP8.jpg</t>
        </is>
      </c>
      <c r="C2638" s="2" t="str">
        <f>=HYPERLINK("https://xhslink.com/m/5AXptJRD54y", "https://xhslink.com/m/5AXptJRD54y")</f>
        <v>https://xhslink.com/m/5AXptJRD54y</v>
      </c>
      <c r="D2638"/>
      <c r="E2638">
        <v>920</v>
      </c>
      <c r="F2638">
        <v>3.5</v>
      </c>
      <c r="G2638"/>
      <c r="H2638">
        <v>200</v>
      </c>
      <c r="I2638"/>
      <c r="J2638"/>
      <c r="K2638" t="inlineStr">
        <is>
          <t>小学数学资料</t>
        </is>
      </c>
      <c r="L2638"/>
      <c r="M2638" t="inlineStr">
        <is>
          <t>波波糖老师的资料库🍬的店</t>
        </is>
      </c>
      <c r="N2638">
        <v>12000</v>
      </c>
      <c r="O2638">
        <v>4.63</v>
      </c>
      <c r="P2638">
        <v>26000</v>
      </c>
      <c r="Q2638" t="inlineStr">
        <is>
          <t>69943ad0e2c5ca0001195699</t>
        </is>
      </c>
      <c r="R2638"/>
      <c r="S2638" t="inlineStr">
        <is>
          <t>中小学教辅/教材</t>
        </is>
      </c>
      <c r="T2638" t="inlineStr">
        <is>
          <t>0.08</t>
        </is>
      </c>
      <c r="U2638" s="3">
        <v>46112.78107638889</v>
      </c>
      <c r="V2638"/>
      <c r="W2638" s="3">
        <v>46110</v>
      </c>
      <c r="X2638" t="inlineStr">
        <is>
          <t>03</t>
        </is>
      </c>
      <c r="Y2638" t="inlineStr">
        <is>
          <t>2026-Q1</t>
        </is>
      </c>
    </row>
    <row r="2639" ht="38.25" customHeight="1">
      <c r="A2639" t="inlineStr">
        <is>
          <t>人教版小学数学一二三四五六年级上册下册优质公开课视频ppt教案</t>
        </is>
      </c>
      <c r="B2639" t="inlineStr">
        <is>
          <t>recvfep4XqV32F.jpg</t>
        </is>
      </c>
      <c r="C2639" s="2" t="str">
        <f>=HYPERLINK("https://xhslink.com/m/1Rgq6unC2sq", "https://xhslink.com/m/1Rgq6unC2sq")</f>
        <v>https://xhslink.com/m/1Rgq6unC2sq</v>
      </c>
      <c r="D2639"/>
      <c r="E2639">
        <v>3264</v>
      </c>
      <c r="F2639">
        <v>5</v>
      </c>
      <c r="G2639"/>
      <c r="H2639">
        <v>150</v>
      </c>
      <c r="I2639"/>
      <c r="J2639"/>
      <c r="K2639" t="inlineStr">
        <is>
          <t>小学数学资料</t>
        </is>
      </c>
      <c r="L2639"/>
      <c r="M2639" t="inlineStr">
        <is>
          <t>如意课堂的店</t>
        </is>
      </c>
      <c r="N2639">
        <v>3382</v>
      </c>
      <c r="O2639">
        <v>4.55</v>
      </c>
      <c r="P2639">
        <v>4854</v>
      </c>
      <c r="Q2639" t="inlineStr">
        <is>
          <t>6864ea854d48950001c26879</t>
        </is>
      </c>
      <c r="R2639"/>
      <c r="S2639" t="inlineStr">
        <is>
          <t>中小学教辅/教材</t>
        </is>
      </c>
      <c r="T2639" t="inlineStr">
        <is>
          <t>0.97</t>
        </is>
      </c>
      <c r="U2639" s="3">
        <v>46112.78107638889</v>
      </c>
      <c r="V2639"/>
      <c r="W2639" s="3">
        <v>46110</v>
      </c>
      <c r="X2639" t="inlineStr">
        <is>
          <t>03</t>
        </is>
      </c>
      <c r="Y2639" t="inlineStr">
        <is>
          <t>2026-Q1</t>
        </is>
      </c>
    </row>
    <row r="2640" ht="38.25" customHeight="1">
      <c r="A2640" t="inlineStr">
        <is>
          <t>2026春季人教版小学数学一二三四五六年级上下册课件教案核心素养</t>
        </is>
      </c>
      <c r="B2640" t="inlineStr">
        <is>
          <t>recvfep4XqrYJ7.jpg</t>
        </is>
      </c>
      <c r="C2640" s="2" t="str">
        <f>=HYPERLINK("https://xhslink.com/m/YMYqhBUMAF", "https://xhslink.com/m/YMYqhBUMAF")</f>
        <v>https://xhslink.com/m/YMYqhBUMAF</v>
      </c>
      <c r="D2640"/>
      <c r="E2640">
        <v>2521</v>
      </c>
      <c r="F2640">
        <v>9.9</v>
      </c>
      <c r="G2640"/>
      <c r="H2640">
        <v>800</v>
      </c>
      <c r="I2640"/>
      <c r="J2640"/>
      <c r="K2640" t="inlineStr">
        <is>
          <t>小学数学资料</t>
        </is>
      </c>
      <c r="L2640"/>
      <c r="M2640" t="inlineStr">
        <is>
          <t>小小智慧的店</t>
        </is>
      </c>
      <c r="N2640">
        <v>8852</v>
      </c>
      <c r="O2640">
        <v>4.61</v>
      </c>
      <c r="P2640">
        <v>56000</v>
      </c>
      <c r="Q2640" t="inlineStr">
        <is>
          <t>674a48d87473100001507aaa</t>
        </is>
      </c>
      <c r="R2640" t="inlineStr">
        <is>
          <t>🚫重复</t>
        </is>
      </c>
      <c r="S2640" t="inlineStr">
        <is>
          <t>中小学教辅/教材</t>
        </is>
      </c>
      <c r="T2640" t="inlineStr">
        <is>
          <t>0.28</t>
        </is>
      </c>
      <c r="U2640" s="3">
        <v>46112.78107638889</v>
      </c>
      <c r="V2640"/>
      <c r="W2640" s="3">
        <v>46110</v>
      </c>
      <c r="X2640" t="inlineStr">
        <is>
          <t>03</t>
        </is>
      </c>
      <c r="Y2640" t="inlineStr">
        <is>
          <t>2026-Q1</t>
        </is>
      </c>
    </row>
    <row r="2641" ht="38.25" customHeight="1">
      <c r="A2641" t="inlineStr">
        <is>
          <t>2026春人教版三年级下册数学课件PPT教案笔记练习题试卷资料包</t>
        </is>
      </c>
      <c r="B2641" t="inlineStr">
        <is>
          <t>recvfep4XqkgkD.jpg</t>
        </is>
      </c>
      <c r="C2641" s="2" t="str">
        <f>=HYPERLINK("https://xhslink.com/m/55pkufM9Ufu", "https://xhslink.com/m/55pkufM9Ufu")</f>
        <v>https://xhslink.com/m/55pkufM9Ufu</v>
      </c>
      <c r="D2641"/>
      <c r="E2641">
        <v>1635</v>
      </c>
      <c r="F2641">
        <v>1</v>
      </c>
      <c r="G2641"/>
      <c r="H2641">
        <v>1500</v>
      </c>
      <c r="I2641"/>
      <c r="J2641"/>
      <c r="K2641" t="inlineStr">
        <is>
          <t>小学数学资料</t>
        </is>
      </c>
      <c r="L2641"/>
      <c r="M2641" t="inlineStr">
        <is>
          <t>大赚二皮的店</t>
        </is>
      </c>
      <c r="N2641">
        <v>1618</v>
      </c>
      <c r="O2641">
        <v>4.52</v>
      </c>
      <c r="P2641">
        <v>29000</v>
      </c>
      <c r="Q2641" t="inlineStr">
        <is>
          <t>698974fca60bac0001435457</t>
        </is>
      </c>
      <c r="R2641" t="inlineStr">
        <is>
          <t>🚫重复</t>
        </is>
      </c>
      <c r="S2641" t="inlineStr">
        <is>
          <t>中小学教辅/教材</t>
        </is>
      </c>
      <c r="T2641" t="inlineStr">
        <is>
          <t>1.01</t>
        </is>
      </c>
      <c r="U2641" s="3">
        <v>46112.78107638889</v>
      </c>
      <c r="V2641"/>
      <c r="W2641" s="3">
        <v>46110</v>
      </c>
      <c r="X2641" t="inlineStr">
        <is>
          <t>03</t>
        </is>
      </c>
      <c r="Y2641" t="inlineStr">
        <is>
          <t>2026-Q1</t>
        </is>
      </c>
    </row>
    <row r="2642" ht="38.25" customHeight="1">
      <c r="A2642" t="inlineStr">
        <is>
          <t>2026初中语文数学英语物理化生物史地道法知识点总结电子版多版本</t>
        </is>
      </c>
      <c r="B2642" t="inlineStr">
        <is>
          <t>recvfep4XqKl0y.jpg</t>
        </is>
      </c>
      <c r="C2642" s="2" t="str">
        <f>=HYPERLINK("https://xhslink.com/m/6wllCF4Ghe5", "https://xhslink.com/m/6wllCF4Ghe5")</f>
        <v>https://xhslink.com/m/6wllCF4Ghe5</v>
      </c>
      <c r="D2642"/>
      <c r="E2642">
        <v>26000</v>
      </c>
      <c r="F2642">
        <v>59.8</v>
      </c>
      <c r="G2642"/>
      <c r="H2642">
        <v>450</v>
      </c>
      <c r="I2642">
        <v>3000</v>
      </c>
      <c r="J2642"/>
      <c r="K2642" t="inlineStr">
        <is>
          <t>中考资料</t>
        </is>
      </c>
      <c r="L2642"/>
      <c r="M2642" t="inlineStr">
        <is>
          <t>赵老师的资料库的店</t>
        </is>
      </c>
      <c r="N2642">
        <v>16000</v>
      </c>
      <c r="O2642">
        <v>4.41</v>
      </c>
      <c r="P2642">
        <v>52000</v>
      </c>
      <c r="Q2642" t="inlineStr">
        <is>
          <t>672cd74310adb50001c57260</t>
        </is>
      </c>
      <c r="R2642" t="inlineStr">
        <is>
          <t>🚫重复</t>
        </is>
      </c>
      <c r="S2642" t="inlineStr">
        <is>
          <t>中小学教辅/教材</t>
        </is>
      </c>
      <c r="T2642" t="inlineStr">
        <is>
          <t>1.62</t>
        </is>
      </c>
      <c r="U2642" s="3">
        <v>46112.78107638889</v>
      </c>
      <c r="V2642"/>
      <c r="W2642" s="3">
        <v>46110</v>
      </c>
      <c r="X2642" t="inlineStr">
        <is>
          <t>03</t>
        </is>
      </c>
      <c r="Y2642" t="inlineStr">
        <is>
          <t>2026-Q1</t>
        </is>
      </c>
    </row>
    <row r="2643" ht="38.25" customHeight="1">
      <c r="A2643" t="inlineStr">
        <is>
          <t>2026中考英语高频单词短语句型语法完型填空作文复习资料电子版</t>
        </is>
      </c>
      <c r="B2643" t="inlineStr">
        <is>
          <t>recvfep4Xqwg4I.jpg</t>
        </is>
      </c>
      <c r="C2643" s="2" t="str">
        <f>=HYPERLINK("https://xhslink.com/m/6iMZAokYmod", "https://xhslink.com/m/6iMZAokYmod")</f>
        <v>https://xhslink.com/m/6iMZAokYmod</v>
      </c>
      <c r="D2643"/>
      <c r="E2643">
        <v>3787</v>
      </c>
      <c r="F2643">
        <v>19.9</v>
      </c>
      <c r="G2643"/>
      <c r="H2643">
        <v>900</v>
      </c>
      <c r="I2643"/>
      <c r="J2643"/>
      <c r="K2643" t="inlineStr">
        <is>
          <t>中考资料</t>
        </is>
      </c>
      <c r="L2643"/>
      <c r="M2643" t="inlineStr">
        <is>
          <t>林老师教英语的店</t>
        </is>
      </c>
      <c r="N2643">
        <v>5024</v>
      </c>
      <c r="O2643">
        <v>4.35</v>
      </c>
      <c r="P2643">
        <v>23000</v>
      </c>
      <c r="Q2643" t="inlineStr">
        <is>
          <t>689ae9a211247e0001ff72eb</t>
        </is>
      </c>
      <c r="R2643"/>
      <c r="S2643" t="inlineStr">
        <is>
          <t>中小学教辅/教材</t>
        </is>
      </c>
      <c r="T2643" t="inlineStr">
        <is>
          <t>0.75</t>
        </is>
      </c>
      <c r="U2643" s="3">
        <v>46112.78107638889</v>
      </c>
      <c r="V2643"/>
      <c r="W2643" s="3">
        <v>46110</v>
      </c>
      <c r="X2643" t="inlineStr">
        <is>
          <t>03</t>
        </is>
      </c>
      <c r="Y2643" t="inlineStr">
        <is>
          <t>2026-Q1</t>
        </is>
      </c>
    </row>
    <row r="2644" ht="38.25" customHeight="1">
      <c r="A2644" t="inlineStr">
        <is>
          <t>2025年初三中考总复习语文数学英语一轮二轮专题专项训练电子版</t>
        </is>
      </c>
      <c r="B2644" t="inlineStr">
        <is>
          <t>recvfep4XqTIKy.jpg</t>
        </is>
      </c>
      <c r="C2644" s="2" t="str">
        <f>=HYPERLINK("https://xhslink.com/m/4MHf1qkSOiy", "https://xhslink.com/m/4MHf1qkSOiy")</f>
        <v>https://xhslink.com/m/4MHf1qkSOiy</v>
      </c>
      <c r="D2644"/>
      <c r="E2644">
        <v>3429</v>
      </c>
      <c r="F2644">
        <v>9.9</v>
      </c>
      <c r="G2644"/>
      <c r="H2644">
        <v>150</v>
      </c>
      <c r="I2644"/>
      <c r="J2644"/>
      <c r="K2644" t="inlineStr">
        <is>
          <t>中考资料</t>
        </is>
      </c>
      <c r="L2644"/>
      <c r="M2644" t="inlineStr">
        <is>
          <t>赵老师的资料库的店</t>
        </is>
      </c>
      <c r="N2644">
        <v>16000</v>
      </c>
      <c r="O2644">
        <v>4.41</v>
      </c>
      <c r="P2644">
        <v>52000</v>
      </c>
      <c r="Q2644" t="inlineStr">
        <is>
          <t>677a10e8568edd0001ca0d1b</t>
        </is>
      </c>
      <c r="R2644" t="inlineStr">
        <is>
          <t>🚫重复</t>
        </is>
      </c>
      <c r="S2644" t="inlineStr">
        <is>
          <t>中小学教辅/教材</t>
        </is>
      </c>
      <c r="T2644" t="inlineStr">
        <is>
          <t>0.21</t>
        </is>
      </c>
      <c r="U2644" s="3">
        <v>46112.78107638889</v>
      </c>
      <c r="V2644"/>
      <c r="W2644" s="3">
        <v>46110</v>
      </c>
      <c r="X2644" t="inlineStr">
        <is>
          <t>03</t>
        </is>
      </c>
      <c r="Y2644" t="inlineStr">
        <is>
          <t>2026-Q1</t>
        </is>
      </c>
    </row>
    <row r="2645" ht="38.25" customHeight="1">
      <c r="A2645" t="inlineStr">
        <is>
          <t>华理社 · 【现货】初中+高中英语时文阅读提分训练3+X 小升初 789年级 中考</t>
        </is>
      </c>
      <c r="B2645" t="inlineStr">
        <is>
          <t>recvfep4XqcWsv.jpg</t>
        </is>
      </c>
      <c r="C2645" s="2" t="str">
        <f>=HYPERLINK("https://xhslink.com/m/XRwkdlCD4m", "https://xhslink.com/m/XRwkdlCD4m")</f>
        <v>https://xhslink.com/m/XRwkdlCD4m</v>
      </c>
      <c r="D2645"/>
      <c r="E2645">
        <v>7459</v>
      </c>
      <c r="F2645">
        <v>39</v>
      </c>
      <c r="G2645"/>
      <c r="H2645">
        <v>150</v>
      </c>
      <c r="I2645"/>
      <c r="J2645"/>
      <c r="K2645" t="inlineStr">
        <is>
          <t>中考资料</t>
        </is>
      </c>
      <c r="L2645"/>
      <c r="M2645" t="inlineStr">
        <is>
          <t>华理社旗舰店</t>
        </is>
      </c>
      <c r="N2645">
        <v>15000</v>
      </c>
      <c r="O2645">
        <v>4.91</v>
      </c>
      <c r="P2645">
        <v>49000</v>
      </c>
      <c r="Q2645" t="inlineStr">
        <is>
          <t>6912ea3d571d660001605688</t>
        </is>
      </c>
      <c r="R2645" t="inlineStr">
        <is>
          <t>🚫重复</t>
        </is>
      </c>
      <c r="S2645" t="inlineStr">
        <is>
          <t>中小学教辅/教材</t>
        </is>
      </c>
      <c r="T2645" t="inlineStr">
        <is>
          <t>0.50</t>
        </is>
      </c>
      <c r="U2645" s="3">
        <v>46112.78107638889</v>
      </c>
      <c r="V2645"/>
      <c r="W2645" s="3">
        <v>46110</v>
      </c>
      <c r="X2645" t="inlineStr">
        <is>
          <t>03</t>
        </is>
      </c>
      <c r="Y2645" t="inlineStr">
        <is>
          <t>2026-Q1</t>
        </is>
      </c>
    </row>
    <row r="2646" ht="38.25" customHeight="1">
      <c r="A2646" t="inlineStr">
        <is>
          <t>2026中考历史总复习（全部初中内容，电子版）</t>
        </is>
      </c>
      <c r="B2646" t="inlineStr">
        <is>
          <t>recvfep4Xq4upa.jpg</t>
        </is>
      </c>
      <c r="C2646" s="2" t="str">
        <f>=HYPERLINK("https://xhslink.com/m/5tdwaz4PREh", "https://xhslink.com/m/5tdwaz4PREh")</f>
        <v>https://xhslink.com/m/5tdwaz4PREh</v>
      </c>
      <c r="D2646"/>
      <c r="E2646">
        <v>1591</v>
      </c>
      <c r="F2646">
        <v>2.88</v>
      </c>
      <c r="G2646"/>
      <c r="H2646">
        <v>250</v>
      </c>
      <c r="I2646"/>
      <c r="J2646"/>
      <c r="K2646" t="inlineStr">
        <is>
          <t>中考资料</t>
        </is>
      </c>
      <c r="L2646"/>
      <c r="M2646" t="inlineStr">
        <is>
          <t>历史南南的店</t>
        </is>
      </c>
      <c r="N2646">
        <v>13000</v>
      </c>
      <c r="O2646">
        <v>4.37</v>
      </c>
      <c r="P2646">
        <v>33000</v>
      </c>
      <c r="Q2646" t="inlineStr">
        <is>
          <t>6552fd9f52ae0b0001e0466b</t>
        </is>
      </c>
      <c r="R2646" t="inlineStr">
        <is>
          <t>🚫重复</t>
        </is>
      </c>
      <c r="S2646" t="inlineStr">
        <is>
          <t>中小学教辅/教材</t>
        </is>
      </c>
      <c r="T2646" t="inlineStr">
        <is>
          <t>0.12</t>
        </is>
      </c>
      <c r="U2646" s="3">
        <v>46112.78107638889</v>
      </c>
      <c r="V2646"/>
      <c r="W2646" s="3">
        <v>46110</v>
      </c>
      <c r="X2646" t="inlineStr">
        <is>
          <t>03</t>
        </is>
      </c>
      <c r="Y2646" t="inlineStr">
        <is>
          <t>2026-Q1</t>
        </is>
      </c>
    </row>
    <row r="2647" ht="38.25" customHeight="1">
      <c r="A2647" t="inlineStr">
        <is>
          <t>2026中考初中复习资料一轮二轮专项.电子版可编辑可下载持续更新</t>
        </is>
      </c>
      <c r="B2647" t="inlineStr">
        <is>
          <t>recvfep4XquVXa.jpg</t>
        </is>
      </c>
      <c r="C2647" s="2" t="str">
        <f>=HYPERLINK("https://xhslink.com/m/4tgGIUHqdFf", "https://xhslink.com/m/4tgGIUHqdFf")</f>
        <v>https://xhslink.com/m/4tgGIUHqdFf</v>
      </c>
      <c r="D2647"/>
      <c r="E2647">
        <v>413</v>
      </c>
      <c r="F2647">
        <v>9.8</v>
      </c>
      <c r="G2647"/>
      <c r="H2647">
        <v>150</v>
      </c>
      <c r="I2647"/>
      <c r="J2647"/>
      <c r="K2647" t="inlineStr">
        <is>
          <t>中考资料</t>
        </is>
      </c>
      <c r="L2647"/>
      <c r="M2647" t="inlineStr">
        <is>
          <t>小雯月亮屋的店</t>
        </is>
      </c>
      <c r="N2647">
        <v>666</v>
      </c>
      <c r="O2647">
        <v>4.58</v>
      </c>
      <c r="P2647">
        <v>5469</v>
      </c>
      <c r="Q2647" t="inlineStr">
        <is>
          <t>69368623bd92f50001f386b9</t>
        </is>
      </c>
      <c r="R2647"/>
      <c r="S2647" t="inlineStr">
        <is>
          <t>中小学教辅/教材</t>
        </is>
      </c>
      <c r="T2647" t="inlineStr">
        <is>
          <t>0.62</t>
        </is>
      </c>
      <c r="U2647" s="3">
        <v>46112.78107638889</v>
      </c>
      <c r="V2647"/>
      <c r="W2647" s="3">
        <v>46110</v>
      </c>
      <c r="X2647" t="inlineStr">
        <is>
          <t>03</t>
        </is>
      </c>
      <c r="Y2647" t="inlineStr">
        <is>
          <t>2026-Q1</t>
        </is>
      </c>
    </row>
    <row r="2648" ht="38.25" customHeight="1">
      <c r="A2648" t="inlineStr">
        <is>
          <t>初中7-9年级语/数/英/物/化/生/历史/地理/道法电子版资料</t>
        </is>
      </c>
      <c r="B2648" t="inlineStr">
        <is>
          <t>recvfep4XqlIXD.jpg</t>
        </is>
      </c>
      <c r="C2648" s="2" t="str">
        <f>=HYPERLINK("https://xhslink.com/m/3MwSIc3kEw8", "https://xhslink.com/m/3MwSIc3kEw8")</f>
        <v>https://xhslink.com/m/3MwSIc3kEw8</v>
      </c>
      <c r="D2648"/>
      <c r="E2648">
        <v>706</v>
      </c>
      <c r="F2648">
        <v>35.8</v>
      </c>
      <c r="G2648"/>
      <c r="H2648">
        <v>100</v>
      </c>
      <c r="I2648"/>
      <c r="J2648"/>
      <c r="K2648" t="inlineStr">
        <is>
          <t>中考资料</t>
        </is>
      </c>
      <c r="L2648"/>
      <c r="M2648" t="inlineStr">
        <is>
          <t>清也同学的店</t>
        </is>
      </c>
      <c r="N2648">
        <v>1077</v>
      </c>
      <c r="O2648">
        <v>4.48</v>
      </c>
      <c r="P2648">
        <v>862</v>
      </c>
      <c r="Q2648" t="inlineStr">
        <is>
          <t>685ec5b07590770001d863c6</t>
        </is>
      </c>
      <c r="R2648" t="inlineStr">
        <is>
          <t>🚫重复</t>
        </is>
      </c>
      <c r="S2648" t="inlineStr">
        <is>
          <t>中小学教辅/教材</t>
        </is>
      </c>
      <c r="T2648" t="inlineStr">
        <is>
          <t>0.66</t>
        </is>
      </c>
      <c r="U2648" s="3">
        <v>46112.78107638889</v>
      </c>
      <c r="V2648"/>
      <c r="W2648" s="3">
        <v>46110</v>
      </c>
      <c r="X2648" t="inlineStr">
        <is>
          <t>03</t>
        </is>
      </c>
      <c r="Y2648" t="inlineStr">
        <is>
          <t>2026-Q1</t>
        </is>
      </c>
    </row>
    <row r="2649" ht="38.25" customHeight="1">
      <c r="A2649" t="inlineStr">
        <is>
          <t>备战2026初三中考总复习资料一轮二轮专题专项训练真题汇编电子版</t>
        </is>
      </c>
      <c r="B2649" t="inlineStr">
        <is>
          <t>recvfep4XqP5iq.jpg</t>
        </is>
      </c>
      <c r="C2649" s="2" t="str">
        <f>=HYPERLINK("https://xhslink.com/m/8t1P41I0EOP", "https://xhslink.com/m/8t1P41I0EOP")</f>
        <v>https://xhslink.com/m/8t1P41I0EOP</v>
      </c>
      <c r="D2649"/>
      <c r="E2649">
        <v>2135</v>
      </c>
      <c r="F2649">
        <v>23.9</v>
      </c>
      <c r="G2649"/>
      <c r="H2649">
        <v>600</v>
      </c>
      <c r="I2649"/>
      <c r="J2649"/>
      <c r="K2649" t="inlineStr">
        <is>
          <t>中考资料</t>
        </is>
      </c>
      <c r="L2649"/>
      <c r="M2649" t="inlineStr">
        <is>
          <t>中考满分资料库的店</t>
        </is>
      </c>
      <c r="N2649">
        <v>2415</v>
      </c>
      <c r="O2649">
        <v>4.55</v>
      </c>
      <c r="P2649">
        <v>5328</v>
      </c>
      <c r="Q2649" t="inlineStr">
        <is>
          <t>6900a07ec074c50001564d62</t>
        </is>
      </c>
      <c r="R2649" t="inlineStr">
        <is>
          <t>🚫重复</t>
        </is>
      </c>
      <c r="S2649" t="inlineStr">
        <is>
          <t>中小学教辅/教材</t>
        </is>
      </c>
      <c r="T2649" t="inlineStr">
        <is>
          <t>0.88</t>
        </is>
      </c>
      <c r="U2649" s="3">
        <v>46112.78107638889</v>
      </c>
      <c r="V2649"/>
      <c r="W2649" s="3">
        <v>46110</v>
      </c>
      <c r="X2649" t="inlineStr">
        <is>
          <t>03</t>
        </is>
      </c>
      <c r="Y2649" t="inlineStr">
        <is>
          <t>2026-Q1</t>
        </is>
      </c>
    </row>
    <row r="2650" ht="38.25" customHeight="1">
      <c r="A2650" t="inlineStr">
        <is>
          <t>2026下半年教师资格证笔试数学语文英语美术体育音乐物理政治信息</t>
        </is>
      </c>
      <c r="B2650" t="inlineStr">
        <is>
          <t>recvfep4XqQ6EA.jpg</t>
        </is>
      </c>
      <c r="C2650" s="2" t="str">
        <f>=HYPERLINK("https://xhslink.com/m/5rg9v5kvJ2K", "https://xhslink.com/m/5rg9v5kvJ2K")</f>
        <v>https://xhslink.com/m/5rg9v5kvJ2K</v>
      </c>
      <c r="D2650"/>
      <c r="E2650">
        <v>2955</v>
      </c>
      <c r="F2650">
        <v>14.9</v>
      </c>
      <c r="G2650"/>
      <c r="H2650">
        <v>500</v>
      </c>
      <c r="I2650">
        <v>1000</v>
      </c>
      <c r="J2650"/>
      <c r="K2650" t="inlineStr">
        <is>
          <t>教务资料</t>
        </is>
      </c>
      <c r="L2650" t="inlineStr">
        <is>
          <t>🔥低粉爆款</t>
        </is>
      </c>
      <c r="M2650" t="inlineStr">
        <is>
          <t>教资社区的店</t>
        </is>
      </c>
      <c r="N2650">
        <v>220</v>
      </c>
      <c r="O2650">
        <v>3.79</v>
      </c>
      <c r="P2650">
        <v>3265</v>
      </c>
      <c r="Q2650" t="inlineStr">
        <is>
          <t>6868a6fa64e96a0001853d3f</t>
        </is>
      </c>
      <c r="R2650" t="inlineStr">
        <is>
          <t>🚫重复</t>
        </is>
      </c>
      <c r="S2650" t="inlineStr">
        <is>
          <t>教资资料</t>
        </is>
      </c>
      <c r="T2650" t="inlineStr">
        <is>
          <t>13.43</t>
        </is>
      </c>
      <c r="U2650" s="3">
        <v>46112.78107638889</v>
      </c>
      <c r="V2650"/>
      <c r="W2650" s="3">
        <v>46110</v>
      </c>
      <c r="X2650" t="inlineStr">
        <is>
          <t>03</t>
        </is>
      </c>
      <c r="Y2650" t="inlineStr">
        <is>
          <t>2026-Q1</t>
        </is>
      </c>
    </row>
    <row r="2651" ht="38.25" customHeight="1">
      <c r="A2651" t="inlineStr">
        <is>
          <t>初高中精品主题班会课件|150+持续更新</t>
        </is>
      </c>
      <c r="B2651" t="inlineStr">
        <is>
          <t>recvfep4XqCnCB.jpg</t>
        </is>
      </c>
      <c r="C2651" s="2" t="str">
        <f>=HYPERLINK("https://xhslink.com/m/3DFEjY8beyD", "https://xhslink.com/m/3DFEjY8beyD")</f>
        <v>https://xhslink.com/m/3DFEjY8beyD</v>
      </c>
      <c r="D2651"/>
      <c r="E2651">
        <v>7065</v>
      </c>
      <c r="F2651">
        <v>8.8</v>
      </c>
      <c r="G2651"/>
      <c r="H2651">
        <v>100</v>
      </c>
      <c r="I2651"/>
      <c r="J2651"/>
      <c r="K2651" t="inlineStr">
        <is>
          <t>PPT</t>
        </is>
      </c>
      <c r="L2651" t="inlineStr">
        <is>
          <t>🔥低粉爆款</t>
        </is>
      </c>
      <c r="M2651" t="inlineStr">
        <is>
          <t>Amy老师的资料库的店</t>
        </is>
      </c>
      <c r="N2651">
        <v>1858</v>
      </c>
      <c r="O2651">
        <v>4.54</v>
      </c>
      <c r="P2651">
        <v>17000</v>
      </c>
      <c r="Q2651" t="inlineStr">
        <is>
          <t>69b90eb115bd740001b953c7</t>
        </is>
      </c>
      <c r="R2651" t="inlineStr">
        <is>
          <t>🚫重复</t>
        </is>
      </c>
      <c r="S2651" t="inlineStr">
        <is>
          <t>中小学教辅/教材</t>
        </is>
      </c>
      <c r="T2651" t="inlineStr">
        <is>
          <t>3.80</t>
        </is>
      </c>
      <c r="U2651" s="3">
        <v>46112.78107638889</v>
      </c>
      <c r="V2651"/>
      <c r="W2651" s="3">
        <v>46110</v>
      </c>
      <c r="X2651" t="inlineStr">
        <is>
          <t>03</t>
        </is>
      </c>
      <c r="Y2651" t="inlineStr">
        <is>
          <t>2026-Q1</t>
        </is>
      </c>
    </row>
    <row r="2652" ht="38.25" customHeight="1">
      <c r="A2652" t="inlineStr">
        <is>
          <t>【秒发货】卡通PPT模板，选择对应编号即可</t>
        </is>
      </c>
      <c r="B2652" t="inlineStr">
        <is>
          <t>recvfep4XqjgGC.jpg</t>
        </is>
      </c>
      <c r="C2652" s="2" t="str">
        <f>=HYPERLINK("https://xhslink.com/m/2rNx9xYIzfX", "https://xhslink.com/m/2rNx9xYIzfX")</f>
        <v>https://xhslink.com/m/2rNx9xYIzfX</v>
      </c>
      <c r="D2652"/>
      <c r="E2652">
        <v>3603</v>
      </c>
      <c r="F2652">
        <v>8.8</v>
      </c>
      <c r="G2652"/>
      <c r="H2652">
        <v>200</v>
      </c>
      <c r="I2652"/>
      <c r="J2652"/>
      <c r="K2652" t="inlineStr">
        <is>
          <t>PPT</t>
        </is>
      </c>
      <c r="L2652"/>
      <c r="M2652" t="inlineStr">
        <is>
          <t>橘子i的店</t>
        </is>
      </c>
      <c r="N2652">
        <v>2263</v>
      </c>
      <c r="O2652">
        <v>4.53</v>
      </c>
      <c r="P2652">
        <v>3652</v>
      </c>
      <c r="Q2652" t="inlineStr">
        <is>
          <t>690c68057d4dcd0001c285ae</t>
        </is>
      </c>
      <c r="R2652" t="inlineStr">
        <is>
          <t>🚫重复</t>
        </is>
      </c>
      <c r="S2652" t="inlineStr">
        <is>
          <t>PPT模板</t>
        </is>
      </c>
      <c r="T2652" t="inlineStr">
        <is>
          <t>1.59</t>
        </is>
      </c>
      <c r="U2652" s="3">
        <v>46112.78107638889</v>
      </c>
      <c r="V2652"/>
      <c r="W2652" s="3">
        <v>46110</v>
      </c>
      <c r="X2652" t="inlineStr">
        <is>
          <t>03</t>
        </is>
      </c>
      <c r="Y2652" t="inlineStr">
        <is>
          <t>2026-Q1</t>
        </is>
      </c>
    </row>
    <row r="2653" ht="38.25" customHeight="1">
      <c r="A2653" t="inlineStr">
        <is>
          <t>研究生组会文献汇报PPT模板 | 高质量排版 | 五色全发</t>
        </is>
      </c>
      <c r="B2653" t="inlineStr">
        <is>
          <t>recvfep4Xqu9Bh.jpg</t>
        </is>
      </c>
      <c r="C2653" s="2" t="str">
        <f>=HYPERLINK("https://xhslink.com/m/2EFeDJtAEqv", "https://xhslink.com/m/2EFeDJtAEqv")</f>
        <v>https://xhslink.com/m/2EFeDJtAEqv</v>
      </c>
      <c r="D2653"/>
      <c r="E2653">
        <v>5991</v>
      </c>
      <c r="F2653">
        <v>6.6</v>
      </c>
      <c r="G2653"/>
      <c r="H2653">
        <v>200</v>
      </c>
      <c r="I2653"/>
      <c r="J2653"/>
      <c r="K2653" t="inlineStr">
        <is>
          <t>PPT</t>
        </is>
      </c>
      <c r="L2653"/>
      <c r="M2653" t="inlineStr">
        <is>
          <t>校园PPT研究室的店</t>
        </is>
      </c>
      <c r="N2653">
        <v>6272</v>
      </c>
      <c r="O2653">
        <v>4.43</v>
      </c>
      <c r="P2653">
        <v>24000</v>
      </c>
      <c r="Q2653" t="inlineStr">
        <is>
          <t>6884ea68e08d4d000159524e</t>
        </is>
      </c>
      <c r="R2653" t="inlineStr">
        <is>
          <t>🚫重复</t>
        </is>
      </c>
      <c r="S2653" t="inlineStr">
        <is>
          <t>PPT模板</t>
        </is>
      </c>
      <c r="T2653" t="inlineStr">
        <is>
          <t>0.96</t>
        </is>
      </c>
      <c r="U2653" s="3">
        <v>46112.78107638889</v>
      </c>
      <c r="V2653"/>
      <c r="W2653" s="3">
        <v>46110</v>
      </c>
      <c r="X2653" t="inlineStr">
        <is>
          <t>03</t>
        </is>
      </c>
      <c r="Y2653" t="inlineStr">
        <is>
          <t>2026-Q1</t>
        </is>
      </c>
    </row>
    <row r="2654" ht="38.25" customHeight="1">
      <c r="A2654" t="inlineStr">
        <is>
          <t>实用型学术商务通用ppt创意高级感PPT模板</t>
        </is>
      </c>
      <c r="B2654" t="inlineStr">
        <is>
          <t>recvfep4Xq1eEC.jpg</t>
        </is>
      </c>
      <c r="C2654" s="2" t="str">
        <f>=HYPERLINK("https://xhslink.com/m/EMRfgAjR8d", "https://xhslink.com/m/EMRfgAjR8d")</f>
        <v>https://xhslink.com/m/EMRfgAjR8d</v>
      </c>
      <c r="D2654"/>
      <c r="E2654">
        <v>2141</v>
      </c>
      <c r="F2654">
        <v>6.9</v>
      </c>
      <c r="G2654"/>
      <c r="H2654">
        <v>100</v>
      </c>
      <c r="I2654"/>
      <c r="J2654"/>
      <c r="K2654" t="inlineStr">
        <is>
          <t>PPT</t>
        </is>
      </c>
      <c r="L2654"/>
      <c r="M2654" t="inlineStr">
        <is>
          <t>大脸婷妹儿的店</t>
        </is>
      </c>
      <c r="N2654">
        <v>1063</v>
      </c>
      <c r="O2654">
        <v>4.47</v>
      </c>
      <c r="P2654">
        <v>4691</v>
      </c>
      <c r="Q2654" t="inlineStr">
        <is>
          <t>683c3e6af9ad0500012e39cd</t>
        </is>
      </c>
      <c r="R2654" t="inlineStr">
        <is>
          <t>🚫重复</t>
        </is>
      </c>
      <c r="S2654" t="inlineStr">
        <is>
          <t>PPT模板</t>
        </is>
      </c>
      <c r="T2654" t="inlineStr">
        <is>
          <t>2.01</t>
        </is>
      </c>
      <c r="U2654" s="3">
        <v>46112.78107638889</v>
      </c>
      <c r="V2654"/>
      <c r="W2654" s="3">
        <v>46110</v>
      </c>
      <c r="X2654" t="inlineStr">
        <is>
          <t>03</t>
        </is>
      </c>
      <c r="Y2654" t="inlineStr">
        <is>
          <t>2026-Q1</t>
        </is>
      </c>
    </row>
    <row r="2655" ht="38.25" customHeight="1">
      <c r="A2655" t="inlineStr">
        <is>
          <t>D302保研预推免面试考研复试自我介绍PPT模板 | 高级排版一键换色</t>
        </is>
      </c>
      <c r="B2655" t="inlineStr">
        <is>
          <t>recvfep4XqtnVz.jpg</t>
        </is>
      </c>
      <c r="C2655" s="2" t="str">
        <f>=HYPERLINK("https://xhslink.com/m/9k8cvbZDW35", "https://xhslink.com/m/9k8cvbZDW35")</f>
        <v>https://xhslink.com/m/9k8cvbZDW35</v>
      </c>
      <c r="D2655"/>
      <c r="E2655">
        <v>5006</v>
      </c>
      <c r="F2655">
        <v>8.8</v>
      </c>
      <c r="G2655"/>
      <c r="H2655">
        <v>150</v>
      </c>
      <c r="I2655"/>
      <c r="J2655"/>
      <c r="K2655" t="inlineStr">
        <is>
          <t>PPT</t>
        </is>
      </c>
      <c r="L2655"/>
      <c r="M2655" t="inlineStr">
        <is>
          <t>校园PPT研究室的店</t>
        </is>
      </c>
      <c r="N2655">
        <v>6272</v>
      </c>
      <c r="O2655">
        <v>4.43</v>
      </c>
      <c r="P2655">
        <v>24000</v>
      </c>
      <c r="Q2655" t="inlineStr">
        <is>
          <t>6867cb910f178b0001f81a71</t>
        </is>
      </c>
      <c r="R2655" t="inlineStr">
        <is>
          <t>🚫重复</t>
        </is>
      </c>
      <c r="S2655" t="inlineStr">
        <is>
          <t>PPT模板</t>
        </is>
      </c>
      <c r="T2655" t="inlineStr">
        <is>
          <t>0.80</t>
        </is>
      </c>
      <c r="U2655" s="3">
        <v>46112.78107638889</v>
      </c>
      <c r="V2655"/>
      <c r="W2655" s="3">
        <v>46110</v>
      </c>
      <c r="X2655" t="inlineStr">
        <is>
          <t>03</t>
        </is>
      </c>
      <c r="Y2655" t="inlineStr">
        <is>
          <t>2026-Q1</t>
        </is>
      </c>
    </row>
    <row r="2656" ht="38.25" customHeight="1">
      <c r="A2656" t="inlineStr">
        <is>
          <t>A17-42页-PPT+AI+PSD格式-黑白高级设计师作品集模板源文件</t>
        </is>
      </c>
      <c r="B2656" t="inlineStr">
        <is>
          <t>recvfep4XqW1cN.jpg</t>
        </is>
      </c>
      <c r="C2656" s="2" t="str">
        <f>=HYPERLINK("https://xhslink.com/m/6KXO34WtEwb", "https://xhslink.com/m/6KXO34WtEwb")</f>
        <v>https://xhslink.com/m/6KXO34WtEwb</v>
      </c>
      <c r="D2656"/>
      <c r="E2656">
        <v>2247</v>
      </c>
      <c r="F2656">
        <v>6.99</v>
      </c>
      <c r="G2656"/>
      <c r="H2656">
        <v>300</v>
      </c>
      <c r="I2656"/>
      <c r="J2656"/>
      <c r="K2656" t="inlineStr">
        <is>
          <t>PPT</t>
        </is>
      </c>
      <c r="L2656"/>
      <c r="M2656" t="inlineStr">
        <is>
          <t>D-Art的店</t>
        </is>
      </c>
      <c r="N2656">
        <v>5997</v>
      </c>
      <c r="O2656">
        <v>4.66</v>
      </c>
      <c r="P2656">
        <v>20000</v>
      </c>
      <c r="Q2656" t="inlineStr">
        <is>
          <t>68bd9a50fed549000185bc56</t>
        </is>
      </c>
      <c r="R2656" t="inlineStr">
        <is>
          <t>🚫重复</t>
        </is>
      </c>
      <c r="S2656" t="inlineStr">
        <is>
          <t>设计素材</t>
        </is>
      </c>
      <c r="T2656" t="inlineStr">
        <is>
          <t>0.37</t>
        </is>
      </c>
      <c r="U2656" s="3">
        <v>46112.78107638889</v>
      </c>
      <c r="V2656"/>
      <c r="W2656" s="3">
        <v>46110</v>
      </c>
      <c r="X2656" t="inlineStr">
        <is>
          <t>03</t>
        </is>
      </c>
      <c r="Y2656" t="inlineStr">
        <is>
          <t>2026-Q1</t>
        </is>
      </c>
    </row>
    <row r="2657" ht="38.25" customHeight="1">
      <c r="A2657" t="inlineStr">
        <is>
          <t>考研复试PPT模板01 支持一键换色换校徽 下单后赠送100套简历模板</t>
        </is>
      </c>
      <c r="B2657" t="inlineStr">
        <is>
          <t>recvfep4XqesRG.jpg</t>
        </is>
      </c>
      <c r="C2657" s="2" t="str">
        <f>=HYPERLINK("https://xhslink.com/m/7YurQYP7BQC", "https://xhslink.com/m/7YurQYP7BQC")</f>
        <v>https://xhslink.com/m/7YurQYP7BQC</v>
      </c>
      <c r="D2657"/>
      <c r="E2657">
        <v>2313</v>
      </c>
      <c r="F2657">
        <v>3.99</v>
      </c>
      <c r="G2657"/>
      <c r="H2657">
        <v>250</v>
      </c>
      <c r="I2657"/>
      <c r="J2657"/>
      <c r="K2657" t="inlineStr">
        <is>
          <t>PPT</t>
        </is>
      </c>
      <c r="L2657"/>
      <c r="M2657" t="inlineStr">
        <is>
          <t>抹布ave的店</t>
        </is>
      </c>
      <c r="N2657">
        <v>1356</v>
      </c>
      <c r="O2657">
        <v>4.59</v>
      </c>
      <c r="P2657">
        <v>14000</v>
      </c>
      <c r="Q2657" t="inlineStr">
        <is>
          <t>6965f0dc96239400010cd2ae</t>
        </is>
      </c>
      <c r="R2657" t="inlineStr">
        <is>
          <t>🚫重复</t>
        </is>
      </c>
      <c r="S2657" t="inlineStr">
        <is>
          <t>PPT模板</t>
        </is>
      </c>
      <c r="T2657" t="inlineStr">
        <is>
          <t>1.71</t>
        </is>
      </c>
      <c r="U2657" s="3">
        <v>46112.78107638889</v>
      </c>
      <c r="V2657"/>
      <c r="W2657" s="3">
        <v>46110</v>
      </c>
      <c r="X2657" t="inlineStr">
        <is>
          <t>03</t>
        </is>
      </c>
      <c r="Y2657" t="inlineStr">
        <is>
          <t>2026-Q1</t>
        </is>
      </c>
    </row>
    <row r="2658" ht="38.25" customHeight="1">
      <c r="A2658" t="inlineStr">
        <is>
          <t>单个美术课件 (备注 : 课名+邮箱)</t>
        </is>
      </c>
      <c r="B2658" t="inlineStr">
        <is>
          <t>recvfep4XqK7Xg.jpg</t>
        </is>
      </c>
      <c r="C2658" s="2" t="str">
        <f>=HYPERLINK("https://xhslink.com/m/2fqa2QQ5bD4", "https://xhslink.com/m/2fqa2QQ5bD4")</f>
        <v>https://xhslink.com/m/2fqa2QQ5bD4</v>
      </c>
      <c r="D2658"/>
      <c r="E2658">
        <v>28000</v>
      </c>
      <c r="F2658">
        <v>12</v>
      </c>
      <c r="G2658"/>
      <c r="H2658">
        <v>100</v>
      </c>
      <c r="I2658"/>
      <c r="J2658"/>
      <c r="K2658" t="inlineStr">
        <is>
          <t>PPT</t>
        </is>
      </c>
      <c r="L2658"/>
      <c r="M2658" t="inlineStr">
        <is>
          <t>教学趴的店</t>
        </is>
      </c>
      <c r="N2658">
        <v>16000</v>
      </c>
      <c r="O2658">
        <v>4.53</v>
      </c>
      <c r="P2658">
        <v>32000</v>
      </c>
      <c r="Q2658" t="inlineStr">
        <is>
          <t>647ff2719797070001986e2a</t>
        </is>
      </c>
      <c r="R2658"/>
      <c r="S2658" t="inlineStr">
        <is>
          <t>中小学教辅/教材</t>
        </is>
      </c>
      <c r="T2658" t="inlineStr">
        <is>
          <t>1.75</t>
        </is>
      </c>
      <c r="U2658" s="3">
        <v>46112.78107638889</v>
      </c>
      <c r="V2658"/>
      <c r="W2658" s="3">
        <v>46110</v>
      </c>
      <c r="X2658" t="inlineStr">
        <is>
          <t>03</t>
        </is>
      </c>
      <c r="Y2658" t="inlineStr">
        <is>
          <t>2026-Q1</t>
        </is>
      </c>
    </row>
    <row r="2659" ht="38.25" customHeight="1">
      <c r="A2659" t="inlineStr">
        <is>
          <t>研究生组会文献汇报PPT模板|科研学术汇报|65页可一键换色换校徽</t>
        </is>
      </c>
      <c r="B2659" t="inlineStr">
        <is>
          <t>recvfep4Xqjhty.jpg</t>
        </is>
      </c>
      <c r="C2659" s="2" t="str">
        <f>=HYPERLINK("https://xhslink.com/m/AGSIilcKImi", "https://xhslink.com/m/AGSIilcKImi")</f>
        <v>https://xhslink.com/m/AGSIilcKImi</v>
      </c>
      <c r="D2659"/>
      <c r="E2659">
        <v>7846</v>
      </c>
      <c r="F2659">
        <v>1.8</v>
      </c>
      <c r="G2659"/>
      <c r="H2659">
        <v>350</v>
      </c>
      <c r="I2659"/>
      <c r="J2659"/>
      <c r="K2659" t="inlineStr">
        <is>
          <t>PPT</t>
        </is>
      </c>
      <c r="L2659"/>
      <c r="M2659" t="inlineStr">
        <is>
          <t>PPT研究室的店</t>
        </is>
      </c>
      <c r="N2659">
        <v>4205</v>
      </c>
      <c r="O2659">
        <v>4.46</v>
      </c>
      <c r="P2659">
        <v>13000</v>
      </c>
      <c r="Q2659" t="inlineStr">
        <is>
          <t>68ddb8494daabe00016126eb</t>
        </is>
      </c>
      <c r="R2659"/>
      <c r="S2659" t="inlineStr">
        <is>
          <t>PPT模板</t>
        </is>
      </c>
      <c r="T2659" t="inlineStr">
        <is>
          <t>1.87</t>
        </is>
      </c>
      <c r="U2659" s="3">
        <v>46112.78107638889</v>
      </c>
      <c r="V2659"/>
      <c r="W2659" s="3">
        <v>46110</v>
      </c>
      <c r="X2659" t="inlineStr">
        <is>
          <t>03</t>
        </is>
      </c>
      <c r="Y2659" t="inlineStr">
        <is>
          <t>2026-Q1</t>
        </is>
      </c>
    </row>
    <row r="2660" ht="38.25" customHeight="1">
      <c r="A2660" t="inlineStr">
        <is>
          <t>开题答辩PPT模板02    支持一键换色 一键换校徽</t>
        </is>
      </c>
      <c r="B2660" t="inlineStr">
        <is>
          <t>recvfep4XqnwIJ.jpg</t>
        </is>
      </c>
      <c r="C2660" s="2" t="str">
        <f>=HYPERLINK("https://xhslink.com/m/5YXGhCq9pHm", "https://xhslink.com/m/5YXGhCq9pHm")</f>
        <v>https://xhslink.com/m/5YXGhCq9pHm</v>
      </c>
      <c r="D2660"/>
      <c r="E2660">
        <v>9408</v>
      </c>
      <c r="F2660">
        <v>3.99</v>
      </c>
      <c r="G2660"/>
      <c r="H2660">
        <v>400</v>
      </c>
      <c r="I2660"/>
      <c r="J2660"/>
      <c r="K2660" t="inlineStr">
        <is>
          <t>PPT</t>
        </is>
      </c>
      <c r="L2660" t="inlineStr">
        <is>
          <t>🔥低粉爆款</t>
        </is>
      </c>
      <c r="M2660" t="inlineStr">
        <is>
          <t>抹布ave的店</t>
        </is>
      </c>
      <c r="N2660">
        <v>1356</v>
      </c>
      <c r="O2660">
        <v>4.59</v>
      </c>
      <c r="P2660">
        <v>14000</v>
      </c>
      <c r="Q2660" t="inlineStr">
        <is>
          <t>68d3e991b74afb00013daab7</t>
        </is>
      </c>
      <c r="R2660" t="inlineStr">
        <is>
          <t>🚫重复</t>
        </is>
      </c>
      <c r="S2660" t="inlineStr">
        <is>
          <t>PPT模板</t>
        </is>
      </c>
      <c r="T2660" t="inlineStr">
        <is>
          <t>6.94</t>
        </is>
      </c>
      <c r="U2660" s="3">
        <v>46112.78107638889</v>
      </c>
      <c r="V2660"/>
      <c r="W2660" s="3">
        <v>46110</v>
      </c>
      <c r="X2660" t="inlineStr">
        <is>
          <t>03</t>
        </is>
      </c>
      <c r="Y2660" t="inlineStr">
        <is>
          <t>2026-Q1</t>
        </is>
      </c>
    </row>
    <row r="2661" ht="38.25" customHeight="1">
      <c r="A2661" t="inlineStr">
        <is>
          <t>A32-43页Psd+AI+PPT格式原创高级简约设计师求职作品集模板源文件</t>
        </is>
      </c>
      <c r="B2661" t="inlineStr">
        <is>
          <t>recvfep4Xq715M.jpg</t>
        </is>
      </c>
      <c r="C2661" s="2" t="str">
        <f>=HYPERLINK("https://xhslink.com/m/9xQipkdqMeW", "https://xhslink.com/m/9xQipkdqMeW")</f>
        <v>https://xhslink.com/m/9xQipkdqMeW</v>
      </c>
      <c r="D2661"/>
      <c r="E2661">
        <v>1420</v>
      </c>
      <c r="F2661">
        <v>6.99</v>
      </c>
      <c r="G2661"/>
      <c r="H2661">
        <v>400</v>
      </c>
      <c r="I2661"/>
      <c r="J2661"/>
      <c r="K2661" t="inlineStr">
        <is>
          <t>PPT</t>
        </is>
      </c>
      <c r="L2661"/>
      <c r="M2661" t="inlineStr">
        <is>
          <t>D-Art的店</t>
        </is>
      </c>
      <c r="N2661">
        <v>5997</v>
      </c>
      <c r="O2661">
        <v>4.66</v>
      </c>
      <c r="P2661">
        <v>20000</v>
      </c>
      <c r="Q2661" t="inlineStr">
        <is>
          <t>691b3b036ea74e000195c2f7</t>
        </is>
      </c>
      <c r="R2661" t="inlineStr">
        <is>
          <t>🚫重复</t>
        </is>
      </c>
      <c r="S2661" t="inlineStr">
        <is>
          <t>设计素材</t>
        </is>
      </c>
      <c r="T2661" t="inlineStr">
        <is>
          <t>0.24</t>
        </is>
      </c>
      <c r="U2661" s="3">
        <v>46112.78107638889</v>
      </c>
      <c r="V2661"/>
      <c r="W2661" s="3">
        <v>46110</v>
      </c>
      <c r="X2661" t="inlineStr">
        <is>
          <t>03</t>
        </is>
      </c>
      <c r="Y2661" t="inlineStr">
        <is>
          <t>2026-Q1</t>
        </is>
      </c>
    </row>
    <row r="2662" ht="38.25" customHeight="1">
      <c r="A2662" t="inlineStr">
        <is>
          <t>800套开题报告ppt模板毕业答辩ppt模板论文答辩ppt模板</t>
        </is>
      </c>
      <c r="B2662" t="inlineStr">
        <is>
          <t>recvfep4XqVxp6.jpg</t>
        </is>
      </c>
      <c r="C2662" s="2" t="str">
        <f>=HYPERLINK("https://xhslink.com/m/5SS2sxBeDOt", "https://xhslink.com/m/5SS2sxBeDOt")</f>
        <v>https://xhslink.com/m/5SS2sxBeDOt</v>
      </c>
      <c r="D2662"/>
      <c r="E2662">
        <v>1529</v>
      </c>
      <c r="F2662">
        <v>1</v>
      </c>
      <c r="G2662"/>
      <c r="H2662">
        <v>100</v>
      </c>
      <c r="I2662">
        <v>1000</v>
      </c>
      <c r="J2662"/>
      <c r="K2662" t="inlineStr">
        <is>
          <t>PPT</t>
        </is>
      </c>
      <c r="L2662"/>
      <c r="M2662" t="inlineStr">
        <is>
          <t>云朵的电子资料分享的店</t>
        </is>
      </c>
      <c r="N2662">
        <v>4901</v>
      </c>
      <c r="O2662">
        <v>4.6</v>
      </c>
      <c r="P2662">
        <v>36000</v>
      </c>
      <c r="Q2662" t="inlineStr">
        <is>
          <t>6943d300d96c4500011fc89a</t>
        </is>
      </c>
      <c r="R2662" t="inlineStr">
        <is>
          <t>🚫重复</t>
        </is>
      </c>
      <c r="S2662" t="inlineStr">
        <is>
          <t>PPT模板</t>
        </is>
      </c>
      <c r="T2662" t="inlineStr">
        <is>
          <t>0.31</t>
        </is>
      </c>
      <c r="U2662" s="3">
        <v>46112.78107638889</v>
      </c>
      <c r="V2662"/>
      <c r="W2662" s="3">
        <v>46110</v>
      </c>
      <c r="X2662" t="inlineStr">
        <is>
          <t>03</t>
        </is>
      </c>
      <c r="Y2662" t="inlineStr">
        <is>
          <t>2026-Q1</t>
        </is>
      </c>
    </row>
    <row r="2663" ht="38.25" customHeight="1">
      <c r="A2663" t="inlineStr">
        <is>
          <t>工作PPT模板-自动发货，不支持退换，介意慎拍！下单选择清楚编号</t>
        </is>
      </c>
      <c r="B2663" t="inlineStr">
        <is>
          <t>recvfep4XqlrWS.jpg</t>
        </is>
      </c>
      <c r="C2663" s="2" t="str">
        <f>=HYPERLINK("https://xhslink.com/m/1RKZB7jnmn", "https://xhslink.com/m/1RKZB7jnmn")</f>
        <v>https://xhslink.com/m/1RKZB7jnmn</v>
      </c>
      <c r="D2663"/>
      <c r="E2663">
        <v>3061</v>
      </c>
      <c r="F2663">
        <v>8.8</v>
      </c>
      <c r="G2663"/>
      <c r="H2663">
        <v>250</v>
      </c>
      <c r="I2663"/>
      <c r="J2663"/>
      <c r="K2663" t="inlineStr">
        <is>
          <t>PPT</t>
        </is>
      </c>
      <c r="L2663"/>
      <c r="M2663" t="inlineStr">
        <is>
          <t>小橙子PPT制作的店</t>
        </is>
      </c>
      <c r="N2663">
        <v>7872</v>
      </c>
      <c r="O2663">
        <v>4.55</v>
      </c>
      <c r="P2663">
        <v>15000</v>
      </c>
      <c r="Q2663" t="inlineStr">
        <is>
          <t>68bd91b624d64a0001c38757</t>
        </is>
      </c>
      <c r="R2663" t="inlineStr">
        <is>
          <t>🚫重复</t>
        </is>
      </c>
      <c r="S2663" t="inlineStr">
        <is>
          <t>PPT模板</t>
        </is>
      </c>
      <c r="T2663" t="inlineStr">
        <is>
          <t>0.39</t>
        </is>
      </c>
      <c r="U2663" s="3">
        <v>46112.78107638889</v>
      </c>
      <c r="V2663"/>
      <c r="W2663" s="3">
        <v>46110</v>
      </c>
      <c r="X2663" t="inlineStr">
        <is>
          <t>03</t>
        </is>
      </c>
      <c r="Y2663" t="inlineStr">
        <is>
          <t>2026-Q1</t>
        </is>
      </c>
    </row>
    <row r="2664" ht="38.25" customHeight="1">
      <c r="A2664" t="inlineStr">
        <is>
          <t>75蓝色线条小狗ppt模版</t>
        </is>
      </c>
      <c r="B2664" t="inlineStr">
        <is>
          <t>recvfep4XqGucx.jpg</t>
        </is>
      </c>
      <c r="C2664" s="2" t="str">
        <f>=HYPERLINK("https://xhslink.com/m/16ly3arOrLk", "https://xhslink.com/m/16ly3arOrLk")</f>
        <v>https://xhslink.com/m/16ly3arOrLk</v>
      </c>
      <c r="D2664"/>
      <c r="E2664">
        <v>1766</v>
      </c>
      <c r="F2664">
        <v>1</v>
      </c>
      <c r="G2664"/>
      <c r="H2664">
        <v>250</v>
      </c>
      <c r="I2664">
        <v>1000</v>
      </c>
      <c r="J2664"/>
      <c r="K2664" t="inlineStr">
        <is>
          <t>PPT</t>
        </is>
      </c>
      <c r="L2664" t="inlineStr">
        <is>
          <t>🔥低粉爆款</t>
        </is>
      </c>
      <c r="M2664" t="inlineStr">
        <is>
          <t>王圈圈圈圈的PPT🍏的店</t>
        </is>
      </c>
      <c r="N2664">
        <v>575</v>
      </c>
      <c r="O2664">
        <v>4.51</v>
      </c>
      <c r="P2664">
        <v>10000</v>
      </c>
      <c r="Q2664" t="inlineStr">
        <is>
          <t>6907053d2fdb7c0001989313</t>
        </is>
      </c>
      <c r="R2664" t="inlineStr">
        <is>
          <t>🚫重复</t>
        </is>
      </c>
      <c r="S2664" t="inlineStr">
        <is>
          <t>PPT模板</t>
        </is>
      </c>
      <c r="T2664" t="inlineStr">
        <is>
          <t>3.07</t>
        </is>
      </c>
      <c r="U2664" s="3">
        <v>46112.78107638889</v>
      </c>
      <c r="V2664"/>
      <c r="W2664" s="3">
        <v>46110</v>
      </c>
      <c r="X2664" t="inlineStr">
        <is>
          <t>03</t>
        </is>
      </c>
      <c r="Y2664" t="inlineStr">
        <is>
          <t>2026-Q1</t>
        </is>
      </c>
    </row>
    <row r="2665" ht="38.25" customHeight="1">
      <c r="A2665" t="inlineStr">
        <is>
          <t>psd+ai+ppt格式简历模板源文件通用简约高级新媒体运营/设计师</t>
        </is>
      </c>
      <c r="B2665" t="inlineStr">
        <is>
          <t>recvfep4XqipyT.jpg</t>
        </is>
      </c>
      <c r="C2665" s="2" t="str">
        <f>=HYPERLINK("https://xhslink.com/m/1a183zxVprZ", "https://xhslink.com/m/1a183zxVprZ")</f>
        <v>https://xhslink.com/m/1a183zxVprZ</v>
      </c>
      <c r="D2665"/>
      <c r="E2665">
        <v>1346</v>
      </c>
      <c r="F2665">
        <v>3.9</v>
      </c>
      <c r="G2665"/>
      <c r="H2665">
        <v>450</v>
      </c>
      <c r="I2665"/>
      <c r="J2665"/>
      <c r="K2665" t="inlineStr">
        <is>
          <t>PPT</t>
        </is>
      </c>
      <c r="L2665" t="inlineStr">
        <is>
          <t>🔥低粉爆款</t>
        </is>
      </c>
      <c r="M2665" t="inlineStr">
        <is>
          <t>一枝木ART的店</t>
        </is>
      </c>
      <c r="N2665">
        <v>445</v>
      </c>
      <c r="O2665">
        <v>4.53</v>
      </c>
      <c r="P2665">
        <v>3514</v>
      </c>
      <c r="Q2665" t="inlineStr">
        <is>
          <t>6913f13940511b00010595b0</t>
        </is>
      </c>
      <c r="R2665"/>
      <c r="S2665" t="inlineStr">
        <is>
          <t>设计素材</t>
        </is>
      </c>
      <c r="T2665" t="inlineStr">
        <is>
          <t>3.02</t>
        </is>
      </c>
      <c r="U2665" s="3">
        <v>46112.78107638889</v>
      </c>
      <c r="V2665"/>
      <c r="W2665" s="3">
        <v>46110</v>
      </c>
      <c r="X2665" t="inlineStr">
        <is>
          <t>03</t>
        </is>
      </c>
      <c r="Y2665" t="inlineStr">
        <is>
          <t>2026-Q1</t>
        </is>
      </c>
    </row>
    <row r="2666" ht="38.25" customHeight="1">
      <c r="A2666" t="inlineStr">
        <is>
          <t>（日更/秒发）26届春招岗位汇总表/校招汇总表格/免笔试校招汇总</t>
        </is>
      </c>
      <c r="B2666" t="inlineStr">
        <is>
          <t>recvfep4XqMSFl.jpg</t>
        </is>
      </c>
      <c r="C2666" s="2" t="str">
        <f>=HYPERLINK("https://xhslink.com/m/AuzMavYNE2u", "https://xhslink.com/m/AuzMavYNE2u")</f>
        <v>https://xhslink.com/m/AuzMavYNE2u</v>
      </c>
      <c r="D2666"/>
      <c r="E2666">
        <v>1547</v>
      </c>
      <c r="F2666">
        <v>9.9</v>
      </c>
      <c r="G2666"/>
      <c r="H2666">
        <v>200</v>
      </c>
      <c r="I2666"/>
      <c r="J2666"/>
      <c r="K2666" t="inlineStr">
        <is>
          <t>校招岗位</t>
        </is>
      </c>
      <c r="L2666" t="inlineStr">
        <is>
          <t>🔥低粉爆款</t>
        </is>
      </c>
      <c r="M2666" t="inlineStr">
        <is>
          <t>猫猫杰克船长的店</t>
        </is>
      </c>
      <c r="N2666">
        <v>12</v>
      </c>
      <c r="O2666">
        <v>4.52</v>
      </c>
      <c r="P2666">
        <v>1547</v>
      </c>
      <c r="Q2666" t="inlineStr">
        <is>
          <t>689869b7417c3f0001434eb7</t>
        </is>
      </c>
      <c r="R2666"/>
      <c r="S2666" t="inlineStr">
        <is>
          <t>求职面试/职场</t>
        </is>
      </c>
      <c r="T2666" t="inlineStr">
        <is>
          <t>128.92</t>
        </is>
      </c>
      <c r="U2666" s="3">
        <v>46112.78107638889</v>
      </c>
      <c r="V2666"/>
      <c r="W2666" s="3">
        <v>46110</v>
      </c>
      <c r="X2666" t="inlineStr">
        <is>
          <t>03</t>
        </is>
      </c>
      <c r="Y2666" t="inlineStr">
        <is>
          <t>2026-Q1</t>
        </is>
      </c>
    </row>
    <row r="2667" ht="38.25" customHeight="1">
      <c r="A2667" t="inlineStr">
        <is>
          <t>【每日更新】26届春招秋招实习岗位信息汇总表校招国央企招聘</t>
        </is>
      </c>
      <c r="B2667" t="inlineStr">
        <is>
          <t>recvfep4Xqlqom.jpg</t>
        </is>
      </c>
      <c r="C2667" s="2" t="str">
        <f>=HYPERLINK("https://xhslink.com/m/qKexaXOOsf", "https://xhslink.com/m/qKexaXOOsf")</f>
        <v>https://xhslink.com/m/qKexaXOOsf</v>
      </c>
      <c r="D2667"/>
      <c r="E2667">
        <v>550</v>
      </c>
      <c r="F2667">
        <v>6.9</v>
      </c>
      <c r="G2667"/>
      <c r="H2667">
        <v>150</v>
      </c>
      <c r="I2667"/>
      <c r="J2667"/>
      <c r="K2667" t="inlineStr">
        <is>
          <t>校招岗位</t>
        </is>
      </c>
      <c r="L2667" t="inlineStr">
        <is>
          <t>🔥低粉爆款</t>
        </is>
      </c>
      <c r="M2667" t="inlineStr">
        <is>
          <t>青柠上岸啦的店</t>
        </is>
      </c>
      <c r="N2667">
        <v>148</v>
      </c>
      <c r="O2667">
        <v>4.41</v>
      </c>
      <c r="P2667">
        <v>1486</v>
      </c>
      <c r="Q2667" t="inlineStr">
        <is>
          <t>69687c68c26607000174f13e</t>
        </is>
      </c>
      <c r="R2667"/>
      <c r="S2667" t="inlineStr">
        <is>
          <t>求职面试/职场</t>
        </is>
      </c>
      <c r="T2667" t="inlineStr">
        <is>
          <t>3.72</t>
        </is>
      </c>
      <c r="U2667" s="3">
        <v>46112.78107638889</v>
      </c>
      <c r="V2667"/>
      <c r="W2667" s="3">
        <v>46110</v>
      </c>
      <c r="X2667" t="inlineStr">
        <is>
          <t>03</t>
        </is>
      </c>
      <c r="Y2667" t="inlineStr">
        <is>
          <t>2026-Q1</t>
        </is>
      </c>
    </row>
    <row r="2668" ht="38.25" customHeight="1">
      <c r="A2668" t="inlineStr">
        <is>
          <t>公考资料大合集（26+27）</t>
        </is>
      </c>
      <c r="B2668" t="inlineStr">
        <is>
          <t>recvfep4XqCmER.jpg</t>
        </is>
      </c>
      <c r="C2668" s="2" t="str">
        <f>=HYPERLINK("https://xhslink.com/m/8aBnhJdlhhO", "https://xhslink.com/m/8aBnhJdlhhO")</f>
        <v>https://xhslink.com/m/8aBnhJdlhhO</v>
      </c>
      <c r="D2668"/>
      <c r="E2668">
        <v>3008</v>
      </c>
      <c r="F2668">
        <v>14.9</v>
      </c>
      <c r="G2668"/>
      <c r="H2668">
        <v>1000</v>
      </c>
      <c r="I2668"/>
      <c r="J2668"/>
      <c r="K2668" t="inlineStr">
        <is>
          <t>省考</t>
        </is>
      </c>
      <c r="L2668" t="inlineStr">
        <is>
          <t>🔥低粉爆款</t>
        </is>
      </c>
      <c r="M2668" t="inlineStr">
        <is>
          <t>玫瑰花信笺的店</t>
        </is>
      </c>
      <c r="N2668">
        <v>273</v>
      </c>
      <c r="O2668">
        <v>4.43</v>
      </c>
      <c r="P2668">
        <v>3215</v>
      </c>
      <c r="Q2668" t="inlineStr">
        <is>
          <t>693e929fbd92f5000100fbae</t>
        </is>
      </c>
      <c r="R2668"/>
      <c r="S2668" t="inlineStr">
        <is>
          <t>考公资料</t>
        </is>
      </c>
      <c r="T2668" t="inlineStr">
        <is>
          <t>11.02</t>
        </is>
      </c>
      <c r="U2668" s="3">
        <v>46112.78107638889</v>
      </c>
      <c r="V2668"/>
      <c r="W2668" s="3">
        <v>46110</v>
      </c>
      <c r="X2668" t="inlineStr">
        <is>
          <t>03</t>
        </is>
      </c>
      <c r="Y2668" t="inlineStr">
        <is>
          <t>2026-Q1</t>
        </is>
      </c>
    </row>
    <row r="2669" ht="38.25" customHeight="1">
      <c r="A2669" t="inlineStr">
        <is>
          <t>2026常识4600问 | 国考省考行测高分必背  修正版 115页电子版 ·</t>
        </is>
      </c>
      <c r="B2669" t="inlineStr">
        <is>
          <t>recvfep4Xq0aXj.jpg</t>
        </is>
      </c>
      <c r="C2669" s="2" t="str">
        <f>=HYPERLINK("https://xhslink.com/m/9QNSyGVkgC8", "https://xhslink.com/m/9QNSyGVkgC8")</f>
        <v>https://xhslink.com/m/9QNSyGVkgC8</v>
      </c>
      <c r="D2669"/>
      <c r="E2669">
        <v>5918</v>
      </c>
      <c r="F2669">
        <v>3.99</v>
      </c>
      <c r="G2669"/>
      <c r="H2669">
        <v>1500</v>
      </c>
      <c r="I2669"/>
      <c r="J2669"/>
      <c r="K2669" t="inlineStr">
        <is>
          <t>省考</t>
        </is>
      </c>
      <c r="L2669" t="inlineStr">
        <is>
          <t>🔥低粉爆款</t>
        </is>
      </c>
      <c r="M2669" t="inlineStr">
        <is>
          <t>请回答1988呀的店</t>
        </is>
      </c>
      <c r="N2669">
        <v>426</v>
      </c>
      <c r="O2669">
        <v>4.25</v>
      </c>
      <c r="P2669">
        <v>6352</v>
      </c>
      <c r="Q2669" t="inlineStr">
        <is>
          <t>694417a7b113e4001500d27d</t>
        </is>
      </c>
      <c r="R2669" t="inlineStr">
        <is>
          <t>🚫重复</t>
        </is>
      </c>
      <c r="S2669" t="inlineStr">
        <is>
          <t>考公资料</t>
        </is>
      </c>
      <c r="T2669" t="inlineStr">
        <is>
          <t>13.89</t>
        </is>
      </c>
      <c r="U2669" s="3">
        <v>46112.78107638889</v>
      </c>
      <c r="V2669"/>
      <c r="W2669" s="3">
        <v>46110</v>
      </c>
      <c r="X2669" t="inlineStr">
        <is>
          <t>03</t>
        </is>
      </c>
      <c r="Y2669" t="inlineStr">
        <is>
          <t>2026-Q1</t>
        </is>
      </c>
    </row>
    <row r="2670" ht="38.25" customHeight="1">
      <c r="A2670" t="inlineStr">
        <is>
          <t>25国考省考考试真题含答案解析历年行测申论真题无水印电子版</t>
        </is>
      </c>
      <c r="B2670" t="inlineStr">
        <is>
          <t>recvfep4Xq3og2.jpg</t>
        </is>
      </c>
      <c r="C2670" s="2" t="str">
        <f>=HYPERLINK("https://xhslink.com/m/26YwpusB4XU", "https://xhslink.com/m/26YwpusB4XU")</f>
        <v>https://xhslink.com/m/26YwpusB4XU</v>
      </c>
      <c r="D2670"/>
      <c r="E2670">
        <v>8787</v>
      </c>
      <c r="F2670">
        <v>5.99</v>
      </c>
      <c r="G2670"/>
      <c r="H2670">
        <v>500</v>
      </c>
      <c r="I2670"/>
      <c r="J2670"/>
      <c r="K2670" t="inlineStr">
        <is>
          <t>省考</t>
        </is>
      </c>
      <c r="L2670" t="inlineStr">
        <is>
          <t>🔥低粉爆款</t>
        </is>
      </c>
      <c r="M2670" t="inlineStr">
        <is>
          <t>上岸的墨仔的店</t>
        </is>
      </c>
      <c r="N2670">
        <v>1062</v>
      </c>
      <c r="O2670">
        <v>4.45</v>
      </c>
      <c r="P2670">
        <v>11000</v>
      </c>
      <c r="Q2670" t="inlineStr">
        <is>
          <t>67f128335d35ce00019924ec</t>
        </is>
      </c>
      <c r="R2670" t="inlineStr">
        <is>
          <t>🚫重复</t>
        </is>
      </c>
      <c r="S2670" t="inlineStr">
        <is>
          <t>考公资料</t>
        </is>
      </c>
      <c r="T2670" t="inlineStr">
        <is>
          <t>8.27</t>
        </is>
      </c>
      <c r="U2670" s="3">
        <v>46112.78107638889</v>
      </c>
      <c r="V2670"/>
      <c r="W2670" s="3">
        <v>46110</v>
      </c>
      <c r="X2670" t="inlineStr">
        <is>
          <t>03</t>
        </is>
      </c>
      <c r="Y2670" t="inlineStr">
        <is>
          <t>2026-Q1</t>
        </is>
      </c>
    </row>
    <row r="2671" ht="38.25" customHeight="1">
      <c r="A2671" t="inlineStr">
        <is>
          <t>26省考精简资料||资料分析速算＋规范词＋推理＋言语＋常识</t>
        </is>
      </c>
      <c r="B2671" t="inlineStr">
        <is>
          <t>recvfep4XqefQY.jpg</t>
        </is>
      </c>
      <c r="C2671" s="2" t="str">
        <f>=HYPERLINK("https://xhslink.com/m/4PcckO0KXc0", "https://xhslink.com/m/4PcckO0KXc0")</f>
        <v>https://xhslink.com/m/4PcckO0KXc0</v>
      </c>
      <c r="D2671"/>
      <c r="E2671">
        <v>1221</v>
      </c>
      <c r="F2671">
        <v>9.99</v>
      </c>
      <c r="G2671"/>
      <c r="H2671">
        <v>500</v>
      </c>
      <c r="I2671"/>
      <c r="J2671"/>
      <c r="K2671" t="inlineStr">
        <is>
          <t>省考</t>
        </is>
      </c>
      <c r="L2671" t="inlineStr">
        <is>
          <t>🔥低粉爆款</t>
        </is>
      </c>
      <c r="M2671" t="inlineStr">
        <is>
          <t>元宝锦鲤仙女的店</t>
        </is>
      </c>
      <c r="N2671">
        <v>366</v>
      </c>
      <c r="O2671">
        <v>4.57</v>
      </c>
      <c r="P2671">
        <v>8186</v>
      </c>
      <c r="Q2671" t="inlineStr">
        <is>
          <t>6970a3a5621e6f00010b9688</t>
        </is>
      </c>
      <c r="R2671"/>
      <c r="S2671" t="inlineStr">
        <is>
          <t>考公资料</t>
        </is>
      </c>
      <c r="T2671" t="inlineStr">
        <is>
          <t>3.34</t>
        </is>
      </c>
      <c r="U2671" s="3">
        <v>46112.78107638889</v>
      </c>
      <c r="V2671"/>
      <c r="W2671" s="3">
        <v>46110</v>
      </c>
      <c r="X2671" t="inlineStr">
        <is>
          <t>03</t>
        </is>
      </c>
      <c r="Y2671" t="inlineStr">
        <is>
          <t>2026-Q1</t>
        </is>
      </c>
    </row>
    <row r="2672" ht="38.25" customHeight="1">
      <c r="A2672" t="inlineStr">
        <is>
          <t>2025国考省考真题历年公务员考试卷真题行测申论</t>
        </is>
      </c>
      <c r="B2672" t="inlineStr">
        <is>
          <t>recvfep4XqisB2.jpg</t>
        </is>
      </c>
      <c r="C2672" s="2" t="str">
        <f>=HYPERLINK("https://xhslink.com/m/2SmjGLZ6XsX", "https://xhslink.com/m/2SmjGLZ6XsX")</f>
        <v>https://xhslink.com/m/2SmjGLZ6XsX</v>
      </c>
      <c r="D2672"/>
      <c r="E2672">
        <v>5560</v>
      </c>
      <c r="F2672">
        <v>29.99</v>
      </c>
      <c r="G2672"/>
      <c r="H2672">
        <v>600</v>
      </c>
      <c r="I2672">
        <v>1000</v>
      </c>
      <c r="J2672"/>
      <c r="K2672" t="inlineStr">
        <is>
          <t>省考</t>
        </is>
      </c>
      <c r="L2672" t="inlineStr">
        <is>
          <t>🔥低粉爆款</t>
        </is>
      </c>
      <c r="M2672" t="inlineStr">
        <is>
          <t>张小小上岸的店</t>
        </is>
      </c>
      <c r="N2672">
        <v>1063</v>
      </c>
      <c r="O2672">
        <v>4.55</v>
      </c>
      <c r="P2672">
        <v>11000</v>
      </c>
      <c r="Q2672" t="inlineStr">
        <is>
          <t>67a4a67297ab010001885885</t>
        </is>
      </c>
      <c r="R2672" t="inlineStr">
        <is>
          <t>🚫重复</t>
        </is>
      </c>
      <c r="S2672" t="inlineStr">
        <is>
          <t>考公资料</t>
        </is>
      </c>
      <c r="T2672" t="inlineStr">
        <is>
          <t>5.23</t>
        </is>
      </c>
      <c r="U2672" s="3">
        <v>46112.78107638889</v>
      </c>
      <c r="V2672"/>
      <c r="W2672" s="3">
        <v>46110</v>
      </c>
      <c r="X2672" t="inlineStr">
        <is>
          <t>03</t>
        </is>
      </c>
      <c r="Y2672" t="inlineStr">
        <is>
          <t>2026-Q1</t>
        </is>
      </c>
    </row>
    <row r="2673" ht="38.25" customHeight="1">
      <c r="A2673" t="inlineStr">
        <is>
          <t>【仅题本无任何答案】逻辑判断600题 | 公考国省考事业单位行测</t>
        </is>
      </c>
      <c r="B2673" t="inlineStr">
        <is>
          <t>recvfep4XqLT7o.jpg</t>
        </is>
      </c>
      <c r="C2673" s="2" t="str">
        <f>=HYPERLINK("https://xhslink.com/m/5EmUr7SAavd", "https://xhslink.com/m/5EmUr7SAavd")</f>
        <v>https://xhslink.com/m/5EmUr7SAavd</v>
      </c>
      <c r="D2673"/>
      <c r="E2673">
        <v>2427</v>
      </c>
      <c r="F2673">
        <v>13.2</v>
      </c>
      <c r="G2673"/>
      <c r="H2673">
        <v>150</v>
      </c>
      <c r="I2673">
        <v>1000</v>
      </c>
      <c r="J2673"/>
      <c r="K2673" t="inlineStr">
        <is>
          <t>省考</t>
        </is>
      </c>
      <c r="L2673"/>
      <c r="M2673" t="inlineStr">
        <is>
          <t>四海公考的店</t>
        </is>
      </c>
      <c r="N2673">
        <v>109000</v>
      </c>
      <c r="O2673">
        <v>4.49</v>
      </c>
      <c r="P2673">
        <v>44000</v>
      </c>
      <c r="Q2673" t="inlineStr">
        <is>
          <t>68f59157c67e470001251f59</t>
        </is>
      </c>
      <c r="R2673" t="inlineStr">
        <is>
          <t>🚫重复</t>
        </is>
      </c>
      <c r="S2673" t="inlineStr">
        <is>
          <t>考公资料</t>
        </is>
      </c>
      <c r="T2673" t="inlineStr">
        <is>
          <t>0.02</t>
        </is>
      </c>
      <c r="U2673" s="3">
        <v>46112.78107638889</v>
      </c>
      <c r="V2673"/>
      <c r="W2673" s="3">
        <v>46110</v>
      </c>
      <c r="X2673" t="inlineStr">
        <is>
          <t>03</t>
        </is>
      </c>
      <c r="Y2673" t="inlineStr">
        <is>
          <t>2026-Q1</t>
        </is>
      </c>
    </row>
    <row r="2674" ht="38.25" customHeight="1">
      <c r="A2674" t="inlineStr">
        <is>
          <t>26行测申论历年真题含答案解析 个人形象</t>
        </is>
      </c>
      <c r="B2674" t="inlineStr">
        <is>
          <t>recvfep4XqNnh5.jpg</t>
        </is>
      </c>
      <c r="C2674" s="2" t="str">
        <f>=HYPERLINK("https://xhslink.com/m/8ZnqV9bFRpG", "https://xhslink.com/m/8ZnqV9bFRpG")</f>
        <v>https://xhslink.com/m/8ZnqV9bFRpG</v>
      </c>
      <c r="D2674"/>
      <c r="E2674">
        <v>6098</v>
      </c>
      <c r="F2674">
        <v>1.88</v>
      </c>
      <c r="G2674"/>
      <c r="H2674">
        <v>800</v>
      </c>
      <c r="I2674"/>
      <c r="J2674"/>
      <c r="K2674" t="inlineStr">
        <is>
          <t>省考</t>
        </is>
      </c>
      <c r="L2674" t="inlineStr">
        <is>
          <t>🔥低粉爆款</t>
        </is>
      </c>
      <c r="M2674" t="inlineStr">
        <is>
          <t>奉令的店</t>
        </is>
      </c>
      <c r="N2674">
        <v>670</v>
      </c>
      <c r="O2674">
        <v>4.52</v>
      </c>
      <c r="P2674">
        <v>26000</v>
      </c>
      <c r="Q2674" t="inlineStr">
        <is>
          <t>68d104a0c88e9f00018b1ae6</t>
        </is>
      </c>
      <c r="R2674"/>
      <c r="S2674" t="inlineStr">
        <is>
          <t>考公资料</t>
        </is>
      </c>
      <c r="T2674" t="inlineStr">
        <is>
          <t>9.10</t>
        </is>
      </c>
      <c r="U2674" s="3">
        <v>46112.78107638889</v>
      </c>
      <c r="V2674"/>
      <c r="W2674" s="3">
        <v>46110</v>
      </c>
      <c r="X2674" t="inlineStr">
        <is>
          <t>03</t>
        </is>
      </c>
      <c r="Y2674" t="inlineStr">
        <is>
          <t>2026-Q1</t>
        </is>
      </c>
    </row>
    <row r="2675" ht="38.25" customHeight="1">
      <c r="A2675" t="inlineStr">
        <is>
          <t>花生十三 · 【仅题本无解析】资料分析600题 | 公考国省考事业单位行测</t>
        </is>
      </c>
      <c r="B2675" t="inlineStr">
        <is>
          <t>recvfep4Xqzu3a.jpg</t>
        </is>
      </c>
      <c r="C2675" s="2" t="str">
        <f>=HYPERLINK("https://xhslink.com/m/4WTfQq4byU9", "https://xhslink.com/m/4WTfQq4byU9")</f>
        <v>https://xhslink.com/m/4WTfQq4byU9</v>
      </c>
      <c r="D2675"/>
      <c r="E2675">
        <v>1929</v>
      </c>
      <c r="F2675">
        <v>13.2</v>
      </c>
      <c r="G2675"/>
      <c r="H2675">
        <v>100</v>
      </c>
      <c r="I2675"/>
      <c r="J2675"/>
      <c r="K2675" t="inlineStr">
        <is>
          <t>省考</t>
        </is>
      </c>
      <c r="L2675"/>
      <c r="M2675" t="inlineStr">
        <is>
          <t>四海公考的店</t>
        </is>
      </c>
      <c r="N2675">
        <v>109000</v>
      </c>
      <c r="O2675">
        <v>4.49</v>
      </c>
      <c r="P2675">
        <v>44000</v>
      </c>
      <c r="Q2675" t="inlineStr">
        <is>
          <t>68f58d83ae1c170001b4149d</t>
        </is>
      </c>
      <c r="R2675" t="inlineStr">
        <is>
          <t>🚫重复</t>
        </is>
      </c>
      <c r="S2675" t="inlineStr">
        <is>
          <t>考公资料</t>
        </is>
      </c>
      <c r="T2675" t="inlineStr">
        <is>
          <t>0.02</t>
        </is>
      </c>
      <c r="U2675" s="3">
        <v>46112.78107638889</v>
      </c>
      <c r="V2675"/>
      <c r="W2675" s="3">
        <v>46110</v>
      </c>
      <c r="X2675" t="inlineStr">
        <is>
          <t>03</t>
        </is>
      </c>
      <c r="Y2675" t="inlineStr">
        <is>
          <t>2026-Q1</t>
        </is>
      </c>
    </row>
    <row r="2676" ht="38.25" customHeight="1">
      <c r="A2676" t="inlineStr">
        <is>
          <t>2027考研网课政治英语数学全程班</t>
        </is>
      </c>
      <c r="B2676" t="inlineStr">
        <is>
          <t>recvfep4Xq8phz.jpg</t>
        </is>
      </c>
      <c r="C2676" s="2" t="str">
        <f>=HYPERLINK("https://xhslink.com/m/3e1NJGl8Smw", "https://xhslink.com/m/3e1NJGl8Smw")</f>
        <v>https://xhslink.com/m/3e1NJGl8Smw</v>
      </c>
      <c r="D2676"/>
      <c r="E2676">
        <v>2732</v>
      </c>
      <c r="F2676">
        <v>7.99</v>
      </c>
      <c r="G2676"/>
      <c r="H2676">
        <v>150</v>
      </c>
      <c r="I2676"/>
      <c r="J2676"/>
      <c r="K2676" t="inlineStr">
        <is>
          <t>考研英语</t>
        </is>
      </c>
      <c r="L2676" t="inlineStr">
        <is>
          <t>🔥低粉爆款</t>
        </is>
      </c>
      <c r="M2676" t="inlineStr">
        <is>
          <t>好好爱学的店</t>
        </is>
      </c>
      <c r="N2676">
        <v>519</v>
      </c>
      <c r="O2676">
        <v>4.33</v>
      </c>
      <c r="P2676">
        <v>19000</v>
      </c>
      <c r="Q2676" t="inlineStr">
        <is>
          <t>69a3e5709069530001a493f3</t>
        </is>
      </c>
      <c r="R2676" t="inlineStr">
        <is>
          <t>🚫重复</t>
        </is>
      </c>
      <c r="S2676" t="inlineStr">
        <is>
          <t>考研资料</t>
        </is>
      </c>
      <c r="T2676" t="inlineStr">
        <is>
          <t>5.26</t>
        </is>
      </c>
      <c r="U2676" s="3">
        <v>46112.78107638889</v>
      </c>
      <c r="V2676"/>
      <c r="W2676" s="3">
        <v>46110</v>
      </c>
      <c r="X2676" t="inlineStr">
        <is>
          <t>03</t>
        </is>
      </c>
      <c r="Y2676" t="inlineStr">
        <is>
          <t>2026-Q1</t>
        </is>
      </c>
    </row>
    <row r="2677" ht="38.25" customHeight="1">
      <c r="A2677" t="inlineStr">
        <is>
          <t>考研复试口语30题（速通版）</t>
        </is>
      </c>
      <c r="B2677" t="inlineStr">
        <is>
          <t>recvfep4XqaVtT.jpg</t>
        </is>
      </c>
      <c r="C2677" s="2" t="str">
        <f>=HYPERLINK("https://xhslink.com/m/8FNoeMQwrQ5", "https://xhslink.com/m/8FNoeMQwrQ5")</f>
        <v>https://xhslink.com/m/8FNoeMQwrQ5</v>
      </c>
      <c r="D2677"/>
      <c r="E2677">
        <v>2641</v>
      </c>
      <c r="F2677">
        <v>6.88</v>
      </c>
      <c r="G2677"/>
      <c r="H2677">
        <v>200</v>
      </c>
      <c r="I2677"/>
      <c r="J2677"/>
      <c r="K2677" t="inlineStr">
        <is>
          <t>考研英语</t>
        </is>
      </c>
      <c r="L2677" t="inlineStr">
        <is>
          <t>🔥低粉爆款</t>
        </is>
      </c>
      <c r="M2677" t="inlineStr">
        <is>
          <t>我是Lily（上岸版）的店</t>
        </is>
      </c>
      <c r="N2677">
        <v>493</v>
      </c>
      <c r="O2677">
        <v>4.56</v>
      </c>
      <c r="P2677">
        <v>3293</v>
      </c>
      <c r="Q2677" t="inlineStr">
        <is>
          <t>69a19f9783f25d00015ee87a</t>
        </is>
      </c>
      <c r="R2677"/>
      <c r="S2677" t="inlineStr">
        <is>
          <t>考研资料</t>
        </is>
      </c>
      <c r="T2677" t="inlineStr">
        <is>
          <t>5.36</t>
        </is>
      </c>
      <c r="U2677" s="3">
        <v>46112.78107638889</v>
      </c>
      <c r="V2677"/>
      <c r="W2677" s="3">
        <v>46110</v>
      </c>
      <c r="X2677" t="inlineStr">
        <is>
          <t>03</t>
        </is>
      </c>
      <c r="Y2677" t="inlineStr">
        <is>
          <t>2026-Q1</t>
        </is>
      </c>
    </row>
    <row r="2678" ht="38.25" customHeight="1">
      <c r="A2678" t="inlineStr">
        <is>
          <t>考研复试英语口语资料包（可编辑可打印｜百度网盘）</t>
        </is>
      </c>
      <c r="B2678" t="inlineStr">
        <is>
          <t>recvfep4Xq64Ov.jpg</t>
        </is>
      </c>
      <c r="C2678" s="2" t="str">
        <f>=HYPERLINK("https://xhslink.com/m/8fCr2iJyLj3", "https://xhslink.com/m/8fCr2iJyLj3")</f>
        <v>https://xhslink.com/m/8fCr2iJyLj3</v>
      </c>
      <c r="D2678"/>
      <c r="E2678">
        <v>3452</v>
      </c>
      <c r="F2678">
        <v>9.99</v>
      </c>
      <c r="G2678"/>
      <c r="H2678">
        <v>800</v>
      </c>
      <c r="I2678"/>
      <c r="J2678"/>
      <c r="K2678" t="inlineStr">
        <is>
          <t>考研英语</t>
        </is>
      </c>
      <c r="L2678"/>
      <c r="M2678" t="inlineStr">
        <is>
          <t>上岸Kitty的店</t>
        </is>
      </c>
      <c r="N2678">
        <v>5111</v>
      </c>
      <c r="O2678">
        <v>4.62</v>
      </c>
      <c r="P2678">
        <v>30000</v>
      </c>
      <c r="Q2678" t="inlineStr">
        <is>
          <t>697db5ebeb0d9a00013fe0c5</t>
        </is>
      </c>
      <c r="R2678" t="inlineStr">
        <is>
          <t>🚫重复</t>
        </is>
      </c>
      <c r="S2678" t="inlineStr">
        <is>
          <t>考研资料</t>
        </is>
      </c>
      <c r="T2678" t="inlineStr">
        <is>
          <t>0.68</t>
        </is>
      </c>
      <c r="U2678" s="3">
        <v>46112.78107638889</v>
      </c>
      <c r="V2678"/>
      <c r="W2678" s="3">
        <v>46110</v>
      </c>
      <c r="X2678" t="inlineStr">
        <is>
          <t>03</t>
        </is>
      </c>
      <c r="Y2678" t="inlineStr">
        <is>
          <t>2026-Q1</t>
        </is>
      </c>
    </row>
    <row r="2679" ht="38.25" customHeight="1">
      <c r="A2679" t="inlineStr">
        <is>
          <t>50个小故事记住5500考研单词</t>
        </is>
      </c>
      <c r="B2679" t="inlineStr">
        <is>
          <t>recvfep4Xqt8xm.jpg</t>
        </is>
      </c>
      <c r="C2679" s="2" t="str">
        <f>=HYPERLINK("https://xhslink.com/m/A2mqpZtrw4h", "https://xhslink.com/m/A2mqpZtrw4h")</f>
        <v>https://xhslink.com/m/A2mqpZtrw4h</v>
      </c>
      <c r="D2679"/>
      <c r="E2679">
        <v>12000</v>
      </c>
      <c r="F2679">
        <v>6.9</v>
      </c>
      <c r="G2679"/>
      <c r="H2679">
        <v>100</v>
      </c>
      <c r="I2679"/>
      <c r="J2679"/>
      <c r="K2679" t="inlineStr">
        <is>
          <t>考研英语</t>
        </is>
      </c>
      <c r="L2679"/>
      <c r="M2679" t="inlineStr">
        <is>
          <t>可可ABC的店</t>
        </is>
      </c>
      <c r="N2679">
        <v>17000</v>
      </c>
      <c r="O2679">
        <v>4.49</v>
      </c>
      <c r="P2679">
        <v>16000</v>
      </c>
      <c r="Q2679" t="inlineStr">
        <is>
          <t>6912ebe70323f20001c81af2</t>
        </is>
      </c>
      <c r="R2679"/>
      <c r="S2679" t="inlineStr">
        <is>
          <t>考研资料</t>
        </is>
      </c>
      <c r="T2679" t="inlineStr">
        <is>
          <t>0.71</t>
        </is>
      </c>
      <c r="U2679" s="3">
        <v>46112.78107638889</v>
      </c>
      <c r="V2679"/>
      <c r="W2679" s="3">
        <v>46110</v>
      </c>
      <c r="X2679" t="inlineStr">
        <is>
          <t>03</t>
        </is>
      </c>
      <c r="Y2679" t="inlineStr">
        <is>
          <t>2026-Q1</t>
        </is>
      </c>
    </row>
    <row r="2680" ht="38.25" customHeight="1">
      <c r="A2680" t="inlineStr">
        <is>
          <t>2026年考研英语一历年真题+答案详解pdf电子版</t>
        </is>
      </c>
      <c r="B2680" t="inlineStr">
        <is>
          <t>recvfep4XqkPpJ.jpg</t>
        </is>
      </c>
      <c r="C2680" s="2" t="str">
        <f>=HYPERLINK("https://xhslink.com/m/4fbuYQ5DHVa", "https://xhslink.com/m/4fbuYQ5DHVa")</f>
        <v>https://xhslink.com/m/4fbuYQ5DHVa</v>
      </c>
      <c r="D2680"/>
      <c r="E2680">
        <v>7121</v>
      </c>
      <c r="F2680">
        <v>2.88</v>
      </c>
      <c r="G2680"/>
      <c r="H2680">
        <v>250</v>
      </c>
      <c r="I2680"/>
      <c r="J2680"/>
      <c r="K2680" t="inlineStr">
        <is>
          <t>考研英语</t>
        </is>
      </c>
      <c r="L2680" t="inlineStr">
        <is>
          <t>🔥低粉爆款</t>
        </is>
      </c>
      <c r="M2680" t="inlineStr">
        <is>
          <t>七秀爱学习的店</t>
        </is>
      </c>
      <c r="N2680">
        <v>633</v>
      </c>
      <c r="O2680">
        <v>4.4</v>
      </c>
      <c r="P2680">
        <v>11000</v>
      </c>
      <c r="Q2680" t="inlineStr">
        <is>
          <t>685fbcd57590770001e7c6ab</t>
        </is>
      </c>
      <c r="R2680" t="inlineStr">
        <is>
          <t>🚫重复</t>
        </is>
      </c>
      <c r="S2680" t="inlineStr">
        <is>
          <t>考研资料</t>
        </is>
      </c>
      <c r="T2680" t="inlineStr">
        <is>
          <t>11.25</t>
        </is>
      </c>
      <c r="U2680" s="3">
        <v>46112.78107638889</v>
      </c>
      <c r="V2680"/>
      <c r="W2680" s="3">
        <v>46110</v>
      </c>
      <c r="X2680" t="inlineStr">
        <is>
          <t>03</t>
        </is>
      </c>
      <c r="Y2680" t="inlineStr">
        <is>
          <t>2026-Q1</t>
        </is>
      </c>
    </row>
    <row r="2681" ht="38.25" customHeight="1">
      <c r="A2681" t="inlineStr">
        <is>
          <t>考研复试自我介绍和常见中英口语问答</t>
        </is>
      </c>
      <c r="B2681" t="inlineStr">
        <is>
          <t>recvfep4XqZbwm.jpg</t>
        </is>
      </c>
      <c r="C2681" s="2" t="str">
        <f>=HYPERLINK("https://xhslink.com/m/4GjgXHeyhZ0", "https://xhslink.com/m/4GjgXHeyhZ0")</f>
        <v>https://xhslink.com/m/4GjgXHeyhZ0</v>
      </c>
      <c r="D2681"/>
      <c r="E2681">
        <v>3186</v>
      </c>
      <c r="F2681">
        <v>3.99</v>
      </c>
      <c r="G2681"/>
      <c r="H2681">
        <v>1500</v>
      </c>
      <c r="I2681"/>
      <c r="J2681"/>
      <c r="K2681" t="inlineStr">
        <is>
          <t>考研英语</t>
        </is>
      </c>
      <c r="L2681"/>
      <c r="M2681" t="inlineStr">
        <is>
          <t>豁然的店</t>
        </is>
      </c>
      <c r="N2681">
        <v>6306</v>
      </c>
      <c r="O2681">
        <v>4.56</v>
      </c>
      <c r="P2681">
        <v>7473</v>
      </c>
      <c r="Q2681" t="inlineStr">
        <is>
          <t>69a1af3936330e0001f0fa0e</t>
        </is>
      </c>
      <c r="R2681"/>
      <c r="S2681" t="inlineStr">
        <is>
          <t>考研资料</t>
        </is>
      </c>
      <c r="T2681" t="inlineStr">
        <is>
          <t>0.51</t>
        </is>
      </c>
      <c r="U2681" s="3">
        <v>46112.78107638889</v>
      </c>
      <c r="V2681"/>
      <c r="W2681" s="3">
        <v>46110</v>
      </c>
      <c r="X2681" t="inlineStr">
        <is>
          <t>03</t>
        </is>
      </c>
      <c r="Y2681" t="inlineStr">
        <is>
          <t>2026-Q1</t>
        </is>
      </c>
    </row>
    <row r="2682" ht="38.25" customHeight="1">
      <c r="A2682" t="inlineStr">
        <is>
          <t>考研复试·口语高频问答+定制中英文自我介绍+口语打分+生成音频</t>
        </is>
      </c>
      <c r="B2682" t="inlineStr">
        <is>
          <t>recvfep4XqSS9C.jpg</t>
        </is>
      </c>
      <c r="C2682" s="2" t="str">
        <f>=HYPERLINK("https://xhslink.com/m/6OqOOx9nc8k", "https://xhslink.com/m/6OqOOx9nc8k")</f>
        <v>https://xhslink.com/m/6OqOOx9nc8k</v>
      </c>
      <c r="D2682"/>
      <c r="E2682">
        <v>4050</v>
      </c>
      <c r="F2682">
        <v>19.9</v>
      </c>
      <c r="G2682"/>
      <c r="H2682">
        <v>2000</v>
      </c>
      <c r="I2682"/>
      <c r="J2682"/>
      <c r="K2682" t="inlineStr">
        <is>
          <t>考研英语</t>
        </is>
      </c>
      <c r="L2682"/>
      <c r="M2682" t="inlineStr">
        <is>
          <t>扇贝考研的店</t>
        </is>
      </c>
      <c r="N2682">
        <v>87000</v>
      </c>
      <c r="O2682">
        <v>4.27</v>
      </c>
      <c r="P2682">
        <v>27000</v>
      </c>
      <c r="Q2682" t="inlineStr">
        <is>
          <t>697078a219260d0001de8401</t>
        </is>
      </c>
      <c r="R2682"/>
      <c r="S2682" t="inlineStr">
        <is>
          <t>考研资料</t>
        </is>
      </c>
      <c r="T2682" t="inlineStr">
        <is>
          <t>0.05</t>
        </is>
      </c>
      <c r="U2682" s="3">
        <v>46112.78107638889</v>
      </c>
      <c r="V2682"/>
      <c r="W2682" s="3">
        <v>46110</v>
      </c>
      <c r="X2682" t="inlineStr">
        <is>
          <t>03</t>
        </is>
      </c>
      <c r="Y2682" t="inlineStr">
        <is>
          <t>2026-Q1</t>
        </is>
      </c>
    </row>
    <row r="2683" ht="38.25" customHeight="1">
      <c r="A2683" t="inlineStr">
        <is>
          <t>考研英语一英语二历年真题及解析电子版 PDF高清无水印自动发货</t>
        </is>
      </c>
      <c r="B2683" t="inlineStr">
        <is>
          <t>recvfep4XqlkfE.jpg</t>
        </is>
      </c>
      <c r="C2683" s="2" t="str">
        <f>=HYPERLINK("https://xhslink.com/m/siI5QtXZzX", "https://xhslink.com/m/siI5QtXZzX")</f>
        <v>https://xhslink.com/m/siI5QtXZzX</v>
      </c>
      <c r="D2683"/>
      <c r="E2683">
        <v>10000</v>
      </c>
      <c r="F2683">
        <v>0.99</v>
      </c>
      <c r="G2683"/>
      <c r="H2683">
        <v>950</v>
      </c>
      <c r="I2683"/>
      <c r="J2683"/>
      <c r="K2683" t="inlineStr">
        <is>
          <t>考研英语</t>
        </is>
      </c>
      <c r="L2683" t="inlineStr">
        <is>
          <t>🔥低粉爆款</t>
        </is>
      </c>
      <c r="M2683" t="inlineStr">
        <is>
          <t>离雨淬阁的店</t>
        </is>
      </c>
      <c r="N2683">
        <v>1029</v>
      </c>
      <c r="O2683">
        <v>4.43</v>
      </c>
      <c r="P2683">
        <v>33000</v>
      </c>
      <c r="Q2683" t="inlineStr">
        <is>
          <t>68b41ca86d4cc90001bf31bc</t>
        </is>
      </c>
      <c r="R2683" t="inlineStr">
        <is>
          <t>🚫重复</t>
        </is>
      </c>
      <c r="S2683" t="inlineStr">
        <is>
          <t>考研资料</t>
        </is>
      </c>
      <c r="T2683" t="inlineStr">
        <is>
          <t>9.72</t>
        </is>
      </c>
      <c r="U2683" s="3">
        <v>46112.78107638889</v>
      </c>
      <c r="V2683"/>
      <c r="W2683" s="3">
        <v>46110</v>
      </c>
      <c r="X2683" t="inlineStr">
        <is>
          <t>03</t>
        </is>
      </c>
      <c r="Y2683" t="inlineStr">
        <is>
          <t>2026-Q1</t>
        </is>
      </c>
    </row>
    <row r="2684" ht="38.25" customHeight="1">
      <c r="A2684" t="inlineStr">
        <is>
          <t>27考研英语红宝书（词汇+音频+默写本）PDF版</t>
        </is>
      </c>
      <c r="B2684" t="inlineStr">
        <is>
          <t>recvfep4Xq6Zmo.jpg</t>
        </is>
      </c>
      <c r="C2684" s="2" t="str">
        <f>=HYPERLINK("https://xhslink.com/m/3n8QtLkDHUn", "https://xhslink.com/m/3n8QtLkDHUn")</f>
        <v>https://xhslink.com/m/3n8QtLkDHUn</v>
      </c>
      <c r="D2684"/>
      <c r="E2684">
        <v>1380</v>
      </c>
      <c r="F2684">
        <v>1.68</v>
      </c>
      <c r="G2684"/>
      <c r="H2684">
        <v>500</v>
      </c>
      <c r="I2684"/>
      <c r="J2684"/>
      <c r="K2684" t="inlineStr">
        <is>
          <t>考研英语</t>
        </is>
      </c>
      <c r="L2684"/>
      <c r="M2684" t="inlineStr">
        <is>
          <t>小珂学姐的店</t>
        </is>
      </c>
      <c r="N2684">
        <v>1840</v>
      </c>
      <c r="O2684">
        <v>4.5</v>
      </c>
      <c r="P2684">
        <v>20000</v>
      </c>
      <c r="Q2684" t="inlineStr">
        <is>
          <t>697e190b7db7d200014eff4d</t>
        </is>
      </c>
      <c r="R2684" t="inlineStr">
        <is>
          <t>🚫重复</t>
        </is>
      </c>
      <c r="S2684" t="inlineStr">
        <is>
          <t>英语资料</t>
        </is>
      </c>
      <c r="T2684" t="inlineStr">
        <is>
          <t>0.75</t>
        </is>
      </c>
      <c r="U2684" s="3">
        <v>46112.78107638889</v>
      </c>
      <c r="V2684"/>
      <c r="W2684" s="3">
        <v>46110</v>
      </c>
      <c r="X2684" t="inlineStr">
        <is>
          <t>03</t>
        </is>
      </c>
      <c r="Y2684" t="inlineStr">
        <is>
          <t>2026-Q1</t>
        </is>
      </c>
    </row>
    <row r="2685" ht="38.25" customHeight="1">
      <c r="A2685" t="inlineStr">
        <is>
          <t>26考研复试政治大全MBA/EMBA/MPA/MTA/MLIS/管理类联考—全新</t>
        </is>
      </c>
      <c r="B2685" t="inlineStr">
        <is>
          <t>recvfep4XqEoJZ.jpg</t>
        </is>
      </c>
      <c r="C2685" s="2" t="str">
        <f>=HYPERLINK("https://xhslink.com/m/75edjgizOwF", "https://xhslink.com/m/75edjgizOwF")</f>
        <v>https://xhslink.com/m/75edjgizOwF</v>
      </c>
      <c r="D2685"/>
      <c r="E2685">
        <v>2003</v>
      </c>
      <c r="F2685">
        <v>6.9</v>
      </c>
      <c r="G2685"/>
      <c r="H2685">
        <v>450</v>
      </c>
      <c r="I2685"/>
      <c r="J2685"/>
      <c r="K2685" t="inlineStr">
        <is>
          <t>考研政治</t>
        </is>
      </c>
      <c r="L2685"/>
      <c r="M2685" t="inlineStr">
        <is>
          <t>44学姐小日记的店</t>
        </is>
      </c>
      <c r="N2685">
        <v>2172</v>
      </c>
      <c r="O2685">
        <v>4.36</v>
      </c>
      <c r="P2685">
        <v>4776</v>
      </c>
      <c r="Q2685" t="inlineStr">
        <is>
          <t>67af52bbeef1820001f95025</t>
        </is>
      </c>
      <c r="R2685"/>
      <c r="S2685" t="inlineStr">
        <is>
          <t>考研资料</t>
        </is>
      </c>
      <c r="T2685" t="inlineStr">
        <is>
          <t>0.92</t>
        </is>
      </c>
      <c r="U2685" s="3">
        <v>46112.78107638889</v>
      </c>
      <c r="V2685"/>
      <c r="W2685" s="3">
        <v>46110</v>
      </c>
      <c r="X2685" t="inlineStr">
        <is>
          <t>03</t>
        </is>
      </c>
      <c r="Y2685" t="inlineStr">
        <is>
          <t>2026-Q1</t>
        </is>
      </c>
    </row>
    <row r="2686" ht="38.25" customHeight="1">
      <c r="A2686" t="inlineStr">
        <is>
          <t>27考研网课政治英语一二数学一二三管综西综经综法硕等全程网课秒</t>
        </is>
      </c>
      <c r="B2686" t="inlineStr">
        <is>
          <t>recvfep4XqjMhw.jpg</t>
        </is>
      </c>
      <c r="C2686" s="2" t="str">
        <f>=HYPERLINK("https://xhslink.com/m/2q4V126fjQM", "https://xhslink.com/m/2q4V126fjQM")</f>
        <v>https://xhslink.com/m/2q4V126fjQM</v>
      </c>
      <c r="D2686"/>
      <c r="E2686">
        <v>968</v>
      </c>
      <c r="F2686">
        <v>9.9</v>
      </c>
      <c r="G2686"/>
      <c r="H2686">
        <v>350</v>
      </c>
      <c r="I2686"/>
      <c r="J2686"/>
      <c r="K2686" t="inlineStr">
        <is>
          <t>考研政治</t>
        </is>
      </c>
      <c r="L2686"/>
      <c r="M2686" t="inlineStr">
        <is>
          <t>子涵学姐的店</t>
        </is>
      </c>
      <c r="N2686">
        <v>4651</v>
      </c>
      <c r="O2686">
        <v>4.38</v>
      </c>
      <c r="P2686">
        <v>1764</v>
      </c>
      <c r="Q2686" t="inlineStr">
        <is>
          <t>68e8fec49176f5000131b175</t>
        </is>
      </c>
      <c r="R2686"/>
      <c r="S2686" t="inlineStr">
        <is>
          <t>考研资料</t>
        </is>
      </c>
      <c r="T2686" t="inlineStr">
        <is>
          <t>0.21</t>
        </is>
      </c>
      <c r="U2686" s="3">
        <v>46112.78107638889</v>
      </c>
      <c r="V2686"/>
      <c r="W2686" s="3">
        <v>46110</v>
      </c>
      <c r="X2686" t="inlineStr">
        <is>
          <t>03</t>
        </is>
      </c>
      <c r="Y2686" t="inlineStr">
        <is>
          <t>2026-Q1</t>
        </is>
      </c>
    </row>
    <row r="2687" ht="38.25" customHeight="1">
      <c r="A2687" t="inlineStr">
        <is>
          <t>考研历年真题考研英语考研数学考研政治199管综408计算机等</t>
        </is>
      </c>
      <c r="B2687" t="inlineStr">
        <is>
          <t>recvfep4Xq9JWQ.jpg</t>
        </is>
      </c>
      <c r="C2687" s="2" t="str">
        <f>=HYPERLINK("https://xhslink.com/m/4fzqgwewEI8", "https://xhslink.com/m/4fzqgwewEI8")</f>
        <v>https://xhslink.com/m/4fzqgwewEI8</v>
      </c>
      <c r="D2687"/>
      <c r="E2687">
        <v>1816</v>
      </c>
      <c r="F2687">
        <v>1</v>
      </c>
      <c r="G2687"/>
      <c r="H2687">
        <v>400</v>
      </c>
      <c r="I2687"/>
      <c r="J2687"/>
      <c r="K2687" t="inlineStr">
        <is>
          <t>考研政治</t>
        </is>
      </c>
      <c r="L2687"/>
      <c r="M2687" t="inlineStr">
        <is>
          <t>考研择校宝的店</t>
        </is>
      </c>
      <c r="N2687">
        <v>2506</v>
      </c>
      <c r="O2687">
        <v>4.46</v>
      </c>
      <c r="P2687">
        <v>23000</v>
      </c>
      <c r="Q2687" t="inlineStr">
        <is>
          <t>6936943b02483f0001246927</t>
        </is>
      </c>
      <c r="R2687" t="inlineStr">
        <is>
          <t>🚫重复</t>
        </is>
      </c>
      <c r="S2687" t="inlineStr">
        <is>
          <t>考研资料</t>
        </is>
      </c>
      <c r="T2687" t="inlineStr">
        <is>
          <t>0.72</t>
        </is>
      </c>
      <c r="U2687" s="3">
        <v>46112.78107638889</v>
      </c>
      <c r="V2687"/>
      <c r="W2687" s="3">
        <v>46110</v>
      </c>
      <c r="X2687" t="inlineStr">
        <is>
          <t>03</t>
        </is>
      </c>
      <c r="Y2687" t="inlineStr">
        <is>
          <t>2026-Q1</t>
        </is>
      </c>
    </row>
    <row r="2688" ht="38.25" customHeight="1">
      <c r="A2688" t="inlineStr">
        <is>
          <t>25年10月已更事业单位联考ABCDE类历年真题职测+综应+答案解析</t>
        </is>
      </c>
      <c r="B2688" t="inlineStr">
        <is>
          <t>recvfep4XqRekd.jpg</t>
        </is>
      </c>
      <c r="C2688" s="2" t="str">
        <f>=HYPERLINK("https://xhslink.com/m/2yGGm4WAldg", "https://xhslink.com/m/2yGGm4WAldg")</f>
        <v>https://xhslink.com/m/2yGGm4WAldg</v>
      </c>
      <c r="D2688"/>
      <c r="E2688">
        <v>3925</v>
      </c>
      <c r="F2688">
        <v>15.8</v>
      </c>
      <c r="G2688"/>
      <c r="H2688">
        <v>400</v>
      </c>
      <c r="I2688"/>
      <c r="J2688"/>
      <c r="K2688" t="inlineStr">
        <is>
          <t>事业单位</t>
        </is>
      </c>
      <c r="L2688" t="inlineStr">
        <is>
          <t>🔥低粉爆款</t>
        </is>
      </c>
      <c r="M2688" t="inlineStr">
        <is>
          <t>张小小上岸的店</t>
        </is>
      </c>
      <c r="N2688">
        <v>1063</v>
      </c>
      <c r="O2688">
        <v>4.55</v>
      </c>
      <c r="P2688">
        <v>11000</v>
      </c>
      <c r="Q2688" t="inlineStr">
        <is>
          <t>67bd974229b9f70001b745ef</t>
        </is>
      </c>
      <c r="R2688" t="inlineStr">
        <is>
          <t>🚫重复</t>
        </is>
      </c>
      <c r="S2688" t="inlineStr">
        <is>
          <t>考公资料</t>
        </is>
      </c>
      <c r="T2688" t="inlineStr">
        <is>
          <t>3.69</t>
        </is>
      </c>
      <c r="U2688" s="3">
        <v>46112.78107638889</v>
      </c>
      <c r="V2688"/>
      <c r="W2688" s="3">
        <v>46110</v>
      </c>
      <c r="X2688" t="inlineStr">
        <is>
          <t>03</t>
        </is>
      </c>
      <c r="Y2688" t="inlineStr">
        <is>
          <t>2026-Q1</t>
        </is>
      </c>
    </row>
    <row r="2689" ht="38.25" customHeight="1">
      <c r="A2689" t="inlineStr">
        <is>
          <t>26..国考省考事业单位名师课程大合集（包更新）</t>
        </is>
      </c>
      <c r="B2689" t="inlineStr">
        <is>
          <t>recvfep4XqyouK.jpg</t>
        </is>
      </c>
      <c r="C2689" s="2" t="str">
        <f>=HYPERLINK("https://xhslink.com/m/AuepFdFQB5q", "https://xhslink.com/m/AuepFdFQB5q")</f>
        <v>https://xhslink.com/m/AuepFdFQB5q</v>
      </c>
      <c r="D2689"/>
      <c r="E2689">
        <v>4518</v>
      </c>
      <c r="F2689">
        <v>19.9</v>
      </c>
      <c r="G2689"/>
      <c r="H2689">
        <v>1500</v>
      </c>
      <c r="I2689"/>
      <c r="J2689"/>
      <c r="K2689" t="inlineStr">
        <is>
          <t>事业单位</t>
        </is>
      </c>
      <c r="L2689" t="inlineStr">
        <is>
          <t>🔥低粉爆款</t>
        </is>
      </c>
      <c r="M2689" t="inlineStr">
        <is>
          <t>捞起月亮的渔民的店的店</t>
        </is>
      </c>
      <c r="N2689">
        <v>603</v>
      </c>
      <c r="O2689">
        <v>4.2</v>
      </c>
      <c r="P2689">
        <v>5932</v>
      </c>
      <c r="Q2689" t="inlineStr">
        <is>
          <t>68d8ebb9c753610001742942</t>
        </is>
      </c>
      <c r="R2689"/>
      <c r="S2689" t="inlineStr">
        <is>
          <t>考公资料</t>
        </is>
      </c>
      <c r="T2689" t="inlineStr">
        <is>
          <t>7.49</t>
        </is>
      </c>
      <c r="U2689" s="3">
        <v>46112.78107638889</v>
      </c>
      <c r="V2689"/>
      <c r="W2689" s="3">
        <v>46110</v>
      </c>
      <c r="X2689" t="inlineStr">
        <is>
          <t>03</t>
        </is>
      </c>
      <c r="Y2689" t="inlineStr">
        <is>
          <t>2026-Q1</t>
        </is>
      </c>
    </row>
    <row r="2690" ht="38.25" customHeight="1">
      <c r="A2690" t="inlineStr">
        <is>
          <t>2026年事业单位综应D类备考资料包真题课程答题技巧题库热点重点</t>
        </is>
      </c>
      <c r="B2690" t="inlineStr">
        <is>
          <t>recvfep4XqX8uR.jpg</t>
        </is>
      </c>
      <c r="C2690" s="2" t="str">
        <f>=HYPERLINK("https://xhslink.com/m/AZmXARFByFv", "https://xhslink.com/m/AZmXARFByFv")</f>
        <v>https://xhslink.com/m/AZmXARFByFv</v>
      </c>
      <c r="D2690"/>
      <c r="E2690">
        <v>2016</v>
      </c>
      <c r="F2690">
        <v>7.99</v>
      </c>
      <c r="G2690"/>
      <c r="H2690">
        <v>100</v>
      </c>
      <c r="I2690"/>
      <c r="J2690"/>
      <c r="K2690" t="inlineStr">
        <is>
          <t>事业单位</t>
        </is>
      </c>
      <c r="L2690"/>
      <c r="M2690" t="inlineStr">
        <is>
          <t>学趣小铺的店</t>
        </is>
      </c>
      <c r="N2690">
        <v>2076</v>
      </c>
      <c r="O2690">
        <v>4.29</v>
      </c>
      <c r="P2690">
        <v>18000</v>
      </c>
      <c r="Q2690" t="inlineStr">
        <is>
          <t>67cad655e15c91000103b44b</t>
        </is>
      </c>
      <c r="R2690"/>
      <c r="S2690" t="inlineStr">
        <is>
          <t>教资资料</t>
        </is>
      </c>
      <c r="T2690" t="inlineStr">
        <is>
          <t>0.97</t>
        </is>
      </c>
      <c r="U2690" s="3">
        <v>46112.78107638889</v>
      </c>
      <c r="V2690"/>
      <c r="W2690" s="3">
        <v>46110</v>
      </c>
      <c r="X2690" t="inlineStr">
        <is>
          <t>03</t>
        </is>
      </c>
      <c r="Y2690" t="inlineStr">
        <is>
          <t>2026-Q1</t>
        </is>
      </c>
    </row>
    <row r="2691" ht="38.25" customHeight="1">
      <c r="A2691" t="inlineStr">
        <is>
          <t>2026事业编事业单位考试资料包和课程职测综应ABCDE类百度+夸克</t>
        </is>
      </c>
      <c r="B2691" t="inlineStr">
        <is>
          <t>recvfep4XqxPyA.jpg</t>
        </is>
      </c>
      <c r="C2691" s="2" t="str">
        <f>=HYPERLINK("https://xhslink.com/m/8txTq98eO60", "https://xhslink.com/m/8txTq98eO60")</f>
        <v>https://xhslink.com/m/8txTq98eO60</v>
      </c>
      <c r="D2691"/>
      <c r="E2691">
        <v>2548</v>
      </c>
      <c r="F2691">
        <v>4.99</v>
      </c>
      <c r="G2691"/>
      <c r="H2691">
        <v>750</v>
      </c>
      <c r="I2691"/>
      <c r="J2691"/>
      <c r="K2691" t="inlineStr">
        <is>
          <t>事业单位</t>
        </is>
      </c>
      <c r="L2691" t="inlineStr">
        <is>
          <t>🔥低粉爆款</t>
        </is>
      </c>
      <c r="M2691" t="inlineStr">
        <is>
          <t>Puff甜甜的店</t>
        </is>
      </c>
      <c r="N2691">
        <v>299</v>
      </c>
      <c r="O2691">
        <v>4.16</v>
      </c>
      <c r="P2691">
        <v>9154</v>
      </c>
      <c r="Q2691" t="inlineStr">
        <is>
          <t>698c83c76d22e70001edcc9c</t>
        </is>
      </c>
      <c r="R2691"/>
      <c r="S2691" t="inlineStr">
        <is>
          <t>考公资料</t>
        </is>
      </c>
      <c r="T2691" t="inlineStr">
        <is>
          <t>8.52</t>
        </is>
      </c>
      <c r="U2691" s="3">
        <v>46112.78107638889</v>
      </c>
      <c r="V2691"/>
      <c r="W2691" s="3">
        <v>46110</v>
      </c>
      <c r="X2691" t="inlineStr">
        <is>
          <t>03</t>
        </is>
      </c>
      <c r="Y2691" t="inlineStr">
        <is>
          <t>2026-Q1</t>
        </is>
      </c>
    </row>
    <row r="2692" ht="38.25" customHeight="1">
      <c r="A2692" t="inlineStr">
        <is>
          <t>2026年事业单位联考ABCDE类资料包职测综应笔记考点资料</t>
        </is>
      </c>
      <c r="B2692" t="inlineStr">
        <is>
          <t>recvfep4XqBY6K.jpg</t>
        </is>
      </c>
      <c r="C2692" s="2" t="str">
        <f>=HYPERLINK("https://xhslink.com/m/2l03s1pEg0L", "https://xhslink.com/m/2l03s1pEg0L")</f>
        <v>https://xhslink.com/m/2l03s1pEg0L</v>
      </c>
      <c r="D2692"/>
      <c r="E2692">
        <v>3341</v>
      </c>
      <c r="F2692">
        <v>9.8</v>
      </c>
      <c r="G2692"/>
      <c r="H2692">
        <v>1000</v>
      </c>
      <c r="I2692"/>
      <c r="J2692"/>
      <c r="K2692" t="inlineStr">
        <is>
          <t>事业单位</t>
        </is>
      </c>
      <c r="L2692"/>
      <c r="M2692" t="inlineStr">
        <is>
          <t>悠悠可爱的店</t>
        </is>
      </c>
      <c r="N2692">
        <v>1452</v>
      </c>
      <c r="O2692">
        <v>4.66</v>
      </c>
      <c r="P2692">
        <v>19000</v>
      </c>
      <c r="Q2692" t="inlineStr">
        <is>
          <t>6942d02b0c036b0001f67e20</t>
        </is>
      </c>
      <c r="R2692" t="inlineStr">
        <is>
          <t>🚫重复</t>
        </is>
      </c>
      <c r="S2692" t="inlineStr">
        <is>
          <t>考公资料</t>
        </is>
      </c>
      <c r="T2692" t="inlineStr">
        <is>
          <t>2.30</t>
        </is>
      </c>
      <c r="U2692" s="3">
        <v>46112.78107638889</v>
      </c>
      <c r="V2692"/>
      <c r="W2692" s="3">
        <v>46110</v>
      </c>
      <c r="X2692" t="inlineStr">
        <is>
          <t>03</t>
        </is>
      </c>
      <c r="Y2692" t="inlineStr">
        <is>
          <t>2026-Q1</t>
        </is>
      </c>
    </row>
    <row r="2693" ht="38.25" customHeight="1">
      <c r="A2693" t="inlineStr">
        <is>
          <t>2026广东事业单位统考全套资料</t>
        </is>
      </c>
      <c r="B2693" t="inlineStr">
        <is>
          <t>recvfep4XqQuIf.jpg</t>
        </is>
      </c>
      <c r="C2693" s="2" t="str">
        <f>=HYPERLINK("https://xhslink.com/m/5gwI0wUkbLi", "https://xhslink.com/m/5gwI0wUkbLi")</f>
        <v>https://xhslink.com/m/5gwI0wUkbLi</v>
      </c>
      <c r="D2693"/>
      <c r="E2693">
        <v>2582</v>
      </c>
      <c r="F2693">
        <v>6.6</v>
      </c>
      <c r="G2693"/>
      <c r="H2693">
        <v>1000</v>
      </c>
      <c r="I2693"/>
      <c r="J2693"/>
      <c r="K2693" t="inlineStr">
        <is>
          <t>事业单位</t>
        </is>
      </c>
      <c r="L2693"/>
      <c r="M2693" t="inlineStr">
        <is>
          <t>月中折桂枝的店</t>
        </is>
      </c>
      <c r="N2693">
        <v>1187</v>
      </c>
      <c r="O2693">
        <v>4.57</v>
      </c>
      <c r="P2693">
        <v>5475</v>
      </c>
      <c r="Q2693" t="inlineStr">
        <is>
          <t>69401a2048f0e30001af0fdd</t>
        </is>
      </c>
      <c r="R2693" t="inlineStr">
        <is>
          <t>🚫重复</t>
        </is>
      </c>
      <c r="S2693" t="inlineStr">
        <is>
          <t>考公资料</t>
        </is>
      </c>
      <c r="T2693" t="inlineStr">
        <is>
          <t>2.18</t>
        </is>
      </c>
      <c r="U2693" s="3">
        <v>46112.78107638889</v>
      </c>
      <c r="V2693"/>
      <c r="W2693" s="3">
        <v>46110</v>
      </c>
      <c r="X2693" t="inlineStr">
        <is>
          <t>03</t>
        </is>
      </c>
      <c r="Y2693" t="inlineStr">
        <is>
          <t>2026-Q1</t>
        </is>
      </c>
    </row>
    <row r="2694" ht="38.25" customHeight="1">
      <c r="A2694" t="inlineStr">
        <is>
          <t>全国高校中小学+机关事业单位+医疗+事业编[招聘信息汇总表]日更</t>
        </is>
      </c>
      <c r="B2694" t="inlineStr">
        <is>
          <t>recvfep4XqgARM.jpg</t>
        </is>
      </c>
      <c r="C2694" s="2" t="str">
        <f>=HYPERLINK("https://xhslink.com/m/8ZzvPgZeId5", "https://xhslink.com/m/8ZzvPgZeId5")</f>
        <v>https://xhslink.com/m/8ZzvPgZeId5</v>
      </c>
      <c r="D2694"/>
      <c r="E2694">
        <v>1561</v>
      </c>
      <c r="F2694">
        <v>9.9</v>
      </c>
      <c r="G2694"/>
      <c r="H2694">
        <v>450</v>
      </c>
      <c r="I2694"/>
      <c r="J2694"/>
      <c r="K2694" t="inlineStr">
        <is>
          <t>事业单位</t>
        </is>
      </c>
      <c r="L2694"/>
      <c r="M2694" t="inlineStr">
        <is>
          <t>辣椒加油站的店</t>
        </is>
      </c>
      <c r="N2694">
        <v>1146</v>
      </c>
      <c r="O2694">
        <v>4.51</v>
      </c>
      <c r="P2694">
        <v>2080</v>
      </c>
      <c r="Q2694" t="inlineStr">
        <is>
          <t>6959d944110a7f0001000156</t>
        </is>
      </c>
      <c r="R2694"/>
      <c r="S2694" t="inlineStr">
        <is>
          <t>考公资料</t>
        </is>
      </c>
      <c r="T2694" t="inlineStr">
        <is>
          <t>1.36</t>
        </is>
      </c>
      <c r="U2694" s="3">
        <v>46112.78107638889</v>
      </c>
      <c r="V2694"/>
      <c r="W2694" s="3">
        <v>46110</v>
      </c>
      <c r="X2694" t="inlineStr">
        <is>
          <t>03</t>
        </is>
      </c>
      <c r="Y2694" t="inlineStr">
        <is>
          <t>2026-Q1</t>
        </is>
      </c>
    </row>
    <row r="2695" ht="38.25" customHeight="1">
      <c r="A2695" t="inlineStr">
        <is>
          <t>25年事业单位全国联考ABCDE类历年真题+答案解析职测综应PDF版</t>
        </is>
      </c>
      <c r="B2695" t="inlineStr">
        <is>
          <t>recvfep4Xqle6J.jpg</t>
        </is>
      </c>
      <c r="C2695" s="2" t="str">
        <f>=HYPERLINK("https://xhslink.com/m/1KIbnQcrtlK", "https://xhslink.com/m/1KIbnQcrtlK")</f>
        <v>https://xhslink.com/m/1KIbnQcrtlK</v>
      </c>
      <c r="D2695"/>
      <c r="E2695">
        <v>2483</v>
      </c>
      <c r="F2695">
        <v>2.88</v>
      </c>
      <c r="G2695"/>
      <c r="H2695">
        <v>400</v>
      </c>
      <c r="I2695"/>
      <c r="J2695"/>
      <c r="K2695" t="inlineStr">
        <is>
          <t>事业单位</t>
        </is>
      </c>
      <c r="L2695" t="inlineStr">
        <is>
          <t>🔥低粉爆款</t>
        </is>
      </c>
      <c r="M2695" t="inlineStr">
        <is>
          <t>Lucky学姐（考证）的店</t>
        </is>
      </c>
      <c r="N2695">
        <v>669</v>
      </c>
      <c r="O2695">
        <v>4.43</v>
      </c>
      <c r="P2695">
        <v>10000</v>
      </c>
      <c r="Q2695" t="inlineStr">
        <is>
          <t>68d0264030aed40001e0f1a1</t>
        </is>
      </c>
      <c r="R2695" t="inlineStr">
        <is>
          <t>🚫重复</t>
        </is>
      </c>
      <c r="S2695" t="inlineStr">
        <is>
          <t>考公资料</t>
        </is>
      </c>
      <c r="T2695" t="inlineStr">
        <is>
          <t>3.71</t>
        </is>
      </c>
      <c r="U2695" s="3">
        <v>46112.78107638889</v>
      </c>
      <c r="V2695"/>
      <c r="W2695" s="3">
        <v>46110</v>
      </c>
      <c r="X2695" t="inlineStr">
        <is>
          <t>03</t>
        </is>
      </c>
      <c r="Y2695" t="inlineStr">
        <is>
          <t>2026-Q1</t>
        </is>
      </c>
    </row>
    <row r="2696" ht="38.25" customHeight="1">
      <c r="A2696" t="inlineStr">
        <is>
          <t>陕西省事业单位《职测》、《综应》历年真题卷含答案解析</t>
        </is>
      </c>
      <c r="B2696" t="inlineStr">
        <is>
          <t>recvfep4XqJCk8.jpg</t>
        </is>
      </c>
      <c r="C2696" s="2" t="str">
        <f>=HYPERLINK("https://xhslink.com/m/5rIzc2eRvms", "https://xhslink.com/m/5rIzc2eRvms")</f>
        <v>https://xhslink.com/m/5rIzc2eRvms</v>
      </c>
      <c r="D2696"/>
      <c r="E2696">
        <v>1252</v>
      </c>
      <c r="F2696">
        <v>9.8</v>
      </c>
      <c r="G2696"/>
      <c r="H2696">
        <v>150</v>
      </c>
      <c r="I2696"/>
      <c r="J2696"/>
      <c r="K2696" t="inlineStr">
        <is>
          <t>事业单位</t>
        </is>
      </c>
      <c r="L2696"/>
      <c r="M2696" t="inlineStr">
        <is>
          <t>七哥上岸（电子资料）的店</t>
        </is>
      </c>
      <c r="N2696">
        <v>5591</v>
      </c>
      <c r="O2696">
        <v>4.66</v>
      </c>
      <c r="P2696">
        <v>45000</v>
      </c>
      <c r="Q2696" t="inlineStr">
        <is>
          <t>6881b2954f80eb000134bb2c</t>
        </is>
      </c>
      <c r="R2696"/>
      <c r="S2696" t="inlineStr">
        <is>
          <t>无匹配类别</t>
        </is>
      </c>
      <c r="T2696" t="inlineStr">
        <is>
          <t>0.22</t>
        </is>
      </c>
      <c r="U2696" s="3">
        <v>46112.78107638889</v>
      </c>
      <c r="V2696"/>
      <c r="W2696" s="3">
        <v>46110</v>
      </c>
      <c r="X2696" t="inlineStr">
        <is>
          <t>03</t>
        </is>
      </c>
      <c r="Y2696" t="inlineStr">
        <is>
          <t>2026-Q1</t>
        </is>
      </c>
    </row>
    <row r="2697" ht="38.25" customHeight="1">
      <c r="A2697" t="inlineStr">
        <is>
          <t>2026年法考全程内部班网课基础强化真题冲刺资料</t>
        </is>
      </c>
      <c r="B2697" t="inlineStr">
        <is>
          <t>recvfep4XqdWIG.jpg</t>
        </is>
      </c>
      <c r="C2697" s="2" t="str">
        <f>=HYPERLINK("https://xhslink.com/m/AyHhBgqkFnD", "https://xhslink.com/m/AyHhBgqkFnD")</f>
        <v>https://xhslink.com/m/AyHhBgqkFnD</v>
      </c>
      <c r="D2697"/>
      <c r="E2697">
        <v>911</v>
      </c>
      <c r="F2697">
        <v>9.9</v>
      </c>
      <c r="G2697"/>
      <c r="H2697">
        <v>250</v>
      </c>
      <c r="I2697"/>
      <c r="J2697"/>
      <c r="K2697" t="inlineStr">
        <is>
          <t>法考</t>
        </is>
      </c>
      <c r="L2697" t="inlineStr">
        <is>
          <t>🔥低粉爆款</t>
        </is>
      </c>
      <c r="M2697" t="inlineStr">
        <is>
          <t>司法考试社区的店</t>
        </is>
      </c>
      <c r="N2697">
        <v>192</v>
      </c>
      <c r="O2697">
        <v>4.32</v>
      </c>
      <c r="P2697">
        <v>991</v>
      </c>
      <c r="Q2697" t="inlineStr">
        <is>
          <t>69620e7393c74600010d00aa</t>
        </is>
      </c>
      <c r="R2697"/>
      <c r="S2697" t="inlineStr">
        <is>
          <t>司法考试</t>
        </is>
      </c>
      <c r="T2697" t="inlineStr">
        <is>
          <t>4.74</t>
        </is>
      </c>
      <c r="U2697" s="3">
        <v>46112.78107638889</v>
      </c>
      <c r="V2697"/>
      <c r="W2697" s="3">
        <v>46110</v>
      </c>
      <c r="X2697" t="inlineStr">
        <is>
          <t>03</t>
        </is>
      </c>
      <c r="Y2697" t="inlineStr">
        <is>
          <t>2026-Q1</t>
        </is>
      </c>
    </row>
    <row r="2698" ht="38.25" customHeight="1">
      <c r="A2698" t="inlineStr">
        <is>
          <t>英语六级真题+听力+解析PDF版（15-25年）</t>
        </is>
      </c>
      <c r="B2698" t="inlineStr">
        <is>
          <t>recvfep4XqhWCx.jpg</t>
        </is>
      </c>
      <c r="C2698" s="2" t="str">
        <f>=HYPERLINK("https://xhslink.com/m/3ZBfl2bmNIu", "https://xhslink.com/m/3ZBfl2bmNIu")</f>
        <v>https://xhslink.com/m/3ZBfl2bmNIu</v>
      </c>
      <c r="D2698"/>
      <c r="E2698">
        <v>12000</v>
      </c>
      <c r="F2698">
        <v>0.99</v>
      </c>
      <c r="G2698"/>
      <c r="H2698">
        <v>200</v>
      </c>
      <c r="I2698"/>
      <c r="J2698"/>
      <c r="K2698" t="inlineStr">
        <is>
          <t>六级听力</t>
        </is>
      </c>
      <c r="L2698" t="inlineStr">
        <is>
          <t>🔥低粉爆款</t>
        </is>
      </c>
      <c r="M2698" t="inlineStr">
        <is>
          <t>一苇所极的店</t>
        </is>
      </c>
      <c r="N2698">
        <v>2040</v>
      </c>
      <c r="O2698">
        <v>4.07</v>
      </c>
      <c r="P2698">
        <v>36000</v>
      </c>
      <c r="Q2698" t="inlineStr">
        <is>
          <t>66431114ee1c36000131b231</t>
        </is>
      </c>
      <c r="R2698"/>
      <c r="S2698" t="inlineStr">
        <is>
          <t>英语资料</t>
        </is>
      </c>
      <c r="T2698" t="inlineStr">
        <is>
          <t>5.88</t>
        </is>
      </c>
      <c r="U2698" s="3">
        <v>46112.78107638889</v>
      </c>
      <c r="V2698"/>
      <c r="W2698" s="3">
        <v>46110</v>
      </c>
      <c r="X2698" t="inlineStr">
        <is>
          <t>03</t>
        </is>
      </c>
      <c r="Y2698" t="inlineStr">
        <is>
          <t>2026-Q1</t>
        </is>
      </c>
    </row>
    <row r="2699" ht="38.25" customHeight="1">
      <c r="A2699" t="inlineStr">
        <is>
          <t>英语四级真题+听力+解析pdf电子资料包</t>
        </is>
      </c>
      <c r="B2699" t="inlineStr">
        <is>
          <t>recvfep4Xqo4vt.jpg</t>
        </is>
      </c>
      <c r="C2699" s="2" t="str">
        <f>=HYPERLINK("https://xhslink.com/m/9YQWHEf40z", "https://xhslink.com/m/9YQWHEf40z")</f>
        <v>https://xhslink.com/m/9YQWHEf40z</v>
      </c>
      <c r="D2699"/>
      <c r="E2699">
        <v>1944</v>
      </c>
      <c r="F2699">
        <v>1.88</v>
      </c>
      <c r="G2699"/>
      <c r="H2699">
        <v>250</v>
      </c>
      <c r="I2699"/>
      <c r="J2699"/>
      <c r="K2699" t="inlineStr">
        <is>
          <t>四级听力</t>
        </is>
      </c>
      <c r="L2699"/>
      <c r="M2699" t="inlineStr">
        <is>
          <t>歆歆学姐💐的店</t>
        </is>
      </c>
      <c r="N2699">
        <v>1028</v>
      </c>
      <c r="O2699">
        <v>4.49</v>
      </c>
      <c r="P2699">
        <v>14000</v>
      </c>
      <c r="Q2699" t="inlineStr">
        <is>
          <t>67f66204ec13740001110555</t>
        </is>
      </c>
      <c r="R2699"/>
      <c r="S2699" t="inlineStr">
        <is>
          <t>英语资料</t>
        </is>
      </c>
      <c r="T2699" t="inlineStr">
        <is>
          <t>1.89</t>
        </is>
      </c>
      <c r="U2699" s="3">
        <v>46112.78107638889</v>
      </c>
      <c r="V2699"/>
      <c r="W2699" s="3">
        <v>46110</v>
      </c>
      <c r="X2699" t="inlineStr">
        <is>
          <t>03</t>
        </is>
      </c>
      <c r="Y2699" t="inlineStr">
        <is>
          <t>2026-Q1</t>
        </is>
      </c>
    </row>
    <row r="2700" ht="38.25" customHeight="1">
      <c r="A2700" t="inlineStr">
        <is>
          <t>四六级历年原题按题型分类整理</t>
        </is>
      </c>
      <c r="B2700" t="inlineStr">
        <is>
          <t>recvfep4XqCGcQ.jpg</t>
        </is>
      </c>
      <c r="C2700" s="2" t="str">
        <f>=HYPERLINK("https://xhslink.com/m/6isWsaVKUgc", "https://xhslink.com/m/6isWsaVKUgc")</f>
        <v>https://xhslink.com/m/6isWsaVKUgc</v>
      </c>
      <c r="D2700"/>
      <c r="E2700">
        <v>1266</v>
      </c>
      <c r="F2700">
        <v>2.88</v>
      </c>
      <c r="G2700"/>
      <c r="H2700">
        <v>100</v>
      </c>
      <c r="I2700"/>
      <c r="J2700"/>
      <c r="K2700" t="inlineStr">
        <is>
          <t>四级听力</t>
        </is>
      </c>
      <c r="L2700"/>
      <c r="M2700" t="inlineStr">
        <is>
          <t>落雪资料的店</t>
        </is>
      </c>
      <c r="N2700">
        <v>2412</v>
      </c>
      <c r="O2700">
        <v>4.56</v>
      </c>
      <c r="P2700">
        <v>35000</v>
      </c>
      <c r="Q2700" t="inlineStr">
        <is>
          <t>68bd1be05e5b2f00012656b1</t>
        </is>
      </c>
      <c r="R2700" t="inlineStr">
        <is>
          <t>🚫重复</t>
        </is>
      </c>
      <c r="S2700" t="inlineStr">
        <is>
          <t>英语资料</t>
        </is>
      </c>
      <c r="T2700" t="inlineStr">
        <is>
          <t>0.52</t>
        </is>
      </c>
      <c r="U2700" s="3">
        <v>46112.78107638889</v>
      </c>
      <c r="V2700"/>
      <c r="W2700" s="3">
        <v>46110</v>
      </c>
      <c r="X2700" t="inlineStr">
        <is>
          <t>03</t>
        </is>
      </c>
      <c r="Y2700" t="inlineStr">
        <is>
          <t>2026-Q1</t>
        </is>
      </c>
    </row>
    <row r="2701" ht="38.25" customHeight="1">
      <c r="A2701" t="inlineStr">
        <is>
          <t>2026年(1-4.30)雅思口语题库-题目版</t>
        </is>
      </c>
      <c r="B2701" t="inlineStr">
        <is>
          <t>recvfep4XqPMiI.jpg</t>
        </is>
      </c>
      <c r="C2701" s="2" t="str">
        <f>=HYPERLINK("https://xhslink.com/m/46UiXYfx8Z5", "https://xhslink.com/m/46UiXYfx8Z5")</f>
        <v>https://xhslink.com/m/46UiXYfx8Z5</v>
      </c>
      <c r="D2701"/>
      <c r="E2701">
        <v>3740</v>
      </c>
      <c r="F2701">
        <v>9.9</v>
      </c>
      <c r="G2701"/>
      <c r="H2701">
        <v>150</v>
      </c>
      <c r="I2701"/>
      <c r="J2701"/>
      <c r="K2701" t="inlineStr">
        <is>
          <t>雅思</t>
        </is>
      </c>
      <c r="L2701"/>
      <c r="M2701" t="inlineStr">
        <is>
          <t>Nancy老师雅思口语的店</t>
        </is>
      </c>
      <c r="N2701">
        <v>28000</v>
      </c>
      <c r="O2701">
        <v>4.6</v>
      </c>
      <c r="P2701">
        <v>31000</v>
      </c>
      <c r="Q2701" t="inlineStr">
        <is>
          <t>664ac969f0ce1900014f8797</t>
        </is>
      </c>
      <c r="R2701" t="inlineStr">
        <is>
          <t>🚫重复</t>
        </is>
      </c>
      <c r="S2701" t="inlineStr">
        <is>
          <t>英语资料</t>
        </is>
      </c>
      <c r="T2701" t="inlineStr">
        <is>
          <t>0.13</t>
        </is>
      </c>
      <c r="U2701" s="3">
        <v>46112.78107638889</v>
      </c>
      <c r="V2701"/>
      <c r="W2701" s="3">
        <v>46110</v>
      </c>
      <c r="X2701" t="inlineStr">
        <is>
          <t>03</t>
        </is>
      </c>
      <c r="Y2701" t="inlineStr">
        <is>
          <t>2026-Q1</t>
        </is>
      </c>
    </row>
    <row r="2702" ht="38.25" customHeight="1">
      <c r="A2702" t="inlineStr">
        <is>
          <t>雅思真题必背1500高频词+中英正/乱序默写+音频mp3（电子版）</t>
        </is>
      </c>
      <c r="B2702" t="inlineStr">
        <is>
          <t>recvfep4Xq9mkl.jpg</t>
        </is>
      </c>
      <c r="C2702" s="2" t="str">
        <f>=HYPERLINK("https://xhslink.com/m/An8xytL1jdw", "https://xhslink.com/m/An8xytL1jdw")</f>
        <v>https://xhslink.com/m/An8xytL1jdw</v>
      </c>
      <c r="D2702"/>
      <c r="E2702">
        <v>891</v>
      </c>
      <c r="F2702">
        <v>9.9</v>
      </c>
      <c r="G2702"/>
      <c r="H2702">
        <v>200</v>
      </c>
      <c r="I2702"/>
      <c r="J2702"/>
      <c r="K2702" t="inlineStr">
        <is>
          <t>雅思</t>
        </is>
      </c>
      <c r="L2702"/>
      <c r="M2702" t="inlineStr">
        <is>
          <t>猫叔英语研究所的店</t>
        </is>
      </c>
      <c r="N2702">
        <v>3942</v>
      </c>
      <c r="O2702">
        <v>4.62</v>
      </c>
      <c r="P2702">
        <v>19000</v>
      </c>
      <c r="Q2702" t="inlineStr">
        <is>
          <t>68d80317002e7e0001cce68f</t>
        </is>
      </c>
      <c r="R2702" t="inlineStr">
        <is>
          <t>🚫重复</t>
        </is>
      </c>
      <c r="S2702" t="inlineStr">
        <is>
          <t>英语资料</t>
        </is>
      </c>
      <c r="T2702" t="inlineStr">
        <is>
          <t>0.23</t>
        </is>
      </c>
      <c r="U2702" s="3">
        <v>46112.78107638889</v>
      </c>
      <c r="V2702"/>
      <c r="W2702" s="3">
        <v>46110</v>
      </c>
      <c r="X2702" t="inlineStr">
        <is>
          <t>03</t>
        </is>
      </c>
      <c r="Y2702" t="inlineStr">
        <is>
          <t>2026-Q1</t>
        </is>
      </c>
    </row>
    <row r="2703" ht="38.25" customHeight="1">
      <c r="A2703" t="inlineStr">
        <is>
          <t>雅思听力高频语料库｜按考试频率分级 创新词汇串烧「胜利原创」</t>
        </is>
      </c>
      <c r="B2703" t="inlineStr">
        <is>
          <t>recvfep4XqM44N.jpg</t>
        </is>
      </c>
      <c r="C2703" s="2" t="str">
        <f>=HYPERLINK("https://xhslink.com/m/AOin6S6JMr", "https://xhslink.com/m/AOin6S6JMr")</f>
        <v>https://xhslink.com/m/AOin6S6JMr</v>
      </c>
      <c r="D2703"/>
      <c r="E2703">
        <v>9005</v>
      </c>
      <c r="F2703">
        <v>45</v>
      </c>
      <c r="G2703"/>
      <c r="H2703">
        <v>300</v>
      </c>
      <c r="I2703">
        <v>1000</v>
      </c>
      <c r="J2703"/>
      <c r="K2703" t="inlineStr">
        <is>
          <t>雅思</t>
        </is>
      </c>
      <c r="L2703"/>
      <c r="M2703" t="inlineStr">
        <is>
          <t>胜利张张的店</t>
        </is>
      </c>
      <c r="N2703">
        <v>3858</v>
      </c>
      <c r="O2703">
        <v>4.54</v>
      </c>
      <c r="P2703">
        <v>10000</v>
      </c>
      <c r="Q2703" t="inlineStr">
        <is>
          <t>6802790e4f70f30001bd06d6</t>
        </is>
      </c>
      <c r="R2703" t="inlineStr">
        <is>
          <t>🚫重复</t>
        </is>
      </c>
      <c r="S2703" t="inlineStr">
        <is>
          <t>英语资料</t>
        </is>
      </c>
      <c r="T2703" t="inlineStr">
        <is>
          <t>2.33</t>
        </is>
      </c>
      <c r="U2703" s="3">
        <v>46112.78107638889</v>
      </c>
      <c r="V2703"/>
      <c r="W2703" s="3">
        <v>46110</v>
      </c>
      <c r="X2703" t="inlineStr">
        <is>
          <t>03</t>
        </is>
      </c>
      <c r="Y2703" t="inlineStr">
        <is>
          <t>2026-Q1</t>
        </is>
      </c>
    </row>
    <row r="2704" ht="38.25" customHeight="1">
      <c r="A2704" t="inlineStr">
        <is>
          <t>雅思听力快速提分｜Part1+Part4速通文档上线啦</t>
        </is>
      </c>
      <c r="B2704" t="inlineStr">
        <is>
          <t>recvfep4Xq7OP3.jpg</t>
        </is>
      </c>
      <c r="C2704" s="2" t="str">
        <f>=HYPERLINK("https://xhslink.com/m/6CtE9zvby40", "https://xhslink.com/m/6CtE9zvby40")</f>
        <v>https://xhslink.com/m/6CtE9zvby40</v>
      </c>
      <c r="D2704"/>
      <c r="E2704">
        <v>5813</v>
      </c>
      <c r="F2704">
        <v>49.9</v>
      </c>
      <c r="G2704"/>
      <c r="H2704">
        <v>150</v>
      </c>
      <c r="I2704"/>
      <c r="J2704"/>
      <c r="K2704" t="inlineStr">
        <is>
          <t>雅思</t>
        </is>
      </c>
      <c r="L2704"/>
      <c r="M2704" t="inlineStr">
        <is>
          <t>谢谢观看的店</t>
        </is>
      </c>
      <c r="N2704">
        <v>7383</v>
      </c>
      <c r="O2704">
        <v>4.43</v>
      </c>
      <c r="P2704">
        <v>7434</v>
      </c>
      <c r="Q2704" t="inlineStr">
        <is>
          <t>667ff9e8d52fff00010136a2</t>
        </is>
      </c>
      <c r="R2704"/>
      <c r="S2704" t="inlineStr">
        <is>
          <t>英语资料</t>
        </is>
      </c>
      <c r="T2704" t="inlineStr">
        <is>
          <t>0.79</t>
        </is>
      </c>
      <c r="U2704" s="3">
        <v>46112.78107638889</v>
      </c>
      <c r="V2704"/>
      <c r="W2704" s="3">
        <v>46110</v>
      </c>
      <c r="X2704" t="inlineStr">
        <is>
          <t>03</t>
        </is>
      </c>
      <c r="Y2704" t="inlineStr">
        <is>
          <t>2026-Q1</t>
        </is>
      </c>
    </row>
    <row r="2705" ht="38.25" customHeight="1">
      <c r="A2705" t="inlineStr">
        <is>
          <t>雅思词汇真经+新东方100句记雅思单词 PDF电子版 附 赠单词表可打</t>
        </is>
      </c>
      <c r="B2705" t="inlineStr">
        <is>
          <t>recvfep4XqUQ8q.jpg</t>
        </is>
      </c>
      <c r="C2705" s="2" t="str">
        <f>=HYPERLINK("https://xhslink.com/m/AMnAEvYBhDn", "https://xhslink.com/m/AMnAEvYBhDn")</f>
        <v>https://xhslink.com/m/AMnAEvYBhDn</v>
      </c>
      <c r="D2705"/>
      <c r="E2705">
        <v>1323</v>
      </c>
      <c r="F2705">
        <v>4.5</v>
      </c>
      <c r="G2705"/>
      <c r="H2705">
        <v>200</v>
      </c>
      <c r="I2705"/>
      <c r="J2705"/>
      <c r="K2705" t="inlineStr">
        <is>
          <t>雅思</t>
        </is>
      </c>
      <c r="L2705"/>
      <c r="M2705" t="inlineStr">
        <is>
          <t>爱去玩的碗碗的店</t>
        </is>
      </c>
      <c r="N2705">
        <v>989</v>
      </c>
      <c r="O2705">
        <v>4.46</v>
      </c>
      <c r="P2705">
        <v>11000</v>
      </c>
      <c r="Q2705" t="inlineStr">
        <is>
          <t>68d15f079479760001409ed4</t>
        </is>
      </c>
      <c r="R2705" t="inlineStr">
        <is>
          <t>🚫重复</t>
        </is>
      </c>
      <c r="S2705" t="inlineStr">
        <is>
          <t>英语资料</t>
        </is>
      </c>
      <c r="T2705" t="inlineStr">
        <is>
          <t>1.34</t>
        </is>
      </c>
      <c r="U2705" s="3">
        <v>46112.78107638889</v>
      </c>
      <c r="V2705"/>
      <c r="W2705" s="3">
        <v>46110</v>
      </c>
      <c r="X2705" t="inlineStr">
        <is>
          <t>03</t>
        </is>
      </c>
      <c r="Y2705" t="inlineStr">
        <is>
          <t>2026-Q1</t>
        </is>
      </c>
    </row>
    <row r="2706" ht="38.25" customHeight="1">
      <c r="A2706" t="inlineStr">
        <is>
          <t>26年1-4月原创雅思囗语素材p1+p2+p3（接地气生活化素材）</t>
        </is>
      </c>
      <c r="B2706" t="inlineStr">
        <is>
          <t>recvfep4XqrLd4.jpg</t>
        </is>
      </c>
      <c r="C2706" s="2" t="str">
        <f>=HYPERLINK("https://xhslink.com/m/42reFQdekyR", "https://xhslink.com/m/42reFQdekyR")</f>
        <v>https://xhslink.com/m/42reFQdekyR</v>
      </c>
      <c r="D2706"/>
      <c r="E2706">
        <v>22000</v>
      </c>
      <c r="F2706">
        <v>79</v>
      </c>
      <c r="G2706"/>
      <c r="H2706">
        <v>650</v>
      </c>
      <c r="I2706"/>
      <c r="J2706"/>
      <c r="K2706" t="inlineStr">
        <is>
          <t>雅思</t>
        </is>
      </c>
      <c r="L2706"/>
      <c r="M2706" t="inlineStr">
        <is>
          <t>考雅过过过的店</t>
        </is>
      </c>
      <c r="N2706">
        <v>21000</v>
      </c>
      <c r="O2706">
        <v>4.5</v>
      </c>
      <c r="P2706">
        <v>41000</v>
      </c>
      <c r="Q2706" t="inlineStr">
        <is>
          <t>6934d92d6911000001779f7c</t>
        </is>
      </c>
      <c r="R2706" t="inlineStr">
        <is>
          <t>🚫重复</t>
        </is>
      </c>
      <c r="S2706" t="inlineStr">
        <is>
          <t>英语资料</t>
        </is>
      </c>
      <c r="T2706" t="inlineStr">
        <is>
          <t>1.05</t>
        </is>
      </c>
      <c r="U2706" s="3">
        <v>46112.78107638889</v>
      </c>
      <c r="V2706"/>
      <c r="W2706" s="3">
        <v>46110</v>
      </c>
      <c r="X2706" t="inlineStr">
        <is>
          <t>03</t>
        </is>
      </c>
      <c r="Y2706" t="inlineStr">
        <is>
          <t>2026-Q1</t>
        </is>
      </c>
    </row>
    <row r="2707" ht="38.25" customHeight="1">
      <c r="A2707" t="inlineStr">
        <is>
          <t>26年雅思全科资料电子书</t>
        </is>
      </c>
      <c r="B2707" t="inlineStr">
        <is>
          <t>recvfep4XqubKI.jpg</t>
        </is>
      </c>
      <c r="C2707" s="2" t="str">
        <f>=HYPERLINK("https://xhslink.com/m/AagDHdB9IHf", "https://xhslink.com/m/AagDHdB9IHf")</f>
        <v>https://xhslink.com/m/AagDHdB9IHf</v>
      </c>
      <c r="D2707"/>
      <c r="E2707">
        <v>2340</v>
      </c>
      <c r="F2707">
        <v>0.88</v>
      </c>
      <c r="G2707"/>
      <c r="H2707">
        <v>600</v>
      </c>
      <c r="I2707"/>
      <c r="J2707"/>
      <c r="K2707" t="inlineStr">
        <is>
          <t>雅思</t>
        </is>
      </c>
      <c r="L2707" t="inlineStr">
        <is>
          <t>🔥低粉爆款</t>
        </is>
      </c>
      <c r="M2707" t="inlineStr">
        <is>
          <t>吱吱吱x的店</t>
        </is>
      </c>
      <c r="N2707">
        <v>129</v>
      </c>
      <c r="O2707">
        <v>4.56</v>
      </c>
      <c r="P2707">
        <v>2526</v>
      </c>
      <c r="Q2707" t="inlineStr">
        <is>
          <t>692303e42f4b40000161d103</t>
        </is>
      </c>
      <c r="R2707"/>
      <c r="S2707" t="inlineStr">
        <is>
          <t>英语资料</t>
        </is>
      </c>
      <c r="T2707" t="inlineStr">
        <is>
          <t>18.14</t>
        </is>
      </c>
      <c r="U2707" s="3">
        <v>46112.78107638889</v>
      </c>
      <c r="V2707"/>
      <c r="W2707" s="3">
        <v>46110</v>
      </c>
      <c r="X2707" t="inlineStr">
        <is>
          <t>03</t>
        </is>
      </c>
      <c r="Y2707" t="inlineStr">
        <is>
          <t>2026-Q1</t>
        </is>
      </c>
    </row>
    <row r="2708" ht="38.25" customHeight="1">
      <c r="A2708" t="inlineStr">
        <is>
          <t>2026年雅思全科听说读写PDF合集版</t>
        </is>
      </c>
      <c r="B2708" t="inlineStr">
        <is>
          <t>recvfep4Xqk3aA.jpg</t>
        </is>
      </c>
      <c r="C2708" s="2" t="str">
        <f>=HYPERLINK("https://xhslink.com/m/49SvHDQ5riP", "https://xhslink.com/m/49SvHDQ5riP")</f>
        <v>https://xhslink.com/m/49SvHDQ5riP</v>
      </c>
      <c r="D2708"/>
      <c r="E2708">
        <v>2283</v>
      </c>
      <c r="F2708">
        <v>1.68</v>
      </c>
      <c r="G2708"/>
      <c r="H2708">
        <v>550</v>
      </c>
      <c r="I2708"/>
      <c r="J2708"/>
      <c r="K2708" t="inlineStr">
        <is>
          <t>雅思</t>
        </is>
      </c>
      <c r="L2708" t="inlineStr">
        <is>
          <t>🔥低粉爆款</t>
        </is>
      </c>
      <c r="M2708" t="inlineStr">
        <is>
          <t>枣枣要努力的店</t>
        </is>
      </c>
      <c r="N2708">
        <v>214</v>
      </c>
      <c r="O2708">
        <v>4.35</v>
      </c>
      <c r="P2708">
        <v>5736</v>
      </c>
      <c r="Q2708" t="inlineStr">
        <is>
          <t>69880f7f1b2000000196e0da</t>
        </is>
      </c>
      <c r="R2708"/>
      <c r="S2708" t="inlineStr">
        <is>
          <t>英语资料</t>
        </is>
      </c>
      <c r="T2708" t="inlineStr">
        <is>
          <t>10.67</t>
        </is>
      </c>
      <c r="U2708" s="3">
        <v>46112.78107638889</v>
      </c>
      <c r="V2708"/>
      <c r="W2708" s="3">
        <v>46110</v>
      </c>
      <c r="X2708" t="inlineStr">
        <is>
          <t>03</t>
        </is>
      </c>
      <c r="Y2708" t="inlineStr">
        <is>
          <t>2026-Q1</t>
        </is>
      </c>
    </row>
    <row r="2709" ht="38.25" customHeight="1">
      <c r="A2709" t="inlineStr">
        <is>
          <t>新东方 · 2026年1-4月雅思口语完整版题库答案（实时更新）</t>
        </is>
      </c>
      <c r="B2709" t="inlineStr">
        <is>
          <t>recvfep4XqMooB.jpg</t>
        </is>
      </c>
      <c r="C2709" s="2" t="str">
        <f>=HYPERLINK("https://xhslink.com/m/4AxQaNSiFfL", "https://xhslink.com/m/4AxQaNSiFfL")</f>
        <v>https://xhslink.com/m/4AxQaNSiFfL</v>
      </c>
      <c r="D2709"/>
      <c r="E2709">
        <v>27000</v>
      </c>
      <c r="F2709">
        <v>1</v>
      </c>
      <c r="G2709"/>
      <c r="H2709">
        <v>900</v>
      </c>
      <c r="I2709"/>
      <c r="J2709"/>
      <c r="K2709" t="inlineStr">
        <is>
          <t>雅思</t>
        </is>
      </c>
      <c r="L2709"/>
      <c r="M2709" t="inlineStr">
        <is>
          <t>北京新东方雅思的店</t>
        </is>
      </c>
      <c r="N2709">
        <v>165000</v>
      </c>
      <c r="O2709">
        <v>4.3</v>
      </c>
      <c r="P2709">
        <v>43000</v>
      </c>
      <c r="Q2709" t="inlineStr">
        <is>
          <t>64a7cf84b2911000018ca457</t>
        </is>
      </c>
      <c r="R2709"/>
      <c r="S2709" t="inlineStr">
        <is>
          <t>英语资料</t>
        </is>
      </c>
      <c r="T2709" t="inlineStr">
        <is>
          <t>0.16</t>
        </is>
      </c>
      <c r="U2709" s="3">
        <v>46112.78107638889</v>
      </c>
      <c r="V2709"/>
      <c r="W2709" s="3">
        <v>46110</v>
      </c>
      <c r="X2709" t="inlineStr">
        <is>
          <t>03</t>
        </is>
      </c>
      <c r="Y2709" t="inlineStr">
        <is>
          <t>2026-Q1</t>
        </is>
      </c>
    </row>
    <row r="2710" ht="38.25" customHeight="1">
      <c r="A2710" t="inlineStr">
        <is>
          <t>1v1基础诊断26年雅思机考模拟系统剑雅真题 真题考试题库免费更新</t>
        </is>
      </c>
      <c r="B2710" t="inlineStr">
        <is>
          <t>recvfep4XqCPlw.jpg</t>
        </is>
      </c>
      <c r="C2710" s="2" t="str">
        <f>=HYPERLINK("https://xhslink.com/m/OPNBnXPRyy", "https://xhslink.com/m/OPNBnXPRyy")</f>
        <v>https://xhslink.com/m/OPNBnXPRyy</v>
      </c>
      <c r="D2710"/>
      <c r="E2710">
        <v>2566</v>
      </c>
      <c r="F2710">
        <v>1.99</v>
      </c>
      <c r="G2710"/>
      <c r="H2710">
        <v>200</v>
      </c>
      <c r="I2710"/>
      <c r="J2710"/>
      <c r="K2710" t="inlineStr">
        <is>
          <t>雅思</t>
        </is>
      </c>
      <c r="L2710"/>
      <c r="M2710" t="inlineStr">
        <is>
          <t>皮卡丘学雅思的店</t>
        </is>
      </c>
      <c r="N2710">
        <v>992</v>
      </c>
      <c r="O2710">
        <v>4.18</v>
      </c>
      <c r="P2710">
        <v>4683</v>
      </c>
      <c r="Q2710" t="inlineStr">
        <is>
          <t>67ffa1ddb2c30c0001024ba0</t>
        </is>
      </c>
      <c r="R2710"/>
      <c r="S2710" t="inlineStr">
        <is>
          <t>英语资料</t>
        </is>
      </c>
      <c r="T2710" t="inlineStr">
        <is>
          <t>2.59</t>
        </is>
      </c>
      <c r="U2710" s="3">
        <v>46112.78107638889</v>
      </c>
      <c r="V2710"/>
      <c r="W2710" s="3">
        <v>46110</v>
      </c>
      <c r="X2710" t="inlineStr">
        <is>
          <t>03</t>
        </is>
      </c>
      <c r="Y2710" t="inlineStr">
        <is>
          <t>2026-Q1</t>
        </is>
      </c>
    </row>
    <row r="2711" ht="38.25" customHeight="1">
      <c r="A2711" t="inlineStr">
        <is>
          <t>【2h速通雅思写作7分模板】雅思大小作文只需4页！2026最新版！！</t>
        </is>
      </c>
      <c r="B2711" t="inlineStr">
        <is>
          <t>recvfep4XqfOll.jpg</t>
        </is>
      </c>
      <c r="C2711" s="2" t="str">
        <f>=HYPERLINK("https://xhslink.com/m/4L0l8uzxz1o", "https://xhslink.com/m/4L0l8uzxz1o")</f>
        <v>https://xhslink.com/m/4L0l8uzxz1o</v>
      </c>
      <c r="D2711"/>
      <c r="E2711">
        <v>1755</v>
      </c>
      <c r="F2711">
        <v>63</v>
      </c>
      <c r="G2711"/>
      <c r="H2711">
        <v>700</v>
      </c>
      <c r="I2711"/>
      <c r="J2711"/>
      <c r="K2711" t="inlineStr">
        <is>
          <t>雅思</t>
        </is>
      </c>
      <c r="L2711"/>
      <c r="M2711" t="inlineStr">
        <is>
          <t>Mila禾禾学姐的店</t>
        </is>
      </c>
      <c r="N2711">
        <v>1204</v>
      </c>
      <c r="O2711">
        <v>4.44</v>
      </c>
      <c r="P2711">
        <v>1752</v>
      </c>
      <c r="Q2711" t="inlineStr">
        <is>
          <t>68ee17778aa5760001dff67d</t>
        </is>
      </c>
      <c r="R2711" t="inlineStr">
        <is>
          <t>🚫重复</t>
        </is>
      </c>
      <c r="S2711" t="inlineStr">
        <is>
          <t>英语资料</t>
        </is>
      </c>
      <c r="T2711" t="inlineStr">
        <is>
          <t>1.46</t>
        </is>
      </c>
      <c r="U2711" s="3">
        <v>46112.78107638889</v>
      </c>
      <c r="V2711"/>
      <c r="W2711" s="3">
        <v>46110</v>
      </c>
      <c r="X2711" t="inlineStr">
        <is>
          <t>03</t>
        </is>
      </c>
      <c r="Y2711" t="inlineStr">
        <is>
          <t>2026-Q1</t>
        </is>
      </c>
    </row>
    <row r="2712" ht="38.25" customHeight="1">
      <c r="A2712" t="inlineStr">
        <is>
          <t>1v1基础诊断|26年雅思小白全科备考资料/口语听力阅读写作 电子版</t>
        </is>
      </c>
      <c r="B2712" t="inlineStr">
        <is>
          <t>recvfep4Xqo83T.jpg</t>
        </is>
      </c>
      <c r="C2712" s="2" t="str">
        <f>=HYPERLINK("https://xhslink.com/m/dTsU5OFXdF", "https://xhslink.com/m/dTsU5OFXdF")</f>
        <v>https://xhslink.com/m/dTsU5OFXdF</v>
      </c>
      <c r="D2712"/>
      <c r="E2712">
        <v>5406</v>
      </c>
      <c r="F2712">
        <v>2.99</v>
      </c>
      <c r="G2712"/>
      <c r="H2712">
        <v>400</v>
      </c>
      <c r="I2712"/>
      <c r="J2712"/>
      <c r="K2712" t="inlineStr">
        <is>
          <t>雅思</t>
        </is>
      </c>
      <c r="L2712"/>
      <c r="M2712" t="inlineStr">
        <is>
          <t>小企鹅学雅思的店</t>
        </is>
      </c>
      <c r="N2712">
        <v>1953</v>
      </c>
      <c r="O2712">
        <v>4.18</v>
      </c>
      <c r="P2712">
        <v>6407</v>
      </c>
      <c r="Q2712" t="inlineStr">
        <is>
          <t>67d277975339580001deaa01</t>
        </is>
      </c>
      <c r="R2712"/>
      <c r="S2712" t="inlineStr">
        <is>
          <t>英语资料</t>
        </is>
      </c>
      <c r="T2712" t="inlineStr">
        <is>
          <t>2.77</t>
        </is>
      </c>
      <c r="U2712" s="3">
        <v>46112.78107638889</v>
      </c>
      <c r="V2712"/>
      <c r="W2712" s="3">
        <v>46110</v>
      </c>
      <c r="X2712" t="inlineStr">
        <is>
          <t>03</t>
        </is>
      </c>
      <c r="Y2712" t="inlineStr">
        <is>
          <t>2026-Q1</t>
        </is>
      </c>
    </row>
    <row r="2713" ht="38.25" customHeight="1">
      <c r="A2713" t="inlineStr">
        <is>
          <t>雅思写作冲7分速成模板+高分语料库  （预售，后涨价为299）</t>
        </is>
      </c>
      <c r="B2713" t="inlineStr">
        <is>
          <t>recvfep4XqycGA.jpg</t>
        </is>
      </c>
      <c r="C2713" s="2" t="str">
        <f>=HYPERLINK("https://xhslink.com/m/4F0T2sPc0ng", "https://xhslink.com/m/4F0T2sPc0ng")</f>
        <v>https://xhslink.com/m/4F0T2sPc0ng</v>
      </c>
      <c r="D2713"/>
      <c r="E2713">
        <v>4845</v>
      </c>
      <c r="F2713">
        <v>1799</v>
      </c>
      <c r="G2713"/>
      <c r="H2713">
        <v>400</v>
      </c>
      <c r="I2713"/>
      <c r="J2713"/>
      <c r="K2713" t="inlineStr">
        <is>
          <t>雅思</t>
        </is>
      </c>
      <c r="L2713"/>
      <c r="M2713" t="inlineStr">
        <is>
          <t>Claire澳洲学姐（雅思口语9分）的店</t>
        </is>
      </c>
      <c r="N2713">
        <v>45000</v>
      </c>
      <c r="O2713">
        <v>4.57</v>
      </c>
      <c r="P2713">
        <v>23000</v>
      </c>
      <c r="Q2713" t="inlineStr">
        <is>
          <t>69ba79b2ff00dc000139de13</t>
        </is>
      </c>
      <c r="R2713" t="inlineStr">
        <is>
          <t>🚫重复</t>
        </is>
      </c>
      <c r="S2713" t="inlineStr">
        <is>
          <t>英语资料</t>
        </is>
      </c>
      <c r="T2713" t="inlineStr">
        <is>
          <t>0.11</t>
        </is>
      </c>
      <c r="U2713" s="3">
        <v>46112.78107638889</v>
      </c>
      <c r="V2713"/>
      <c r="W2713" s="3">
        <v>46110</v>
      </c>
      <c r="X2713" t="inlineStr">
        <is>
          <t>03</t>
        </is>
      </c>
      <c r="Y2713" t="inlineStr">
        <is>
          <t>2026-Q1</t>
        </is>
      </c>
    </row>
    <row r="2714" ht="38.25" customHeight="1">
      <c r="A2714" t="inlineStr">
        <is>
          <t>雅思词汇真经备考词汇表学习资料</t>
        </is>
      </c>
      <c r="B2714" t="inlineStr">
        <is>
          <t>recvfep4XqTTac.jpg</t>
        </is>
      </c>
      <c r="C2714" s="2" t="str">
        <f>=HYPERLINK("https://xhslink.com/m/79u8l8agbjt", "https://xhslink.com/m/79u8l8agbjt")</f>
        <v>https://xhslink.com/m/79u8l8agbjt</v>
      </c>
      <c r="D2714"/>
      <c r="E2714">
        <v>1320</v>
      </c>
      <c r="F2714">
        <v>1.99</v>
      </c>
      <c r="G2714"/>
      <c r="H2714">
        <v>400</v>
      </c>
      <c r="I2714"/>
      <c r="J2714"/>
      <c r="K2714" t="inlineStr">
        <is>
          <t>雅思</t>
        </is>
      </c>
      <c r="L2714" t="inlineStr">
        <is>
          <t>🔥低粉爆款</t>
        </is>
      </c>
      <c r="M2714" t="inlineStr">
        <is>
          <t>红枣本人的店</t>
        </is>
      </c>
      <c r="N2714">
        <v>89</v>
      </c>
      <c r="O2714">
        <v>4.47</v>
      </c>
      <c r="P2714">
        <v>1687</v>
      </c>
      <c r="Q2714" t="inlineStr">
        <is>
          <t>692d6dba4977f300015b688e</t>
        </is>
      </c>
      <c r="R2714"/>
      <c r="S2714" t="inlineStr">
        <is>
          <t>英语资料</t>
        </is>
      </c>
      <c r="T2714" t="inlineStr">
        <is>
          <t>14.83</t>
        </is>
      </c>
      <c r="U2714" s="3">
        <v>46112.78107638889</v>
      </c>
      <c r="V2714"/>
      <c r="W2714" s="3">
        <v>46110</v>
      </c>
      <c r="X2714" t="inlineStr">
        <is>
          <t>03</t>
        </is>
      </c>
      <c r="Y2714" t="inlineStr">
        <is>
          <t>2026-Q1</t>
        </is>
      </c>
    </row>
    <row r="2715" ht="38.25" customHeight="1">
      <c r="A2715" t="inlineStr">
        <is>
          <t>2027考研dd教育综合311全程班333全程班网课视频讲义赠送26</t>
        </is>
      </c>
      <c r="B2715" t="inlineStr">
        <is>
          <t>recvfep4XqUKZs.jpg</t>
        </is>
      </c>
      <c r="C2715" s="2" t="str">
        <f>=HYPERLINK("https://xhslink.com/m/2j0bBIg14kF", "https://xhslink.com/m/2j0bBIg14kF")</f>
        <v>https://xhslink.com/m/2j0bBIg14kF</v>
      </c>
      <c r="D2715"/>
      <c r="E2715">
        <v>2456</v>
      </c>
      <c r="F2715">
        <v>8.88</v>
      </c>
      <c r="G2715"/>
      <c r="H2715">
        <v>700</v>
      </c>
      <c r="I2715"/>
      <c r="J2715"/>
      <c r="K2715" t="inlineStr">
        <is>
          <t>研究生考试</t>
        </is>
      </c>
      <c r="L2715"/>
      <c r="M2715" t="inlineStr">
        <is>
          <t>全能小铺的店</t>
        </is>
      </c>
      <c r="N2715">
        <v>1114</v>
      </c>
      <c r="O2715">
        <v>4.51</v>
      </c>
      <c r="P2715">
        <v>27000</v>
      </c>
      <c r="Q2715" t="inlineStr">
        <is>
          <t>68930cc68fe347000133c6b1</t>
        </is>
      </c>
      <c r="R2715"/>
      <c r="S2715" t="inlineStr">
        <is>
          <t>考研资料</t>
        </is>
      </c>
      <c r="T2715" t="inlineStr">
        <is>
          <t>2.20</t>
        </is>
      </c>
      <c r="U2715" s="3">
        <v>46112.78107638889</v>
      </c>
      <c r="V2715"/>
      <c r="W2715" s="3">
        <v>46110</v>
      </c>
      <c r="X2715" t="inlineStr">
        <is>
          <t>03</t>
        </is>
      </c>
      <c r="Y2715" t="inlineStr">
        <is>
          <t>2026-Q1</t>
        </is>
      </c>
    </row>
    <row r="2716" ht="38.25" customHeight="1">
      <c r="A2716" t="inlineStr">
        <is>
          <t>2027考研网课政治英语数学全程班</t>
        </is>
      </c>
      <c r="B2716" t="inlineStr">
        <is>
          <t>recvfep4XqoMTC.jpg</t>
        </is>
      </c>
      <c r="C2716" s="2" t="str">
        <f>=HYPERLINK("https://xhslink.com/m/A9di7P2XkFS", "https://xhslink.com/m/A9di7P2XkFS")</f>
        <v>https://xhslink.com/m/A9di7P2XkFS</v>
      </c>
      <c r="D2716"/>
      <c r="E2716">
        <v>2734</v>
      </c>
      <c r="F2716">
        <v>13.99</v>
      </c>
      <c r="G2716"/>
      <c r="H2716">
        <v>150</v>
      </c>
      <c r="I2716"/>
      <c r="J2716"/>
      <c r="K2716" t="inlineStr">
        <is>
          <t>研究生考试</t>
        </is>
      </c>
      <c r="L2716" t="inlineStr">
        <is>
          <t>🔥低粉爆款</t>
        </is>
      </c>
      <c r="M2716" t="inlineStr">
        <is>
          <t>好好爱学的店</t>
        </is>
      </c>
      <c r="N2716">
        <v>519</v>
      </c>
      <c r="O2716">
        <v>4.33</v>
      </c>
      <c r="P2716">
        <v>19000</v>
      </c>
      <c r="Q2716" t="inlineStr">
        <is>
          <t>69a3e5709069530001a493f9</t>
        </is>
      </c>
      <c r="R2716" t="inlineStr">
        <is>
          <t>🚫重复</t>
        </is>
      </c>
      <c r="S2716" t="inlineStr">
        <is>
          <t>考研资料</t>
        </is>
      </c>
      <c r="T2716" t="inlineStr">
        <is>
          <t>5.27</t>
        </is>
      </c>
      <c r="U2716" s="3">
        <v>46112.78107638889</v>
      </c>
      <c r="V2716"/>
      <c r="W2716" s="3">
        <v>46110</v>
      </c>
      <c r="X2716" t="inlineStr">
        <is>
          <t>03</t>
        </is>
      </c>
      <c r="Y2716" t="inlineStr">
        <is>
          <t>2026-Q1</t>
        </is>
      </c>
    </row>
    <row r="2717" ht="38.25" customHeight="1">
      <c r="A2717" t="inlineStr">
        <is>
          <t>2026年一级建造师/一建考试全专业超级课程</t>
        </is>
      </c>
      <c r="B2717" t="inlineStr">
        <is>
          <t>recvfep4Xqe9gL.jpg</t>
        </is>
      </c>
      <c r="C2717" s="2" t="str">
        <f>=HYPERLINK("https://xhslink.com/m/1FbQIK7aNJX", "https://xhslink.com/m/1FbQIK7aNJX")</f>
        <v>https://xhslink.com/m/1FbQIK7aNJX</v>
      </c>
      <c r="D2717"/>
      <c r="E2717">
        <v>1042</v>
      </c>
      <c r="F2717">
        <v>20</v>
      </c>
      <c r="G2717"/>
      <c r="H2717">
        <v>100</v>
      </c>
      <c r="I2717"/>
      <c r="J2717"/>
      <c r="K2717" t="inlineStr">
        <is>
          <t>一级建造师</t>
        </is>
      </c>
      <c r="L2717"/>
      <c r="M2717" t="inlineStr">
        <is>
          <t>考证百宝箱的店</t>
        </is>
      </c>
      <c r="N2717">
        <v>954</v>
      </c>
      <c r="O2717">
        <v>4.58</v>
      </c>
      <c r="P2717">
        <v>2475</v>
      </c>
      <c r="Q2717" t="inlineStr">
        <is>
          <t>68d173683d237900012c9bdb</t>
        </is>
      </c>
      <c r="R2717"/>
      <c r="S2717" t="inlineStr">
        <is>
          <t>求职面试/职场</t>
        </is>
      </c>
      <c r="T2717" t="inlineStr">
        <is>
          <t>1.09</t>
        </is>
      </c>
      <c r="U2717" s="3">
        <v>46112.78107638889</v>
      </c>
      <c r="V2717"/>
      <c r="W2717" s="3">
        <v>46110</v>
      </c>
      <c r="X2717" t="inlineStr">
        <is>
          <t>03</t>
        </is>
      </c>
      <c r="Y2717" t="inlineStr">
        <is>
          <t>2026-Q1</t>
        </is>
      </c>
    </row>
    <row r="2718" ht="38.25" customHeight="1">
      <c r="A2718" t="inlineStr">
        <is>
          <t>2026年一级造价工程师一造章节题历年真题模拟题押题刷题软件教程</t>
        </is>
      </c>
      <c r="B2718" t="inlineStr">
        <is>
          <t>recvfep4XqZ7dw.jpg</t>
        </is>
      </c>
      <c r="C2718" s="2" t="str">
        <f>=HYPERLINK("https://xhslink.com/m/Ax5lIcjy73G", "https://xhslink.com/m/Ax5lIcjy73G")</f>
        <v>https://xhslink.com/m/Ax5lIcjy73G</v>
      </c>
      <c r="D2718"/>
      <c r="E2718">
        <v>1664</v>
      </c>
      <c r="F2718">
        <v>10</v>
      </c>
      <c r="G2718"/>
      <c r="H2718">
        <v>150</v>
      </c>
      <c r="I2718"/>
      <c r="J2718"/>
      <c r="K2718" t="inlineStr">
        <is>
          <t>一级造价工程师</t>
        </is>
      </c>
      <c r="L2718"/>
      <c r="M2718" t="inlineStr">
        <is>
          <t>大林大林大林的店</t>
        </is>
      </c>
      <c r="N2718">
        <v>2100</v>
      </c>
      <c r="O2718">
        <v>4.59</v>
      </c>
      <c r="P2718">
        <v>5922</v>
      </c>
      <c r="Q2718" t="inlineStr">
        <is>
          <t>680a5ebb371b3300017780f3</t>
        </is>
      </c>
      <c r="R2718"/>
      <c r="S2718" t="inlineStr">
        <is>
          <t>软件应用</t>
        </is>
      </c>
      <c r="T2718" t="inlineStr">
        <is>
          <t>0.79</t>
        </is>
      </c>
      <c r="U2718" s="3">
        <v>46112.78107638889</v>
      </c>
      <c r="V2718"/>
      <c r="W2718" s="3">
        <v>46110</v>
      </c>
      <c r="X2718" t="inlineStr">
        <is>
          <t>03</t>
        </is>
      </c>
      <c r="Y2718" t="inlineStr">
        <is>
          <t>2026-Q1</t>
        </is>
      </c>
    </row>
    <row r="2719" ht="38.25" customHeight="1">
      <c r="A2719" t="inlineStr">
        <is>
          <t>CPA六科资料（会计、审计、财管、税法、经济法、战略）</t>
        </is>
      </c>
      <c r="B2719" t="inlineStr">
        <is>
          <t>recvfep4Xq6Anu.jpg</t>
        </is>
      </c>
      <c r="C2719" s="2" t="str">
        <f>=HYPERLINK("https://xhslink.com/m/84KchMHCqKy", "https://xhslink.com/m/84KchMHCqKy")</f>
        <v>https://xhslink.com/m/84KchMHCqKy</v>
      </c>
      <c r="D2719"/>
      <c r="E2719">
        <v>3591</v>
      </c>
      <c r="F2719">
        <v>0.4</v>
      </c>
      <c r="G2719"/>
      <c r="H2719">
        <v>350</v>
      </c>
      <c r="I2719"/>
      <c r="J2719"/>
      <c r="K2719" t="inlineStr">
        <is>
          <t>注册会计师</t>
        </is>
      </c>
      <c r="L2719" t="inlineStr">
        <is>
          <t>🔥低粉爆款</t>
        </is>
      </c>
      <c r="M2719" t="inlineStr">
        <is>
          <t>小瓶的店</t>
        </is>
      </c>
      <c r="N2719">
        <v>752</v>
      </c>
      <c r="O2719">
        <v>4.13</v>
      </c>
      <c r="P2719">
        <v>3905</v>
      </c>
      <c r="Q2719" t="inlineStr">
        <is>
          <t>67c69755f65889000180cd15</t>
        </is>
      </c>
      <c r="R2719"/>
      <c r="S2719" t="inlineStr">
        <is>
          <t>会计资料</t>
        </is>
      </c>
      <c r="T2719" t="inlineStr">
        <is>
          <t>4.78</t>
        </is>
      </c>
      <c r="U2719" s="3">
        <v>46112.78107638889</v>
      </c>
      <c r="V2719"/>
      <c r="W2719" s="3">
        <v>46110</v>
      </c>
      <c r="X2719" t="inlineStr">
        <is>
          <t>03</t>
        </is>
      </c>
      <c r="Y2719" t="inlineStr">
        <is>
          <t>2026-Q1</t>
        </is>
      </c>
    </row>
    <row r="2720" ht="38.25" customHeight="1">
      <c r="A2720" t="inlineStr">
        <is>
          <t>2026山东专升本计算机高频考点速记背诵手册</t>
        </is>
      </c>
      <c r="B2720" t="inlineStr">
        <is>
          <t>recvfep4Xq0gvw.jpg</t>
        </is>
      </c>
      <c r="C2720" s="2" t="str">
        <f>=HYPERLINK("https://xhslink.com/m/5rkwikmqxUw", "https://xhslink.com/m/5rkwikmqxUw")</f>
        <v>https://xhslink.com/m/5rkwikmqxUw</v>
      </c>
      <c r="D2720"/>
      <c r="E2720">
        <v>369</v>
      </c>
      <c r="F2720">
        <v>4.99</v>
      </c>
      <c r="G2720"/>
      <c r="H2720">
        <v>150</v>
      </c>
      <c r="I2720"/>
      <c r="J2720"/>
      <c r="K2720" t="inlineStr">
        <is>
          <t>手册</t>
        </is>
      </c>
      <c r="L2720"/>
      <c r="M2720" t="inlineStr">
        <is>
          <t>羊村的大灰狼的店</t>
        </is>
      </c>
      <c r="N2720">
        <v>3782</v>
      </c>
      <c r="O2720">
        <v>4.54</v>
      </c>
      <c r="P2720">
        <v>1015</v>
      </c>
      <c r="Q2720" t="inlineStr">
        <is>
          <t>697b84503067f40001724483</t>
        </is>
      </c>
      <c r="R2720"/>
      <c r="S2720" t="inlineStr">
        <is>
          <t>大学资料</t>
        </is>
      </c>
      <c r="T2720" t="inlineStr">
        <is>
          <t>0.10</t>
        </is>
      </c>
      <c r="U2720" s="3">
        <v>46112.78107638889</v>
      </c>
      <c r="V2720"/>
      <c r="W2720" s="3">
        <v>46110</v>
      </c>
      <c r="X2720" t="inlineStr">
        <is>
          <t>03</t>
        </is>
      </c>
      <c r="Y2720" t="inlineStr">
        <is>
          <t>2026-Q1</t>
        </is>
      </c>
    </row>
    <row r="2721" ht="38.25" customHeight="1">
      <c r="A2721" t="inlineStr">
        <is>
          <t>笔记同款学习手册</t>
        </is>
      </c>
      <c r="B2721" t="inlineStr">
        <is>
          <t>recvfep4XqfV21.jpg</t>
        </is>
      </c>
      <c r="C2721" s="2" t="str">
        <f>=HYPERLINK("https://xhslink.com/m/3zDoyYnHbaJ", "https://xhslink.com/m/3zDoyYnHbaJ")</f>
        <v>https://xhslink.com/m/3zDoyYnHbaJ</v>
      </c>
      <c r="D2721"/>
      <c r="E2721">
        <v>316</v>
      </c>
      <c r="F2721">
        <v>9.9</v>
      </c>
      <c r="G2721"/>
      <c r="H2721">
        <v>100</v>
      </c>
      <c r="I2721"/>
      <c r="J2721"/>
      <c r="K2721" t="inlineStr">
        <is>
          <t>手册</t>
        </is>
      </c>
      <c r="L2721"/>
      <c r="M2721" t="inlineStr">
        <is>
          <t>小小的AI学习库的店</t>
        </is>
      </c>
      <c r="N2721">
        <v>10000</v>
      </c>
      <c r="O2721">
        <v>4.27</v>
      </c>
      <c r="P2721">
        <v>3224</v>
      </c>
      <c r="Q2721" t="inlineStr">
        <is>
          <t>694959f4d96c4500019aea18</t>
        </is>
      </c>
      <c r="R2721"/>
      <c r="S2721" t="inlineStr">
        <is>
          <t>AI</t>
        </is>
      </c>
      <c r="T2721" t="inlineStr">
        <is>
          <t>0.03</t>
        </is>
      </c>
      <c r="U2721" s="3">
        <v>46112.78107638889</v>
      </c>
      <c r="V2721"/>
      <c r="W2721" s="3">
        <v>46110</v>
      </c>
      <c r="X2721" t="inlineStr">
        <is>
          <t>03</t>
        </is>
      </c>
      <c r="Y2721" t="inlineStr">
        <is>
          <t>2026-Q1</t>
        </is>
      </c>
    </row>
    <row r="2722" ht="38.25" customHeight="1">
      <c r="A2722" t="inlineStr">
        <is>
          <t>旅行计划模板【可DIY飞书文档，下单后自动发货】</t>
        </is>
      </c>
      <c r="B2722" t="inlineStr">
        <is>
          <t>recvfep4Xq0FJH.jpg</t>
        </is>
      </c>
      <c r="C2722" s="2" t="str">
        <f>=HYPERLINK("https://xhslink.com/m/1LuSwgd79Hx", "https://xhslink.com/m/1LuSwgd79Hx")</f>
        <v>https://xhslink.com/m/1LuSwgd79Hx</v>
      </c>
      <c r="D2722"/>
      <c r="E2722">
        <v>425</v>
      </c>
      <c r="F2722">
        <v>19.9</v>
      </c>
      <c r="G2722"/>
      <c r="H2722">
        <v>100</v>
      </c>
      <c r="I2722"/>
      <c r="J2722"/>
      <c r="K2722" t="inlineStr">
        <is>
          <t>模板</t>
        </is>
      </c>
      <c r="L2722"/>
      <c r="M2722" t="inlineStr">
        <is>
          <t>✨开心果的店</t>
        </is>
      </c>
      <c r="N2722">
        <v>2322</v>
      </c>
      <c r="O2722">
        <v>4.49</v>
      </c>
      <c r="P2722">
        <v>1690</v>
      </c>
      <c r="Q2722" t="inlineStr">
        <is>
          <t>6968e3a01d37860001b000cb</t>
        </is>
      </c>
      <c r="R2722"/>
      <c r="S2722" t="inlineStr">
        <is>
          <t>生活成长</t>
        </is>
      </c>
      <c r="T2722" t="inlineStr">
        <is>
          <t>0.18</t>
        </is>
      </c>
      <c r="U2722" s="3">
        <v>46112.78107638889</v>
      </c>
      <c r="V2722"/>
      <c r="W2722" s="3">
        <v>46110</v>
      </c>
      <c r="X2722" t="inlineStr">
        <is>
          <t>03</t>
        </is>
      </c>
      <c r="Y2722" t="inlineStr">
        <is>
          <t>2026-Q1</t>
        </is>
      </c>
    </row>
    <row r="2723" ht="38.25" customHeight="1">
      <c r="A2723" t="inlineStr">
        <is>
          <t>五寸拍立得模板定制 饭圈美工定制模板</t>
        </is>
      </c>
      <c r="B2723" t="inlineStr">
        <is>
          <t>recvfep4XqhIGa.jpg</t>
        </is>
      </c>
      <c r="C2723" s="2" t="str">
        <f>=HYPERLINK("https://xhslink.com/m/60yRAeKHS9F", "https://xhslink.com/m/60yRAeKHS9F")</f>
        <v>https://xhslink.com/m/60yRAeKHS9F</v>
      </c>
      <c r="D2723"/>
      <c r="E2723">
        <v>680</v>
      </c>
      <c r="F2723">
        <v>8</v>
      </c>
      <c r="G2723"/>
      <c r="H2723">
        <v>400</v>
      </c>
      <c r="I2723"/>
      <c r="J2723"/>
      <c r="K2723" t="inlineStr">
        <is>
          <t>模板</t>
        </is>
      </c>
      <c r="L2723"/>
      <c r="M2723" t="inlineStr">
        <is>
          <t>SummerXBird的店</t>
        </is>
      </c>
      <c r="N2723">
        <v>4396</v>
      </c>
      <c r="O2723">
        <v>4.45</v>
      </c>
      <c r="P2723">
        <v>8233</v>
      </c>
      <c r="Q2723" t="inlineStr">
        <is>
          <t>698619083067f400019e8abb</t>
        </is>
      </c>
      <c r="R2723"/>
      <c r="S2723" t="inlineStr">
        <is>
          <t>设计素材</t>
        </is>
      </c>
      <c r="T2723" t="inlineStr">
        <is>
          <t>0.15</t>
        </is>
      </c>
      <c r="U2723" s="3">
        <v>46112.78107638889</v>
      </c>
      <c r="V2723"/>
      <c r="W2723" s="3">
        <v>46110</v>
      </c>
      <c r="X2723" t="inlineStr">
        <is>
          <t>03</t>
        </is>
      </c>
      <c r="Y2723" t="inlineStr">
        <is>
          <t>2026-Q1</t>
        </is>
      </c>
    </row>
    <row r="2724" ht="38.25" customHeight="1">
      <c r="A2724" t="inlineStr">
        <is>
          <t>2026自动生成年/月/周工作计划表|动态日历视图永久可用Excel模板</t>
        </is>
      </c>
      <c r="B2724" t="inlineStr">
        <is>
          <t>recvfep4XqIzb2.jpg</t>
        </is>
      </c>
      <c r="C2724" s="2" t="str">
        <f>=HYPERLINK("https://xhslink.com/m/9cKuJFIeZvc", "https://xhslink.com/m/9cKuJFIeZvc")</f>
        <v>https://xhslink.com/m/9cKuJFIeZvc</v>
      </c>
      <c r="D2724"/>
      <c r="E2724">
        <v>4987</v>
      </c>
      <c r="F2724">
        <v>27.8</v>
      </c>
      <c r="G2724"/>
      <c r="H2724">
        <v>900</v>
      </c>
      <c r="I2724"/>
      <c r="J2724"/>
      <c r="K2724" t="inlineStr">
        <is>
          <t>模板</t>
        </is>
      </c>
      <c r="L2724"/>
      <c r="M2724" t="inlineStr">
        <is>
          <t>你の办公搭子米娅的店</t>
        </is>
      </c>
      <c r="N2724">
        <v>8386</v>
      </c>
      <c r="O2724">
        <v>4.61</v>
      </c>
      <c r="P2724">
        <v>5543</v>
      </c>
      <c r="Q2724" t="inlineStr">
        <is>
          <t>69a0459883f25d00013a0094</t>
        </is>
      </c>
      <c r="R2724" t="inlineStr">
        <is>
          <t>🚫重复</t>
        </is>
      </c>
      <c r="S2724" t="inlineStr">
        <is>
          <t>无匹配类别</t>
        </is>
      </c>
      <c r="T2724" t="inlineStr">
        <is>
          <t>0.59</t>
        </is>
      </c>
      <c r="U2724" s="3">
        <v>46112.78107638889</v>
      </c>
      <c r="V2724"/>
      <c r="W2724" s="3">
        <v>46110</v>
      </c>
      <c r="X2724" t="inlineStr">
        <is>
          <t>03</t>
        </is>
      </c>
      <c r="Y2724" t="inlineStr">
        <is>
          <t>2026-Q1</t>
        </is>
      </c>
    </row>
    <row r="2725" ht="38.25" customHeight="1">
      <c r="A2725" t="inlineStr">
        <is>
          <t>通用求职+考研复试简历模板 15个模板全发 原创 全天24h自动发货</t>
        </is>
      </c>
      <c r="B2725" t="inlineStr">
        <is>
          <t>recvfep4XqyXtw.jpg</t>
        </is>
      </c>
      <c r="C2725" s="2" t="str">
        <f>=HYPERLINK("https://xhslink.com/m/9YydrTIc3NI", "https://xhslink.com/m/9YydrTIc3NI")</f>
        <v>https://xhslink.com/m/9YydrTIc3NI</v>
      </c>
      <c r="D2725"/>
      <c r="E2725">
        <v>53000</v>
      </c>
      <c r="F2725">
        <v>1.99</v>
      </c>
      <c r="G2725"/>
      <c r="H2725">
        <v>150</v>
      </c>
      <c r="I2725"/>
      <c r="J2725"/>
      <c r="K2725" t="inlineStr">
        <is>
          <t>模板</t>
        </is>
      </c>
      <c r="L2725" t="inlineStr">
        <is>
          <t>🔥低粉爆款</t>
        </is>
      </c>
      <c r="M2725" t="inlineStr">
        <is>
          <t>爱分享的一晚饭饭的店</t>
        </is>
      </c>
      <c r="N2725">
        <v>14000</v>
      </c>
      <c r="O2725">
        <v>4.49</v>
      </c>
      <c r="P2725">
        <v>56000</v>
      </c>
      <c r="Q2725" t="inlineStr">
        <is>
          <t>6547541b9f5b910001b6c610</t>
        </is>
      </c>
      <c r="R2725"/>
      <c r="S2725" t="inlineStr">
        <is>
          <t>求职面试/职场</t>
        </is>
      </c>
      <c r="T2725" t="inlineStr">
        <is>
          <t>3.79</t>
        </is>
      </c>
      <c r="U2725" s="3">
        <v>46112.78107638889</v>
      </c>
      <c r="V2725"/>
      <c r="W2725" s="3">
        <v>46110</v>
      </c>
      <c r="X2725" t="inlineStr">
        <is>
          <t>03</t>
        </is>
      </c>
      <c r="Y2725" t="inlineStr">
        <is>
          <t>2026-Q1</t>
        </is>
      </c>
    </row>
    <row r="2726" ht="38.25" customHeight="1">
      <c r="A2726" t="inlineStr">
        <is>
          <t>渊星的情侣人模/可商用/可单买/psd/</t>
        </is>
      </c>
      <c r="B2726" t="inlineStr">
        <is>
          <t>recvfep4Xq8VQJ.jpg</t>
        </is>
      </c>
      <c r="C2726" s="2" t="str">
        <f>=HYPERLINK("https://xhslink.com/m/2vCldKMi1Vw", "https://xhslink.com/m/2vCldKMi1Vw")</f>
        <v>https://xhslink.com/m/2vCldKMi1Vw</v>
      </c>
      <c r="D2726"/>
      <c r="E2726">
        <v>355</v>
      </c>
      <c r="F2726">
        <v>9</v>
      </c>
      <c r="G2726"/>
      <c r="H2726">
        <v>150</v>
      </c>
      <c r="I2726"/>
      <c r="J2726"/>
      <c r="K2726" t="inlineStr">
        <is>
          <t>模板</t>
        </is>
      </c>
      <c r="L2726"/>
      <c r="M2726" t="inlineStr">
        <is>
          <t>渊星abysstar的店</t>
        </is>
      </c>
      <c r="N2726">
        <v>1729</v>
      </c>
      <c r="O2726">
        <v>4.47</v>
      </c>
      <c r="P2726">
        <v>1757</v>
      </c>
      <c r="Q2726" t="inlineStr">
        <is>
          <t>69794a0c621e6f00018c1358</t>
        </is>
      </c>
      <c r="R2726"/>
      <c r="S2726" t="inlineStr">
        <is>
          <t>设计素材</t>
        </is>
      </c>
      <c r="T2726" t="inlineStr">
        <is>
          <t>0.21</t>
        </is>
      </c>
      <c r="U2726" s="3">
        <v>46112.78107638889</v>
      </c>
      <c r="V2726"/>
      <c r="W2726" s="3">
        <v>46110</v>
      </c>
      <c r="X2726" t="inlineStr">
        <is>
          <t>03</t>
        </is>
      </c>
      <c r="Y2726" t="inlineStr">
        <is>
          <t>2026-Q1</t>
        </is>
      </c>
    </row>
    <row r="2727" ht="38.25" customHeight="1">
      <c r="A2727" t="inlineStr">
        <is>
          <t>【接稿】烂南牌卡通蛋糕模板可爱q版手绘定制生日礼物</t>
        </is>
      </c>
      <c r="B2727" t="inlineStr">
        <is>
          <t>recvfep4XqL1Tv.jpg</t>
        </is>
      </c>
      <c r="C2727" s="2" t="str">
        <f>=HYPERLINK("https://xhslink.com/m/1wu6eUDRu8b", "https://xhslink.com/m/1wu6eUDRu8b")</f>
        <v>https://xhslink.com/m/1wu6eUDRu8b</v>
      </c>
      <c r="D2727"/>
      <c r="E2727">
        <v>346</v>
      </c>
      <c r="F2727">
        <v>9.9</v>
      </c>
      <c r="G2727"/>
      <c r="H2727">
        <v>100</v>
      </c>
      <c r="I2727"/>
      <c r="J2727"/>
      <c r="K2727" t="inlineStr">
        <is>
          <t>模板</t>
        </is>
      </c>
      <c r="L2727"/>
      <c r="M2727" t="inlineStr">
        <is>
          <t>蘑菇蘑菇f的店</t>
        </is>
      </c>
      <c r="N2727">
        <v>697</v>
      </c>
      <c r="O2727">
        <v>4.59</v>
      </c>
      <c r="P2727">
        <v>2095</v>
      </c>
      <c r="Q2727" t="inlineStr">
        <is>
          <t>6957b877b8f0bb00017a53c7</t>
        </is>
      </c>
      <c r="R2727"/>
      <c r="S2727" t="inlineStr">
        <is>
          <t>设计素材</t>
        </is>
      </c>
      <c r="T2727" t="inlineStr">
        <is>
          <t>0.50</t>
        </is>
      </c>
      <c r="U2727" s="3">
        <v>46112.78107638889</v>
      </c>
      <c r="V2727"/>
      <c r="W2727" s="3">
        <v>46110</v>
      </c>
      <c r="X2727" t="inlineStr">
        <is>
          <t>03</t>
        </is>
      </c>
      <c r="Y2727" t="inlineStr">
        <is>
          <t>2026-Q1</t>
        </is>
      </c>
    </row>
    <row r="2728" ht="38.25" customHeight="1">
      <c r="A2728" t="inlineStr">
        <is>
          <t>【理氏】人模1.0（免费更新）‖绘圈接稿‖出设‖可商用‖oc服设</t>
        </is>
      </c>
      <c r="B2728" t="inlineStr">
        <is>
          <t>recvfep4XqBDHp.jpg</t>
        </is>
      </c>
      <c r="C2728" s="2" t="str">
        <f>=HYPERLINK("https://xhslink.com/m/79JLhHRvObE", "https://xhslink.com/m/79JLhHRvObE")</f>
        <v>https://xhslink.com/m/79JLhHRvObE</v>
      </c>
      <c r="D2728"/>
      <c r="E2728">
        <v>989</v>
      </c>
      <c r="F2728">
        <v>20</v>
      </c>
      <c r="G2728"/>
      <c r="H2728">
        <v>200</v>
      </c>
      <c r="I2728"/>
      <c r="J2728"/>
      <c r="K2728" t="inlineStr">
        <is>
          <t>模板</t>
        </is>
      </c>
      <c r="L2728"/>
      <c r="M2728" t="inlineStr">
        <is>
          <t>学理_的店</t>
        </is>
      </c>
      <c r="N2728">
        <v>13000</v>
      </c>
      <c r="O2728">
        <v>4.42</v>
      </c>
      <c r="P2728">
        <v>1144</v>
      </c>
      <c r="Q2728" t="inlineStr">
        <is>
          <t>68af49cc82bd7100012961b9</t>
        </is>
      </c>
      <c r="R2728"/>
      <c r="S2728" t="inlineStr">
        <is>
          <t>设计素材</t>
        </is>
      </c>
      <c r="T2728" t="inlineStr">
        <is>
          <t>0.08</t>
        </is>
      </c>
      <c r="U2728" s="3">
        <v>46112.78107638889</v>
      </c>
      <c r="V2728"/>
      <c r="W2728" s="3">
        <v>46110</v>
      </c>
      <c r="X2728" t="inlineStr">
        <is>
          <t>03</t>
        </is>
      </c>
      <c r="Y2728" t="inlineStr">
        <is>
          <t>2026-Q1</t>
        </is>
      </c>
    </row>
    <row r="2729" ht="38.25" customHeight="1">
      <c r="A2729" t="inlineStr">
        <is>
          <t>高中生综合素质研究性学习代表成果报告</t>
        </is>
      </c>
      <c r="B2729" t="inlineStr">
        <is>
          <t>recvfep4XqBSZN.jpg</t>
        </is>
      </c>
      <c r="C2729" s="2" t="str">
        <f>=HYPERLINK("https://xhslink.com/m/6ZJp2EzTraZ", "https://xhslink.com/m/6ZJp2EzTraZ")</f>
        <v>https://xhslink.com/m/6ZJp2EzTraZ</v>
      </c>
      <c r="D2729"/>
      <c r="E2729">
        <v>2002</v>
      </c>
      <c r="F2729">
        <v>5.98</v>
      </c>
      <c r="G2729"/>
      <c r="H2729">
        <v>100</v>
      </c>
      <c r="I2729"/>
      <c r="J2729"/>
      <c r="K2729" t="inlineStr">
        <is>
          <t>报告</t>
        </is>
      </c>
      <c r="L2729" t="inlineStr">
        <is>
          <t>🔥低粉爆款</t>
        </is>
      </c>
      <c r="M2729" t="inlineStr">
        <is>
          <t>许老师升学的店</t>
        </is>
      </c>
      <c r="N2729">
        <v>407</v>
      </c>
      <c r="O2729">
        <v>4.37</v>
      </c>
      <c r="P2729">
        <v>2671</v>
      </c>
      <c r="Q2729" t="inlineStr">
        <is>
          <t>6888744be08d4d0001963f24</t>
        </is>
      </c>
      <c r="R2729"/>
      <c r="S2729" t="inlineStr">
        <is>
          <t>高中/高考资料</t>
        </is>
      </c>
      <c r="T2729" t="inlineStr">
        <is>
          <t>4.92</t>
        </is>
      </c>
      <c r="U2729" s="3">
        <v>46112.78107638889</v>
      </c>
      <c r="V2729"/>
      <c r="W2729" s="3">
        <v>46110</v>
      </c>
      <c r="X2729" t="inlineStr">
        <is>
          <t>03</t>
        </is>
      </c>
      <c r="Y2729" t="inlineStr">
        <is>
          <t>2026-Q1</t>
        </is>
      </c>
    </row>
    <row r="2730" ht="38.25" customHeight="1">
      <c r="A2730" t="inlineStr">
        <is>
          <t>全国事业单位事业编公务员三支一扶选调公告表|工作日更上百岗位</t>
        </is>
      </c>
      <c r="B2730" t="inlineStr">
        <is>
          <t>recvfep4XqMTui.jpg</t>
        </is>
      </c>
      <c r="C2730" s="2" t="str">
        <f>=HYPERLINK("https://xhslink.com/m/7CG4p09gicv", "https://xhslink.com/m/7CG4p09gicv")</f>
        <v>https://xhslink.com/m/7CG4p09gicv</v>
      </c>
      <c r="D2730"/>
      <c r="E2730">
        <v>13000</v>
      </c>
      <c r="F2730">
        <v>9.9</v>
      </c>
      <c r="G2730"/>
      <c r="H2730">
        <v>1500</v>
      </c>
      <c r="I2730"/>
      <c r="J2730"/>
      <c r="K2730" t="inlineStr">
        <is>
          <t>报告</t>
        </is>
      </c>
      <c r="L2730" t="inlineStr">
        <is>
          <t>🔥低粉爆款</t>
        </is>
      </c>
      <c r="M2730" t="inlineStr">
        <is>
          <t>米米研习社的店</t>
        </is>
      </c>
      <c r="N2730">
        <v>2772</v>
      </c>
      <c r="O2730">
        <v>4.67</v>
      </c>
      <c r="P2730">
        <v>20000</v>
      </c>
      <c r="Q2730" t="inlineStr">
        <is>
          <t>689e160611247e000120fa2d</t>
        </is>
      </c>
      <c r="R2730"/>
      <c r="S2730" t="inlineStr">
        <is>
          <t>考公资料</t>
        </is>
      </c>
      <c r="T2730" t="inlineStr">
        <is>
          <t>4.69</t>
        </is>
      </c>
      <c r="U2730" s="3">
        <v>46112.78107638889</v>
      </c>
      <c r="V2730"/>
      <c r="W2730" s="3">
        <v>46110</v>
      </c>
      <c r="X2730" t="inlineStr">
        <is>
          <t>03</t>
        </is>
      </c>
      <c r="Y2730" t="inlineStr">
        <is>
          <t>2026-Q1</t>
        </is>
      </c>
    </row>
    <row r="2731" ht="38.25" customHeight="1">
      <c r="A2731" t="inlineStr">
        <is>
          <t>职业员工入职体检报告模板 医疗健康表全国三甲医院Word模板</t>
        </is>
      </c>
      <c r="B2731" t="inlineStr">
        <is>
          <t>recvfep4Xq2CyR.jpg</t>
        </is>
      </c>
      <c r="C2731" s="2" t="str">
        <f>=HYPERLINK("https://xhslink.com/m/2035ZoSbCtP", "https://xhslink.com/m/2035ZoSbCtP")</f>
        <v>https://xhslink.com/m/2035ZoSbCtP</v>
      </c>
      <c r="D2731"/>
      <c r="E2731">
        <v>426</v>
      </c>
      <c r="F2731">
        <v>8.8</v>
      </c>
      <c r="G2731"/>
      <c r="H2731">
        <v>150</v>
      </c>
      <c r="I2731"/>
      <c r="J2731"/>
      <c r="K2731" t="inlineStr">
        <is>
          <t>报告</t>
        </is>
      </c>
      <c r="L2731"/>
      <c r="M2731" t="inlineStr">
        <is>
          <t>备考小灯塔的店</t>
        </is>
      </c>
      <c r="N2731">
        <v>606</v>
      </c>
      <c r="O2731">
        <v>3.97</v>
      </c>
      <c r="P2731">
        <v>3260</v>
      </c>
      <c r="Q2731" t="inlineStr">
        <is>
          <t>6955f11fbfa59100013c2683</t>
        </is>
      </c>
      <c r="R2731"/>
      <c r="S2731" t="inlineStr">
        <is>
          <t>求职面试/职场</t>
        </is>
      </c>
      <c r="T2731" t="inlineStr">
        <is>
          <t>0.70</t>
        </is>
      </c>
      <c r="U2731" s="3">
        <v>46112.78107638889</v>
      </c>
      <c r="V2731"/>
      <c r="W2731" s="3">
        <v>46110</v>
      </c>
      <c r="X2731" t="inlineStr">
        <is>
          <t>03</t>
        </is>
      </c>
      <c r="Y2731" t="inlineStr">
        <is>
          <t>2026-Q1</t>
        </is>
      </c>
    </row>
    <row r="2732" ht="38.25" customHeight="1">
      <c r="A2732" t="inlineStr">
        <is>
          <t>宠物医生在线问诊 根据主诉分析病情及合理用药 检查报告解读分析</t>
        </is>
      </c>
      <c r="B2732" t="inlineStr">
        <is>
          <t>recvfep4XqHOBZ.jpg</t>
        </is>
      </c>
      <c r="C2732" s="2" t="str">
        <f>=HYPERLINK("https://xhslink.com/m/ABSlhx41Y4f", "https://xhslink.com/m/ABSlhx41Y4f")</f>
        <v>https://xhslink.com/m/ABSlhx41Y4f</v>
      </c>
      <c r="D2732"/>
      <c r="E2732">
        <v>26000</v>
      </c>
      <c r="F2732">
        <v>9.8</v>
      </c>
      <c r="G2732"/>
      <c r="H2732">
        <v>1000</v>
      </c>
      <c r="I2732"/>
      <c r="J2732"/>
      <c r="K2732" t="inlineStr">
        <is>
          <t>报告</t>
        </is>
      </c>
      <c r="L2732"/>
      <c r="M2732" t="inlineStr">
        <is>
          <t>Dr.Yang(执业兽医师)的店</t>
        </is>
      </c>
      <c r="N2732">
        <v>21000</v>
      </c>
      <c r="O2732">
        <v>4.72</v>
      </c>
      <c r="P2732">
        <v>27000</v>
      </c>
      <c r="Q2732" t="inlineStr">
        <is>
          <t>662e450930b5ae000158091b</t>
        </is>
      </c>
      <c r="R2732"/>
      <c r="S2732" t="inlineStr">
        <is>
          <t>咨询服务</t>
        </is>
      </c>
      <c r="T2732" t="inlineStr">
        <is>
          <t>1.24</t>
        </is>
      </c>
      <c r="U2732" s="3">
        <v>46112.78107638889</v>
      </c>
      <c r="V2732"/>
      <c r="W2732" s="3">
        <v>46110</v>
      </c>
      <c r="X2732" t="inlineStr">
        <is>
          <t>03</t>
        </is>
      </c>
      <c r="Y2732" t="inlineStr">
        <is>
          <t>2026-Q1</t>
        </is>
      </c>
    </row>
    <row r="2733" ht="38.25" customHeight="1">
      <c r="A2733" t="inlineStr">
        <is>
          <t>【正版】双链接·颜值打分，面部分析报告妆容分析，自动发货</t>
        </is>
      </c>
      <c r="B2733" t="inlineStr">
        <is>
          <t>recvfep4XqG0jp.jpg</t>
        </is>
      </c>
      <c r="C2733" s="2" t="str">
        <f>=HYPERLINK("https://xhslink.com/m/5xuUSGiXVQe", "https://xhslink.com/m/5xuUSGiXVQe")</f>
        <v>https://xhslink.com/m/5xuUSGiXVQe</v>
      </c>
      <c r="D2733"/>
      <c r="E2733">
        <v>14000</v>
      </c>
      <c r="F2733">
        <v>1.99</v>
      </c>
      <c r="G2733"/>
      <c r="H2733">
        <v>650</v>
      </c>
      <c r="I2733">
        <v>3000</v>
      </c>
      <c r="J2733"/>
      <c r="K2733" t="inlineStr">
        <is>
          <t>报告</t>
        </is>
      </c>
      <c r="L2733" t="inlineStr">
        <is>
          <t>🔥低粉爆款</t>
        </is>
      </c>
      <c r="M2733" t="inlineStr">
        <is>
          <t>心愈能量小栈的店</t>
        </is>
      </c>
      <c r="N2733">
        <v>478</v>
      </c>
      <c r="O2733">
        <v>4.5</v>
      </c>
      <c r="P2733">
        <v>23000</v>
      </c>
      <c r="Q2733" t="inlineStr">
        <is>
          <t>69253620581ea200150043a9</t>
        </is>
      </c>
      <c r="R2733"/>
      <c r="S2733" t="inlineStr">
        <is>
          <t>咨询服务</t>
        </is>
      </c>
      <c r="T2733" t="inlineStr">
        <is>
          <t>29.29</t>
        </is>
      </c>
      <c r="U2733" s="3">
        <v>46112.78107638889</v>
      </c>
      <c r="V2733"/>
      <c r="W2733" s="3">
        <v>46110</v>
      </c>
      <c r="X2733" t="inlineStr">
        <is>
          <t>03</t>
        </is>
      </c>
      <c r="Y2733" t="inlineStr">
        <is>
          <t>2026-Q1</t>
        </is>
      </c>
    </row>
    <row r="2734" ht="38.25" customHeight="1">
      <c r="A2734" t="inlineStr">
        <is>
          <t>【学英语必看】TED演讲稿纸质版|小程序点读跟读【铁圈版】</t>
        </is>
      </c>
      <c r="B2734" t="inlineStr">
        <is>
          <t>recvfep4Xqns6P.jpg</t>
        </is>
      </c>
      <c r="C2734" s="2" t="str">
        <f>=HYPERLINK("https://xhslink.com/m/78w5Bjat5Xo", "https://xhslink.com/m/78w5Bjat5Xo")</f>
        <v>https://xhslink.com/m/78w5Bjat5Xo</v>
      </c>
      <c r="D2734"/>
      <c r="E2734">
        <v>8079</v>
      </c>
      <c r="F2734">
        <v>31.9</v>
      </c>
      <c r="G2734"/>
      <c r="H2734">
        <v>100</v>
      </c>
      <c r="I2734"/>
      <c r="J2734"/>
      <c r="K2734" t="inlineStr">
        <is>
          <t>英语演讲稿</t>
        </is>
      </c>
      <c r="L2734" t="inlineStr">
        <is>
          <t>🔥低粉爆款</t>
        </is>
      </c>
      <c r="M2734" t="inlineStr">
        <is>
          <t>舒舒学习屋的店</t>
        </is>
      </c>
      <c r="N2734">
        <v>2626</v>
      </c>
      <c r="O2734">
        <v>4.84</v>
      </c>
      <c r="P2734">
        <v>10000</v>
      </c>
      <c r="Q2734" t="inlineStr">
        <is>
          <t>678083aeae50cc000165f8a4</t>
        </is>
      </c>
      <c r="R2734" t="inlineStr">
        <is>
          <t>🚫重复</t>
        </is>
      </c>
      <c r="S2734" t="inlineStr">
        <is>
          <t>英语资料</t>
        </is>
      </c>
      <c r="T2734" t="inlineStr">
        <is>
          <t>3.08</t>
        </is>
      </c>
      <c r="U2734" s="3">
        <v>46112.78107638889</v>
      </c>
      <c r="V2734"/>
      <c r="W2734" s="3">
        <v>46110</v>
      </c>
      <c r="X2734" t="inlineStr">
        <is>
          <t>03</t>
        </is>
      </c>
      <c r="Y2734" t="inlineStr">
        <is>
          <t>2026-Q1</t>
        </is>
      </c>
    </row>
    <row r="2735" ht="38.25" customHeight="1">
      <c r="A2735" t="inlineStr">
        <is>
          <t>2026春季人教版小学数学一二三四五六年级上下册课件教案核心素养</t>
        </is>
      </c>
      <c r="B2735" t="inlineStr">
        <is>
          <t>recvfP701GneTh.jpg</t>
        </is>
      </c>
      <c r="C2735" s="2" t="str">
        <f>=HYPERLINK("https://xhslink.com/m/lbBxgoehYC", "https://xhslink.com/m/lbBxgoehYC")</f>
        <v>https://xhslink.com/m/lbBxgoehYC</v>
      </c>
      <c r="D2735"/>
      <c r="E2735">
        <v>2531</v>
      </c>
      <c r="F2735">
        <v>71.2</v>
      </c>
      <c r="G2735"/>
      <c r="H2735">
        <v>900</v>
      </c>
      <c r="I2735">
        <v>1000</v>
      </c>
      <c r="J2735"/>
      <c r="K2735" t="inlineStr">
        <is>
          <t>小学数学</t>
        </is>
      </c>
      <c r="L2735"/>
      <c r="M2735" t="inlineStr">
        <is>
          <t>小小智慧的店</t>
        </is>
      </c>
      <c r="N2735">
        <v>8863</v>
      </c>
      <c r="O2735">
        <v>4.59</v>
      </c>
      <c r="P2735">
        <v>57000</v>
      </c>
      <c r="Q2735" t="inlineStr">
        <is>
          <t>674a48d87473100001507acb</t>
        </is>
      </c>
      <c r="R2735" t="inlineStr">
        <is>
          <t>🚫重复</t>
        </is>
      </c>
      <c r="S2735" t="inlineStr">
        <is>
          <t>中小学教辅/教材</t>
        </is>
      </c>
      <c r="T2735" t="inlineStr">
        <is>
          <t>0.29</t>
        </is>
      </c>
      <c r="U2735" s="3">
        <v>46116.839791666665</v>
      </c>
      <c r="V2735"/>
      <c r="W2735" s="3">
        <v>46116</v>
      </c>
      <c r="X2735" t="inlineStr">
        <is>
          <t>04</t>
        </is>
      </c>
      <c r="Y2735" t="inlineStr">
        <is>
          <t>2026-Q2</t>
        </is>
      </c>
    </row>
    <row r="2736" ht="38.25" customHeight="1">
      <c r="A2736" t="inlineStr">
        <is>
          <t>2026一数·必刷100讲 高考数学核心方法(2.0版)一数教辅一数图书</t>
        </is>
      </c>
      <c r="B2736" t="inlineStr">
        <is>
          <t>recvfP701GweiC.jpg</t>
        </is>
      </c>
      <c r="C2736" s="2" t="str">
        <f>=HYPERLINK("https://xhslink.com/m/3fwLY9jGhNY", "https://xhslink.com/m/3fwLY9jGhNY")</f>
        <v>https://xhslink.com/m/3fwLY9jGhNY</v>
      </c>
      <c r="D2736"/>
      <c r="E2736">
        <v>14000</v>
      </c>
      <c r="F2736">
        <v>55.8</v>
      </c>
      <c r="G2736"/>
      <c r="H2736">
        <v>500</v>
      </c>
      <c r="I2736"/>
      <c r="J2736"/>
      <c r="K2736" t="inlineStr">
        <is>
          <t>高中数学</t>
        </is>
      </c>
      <c r="L2736"/>
      <c r="M2736" t="inlineStr">
        <is>
          <t>一数教辅的店</t>
        </is>
      </c>
      <c r="N2736">
        <v>49000</v>
      </c>
      <c r="O2736">
        <v>4.71</v>
      </c>
      <c r="P2736">
        <v>45000</v>
      </c>
      <c r="Q2736" t="inlineStr">
        <is>
          <t>650a5fb56eff3700018173eb</t>
        </is>
      </c>
      <c r="R2736" t="inlineStr">
        <is>
          <t>🚫重复</t>
        </is>
      </c>
      <c r="S2736" t="inlineStr">
        <is>
          <t>高中/高考资料</t>
        </is>
      </c>
      <c r="T2736" t="inlineStr">
        <is>
          <t>0.29</t>
        </is>
      </c>
      <c r="U2736" s="3">
        <v>46116.839791666665</v>
      </c>
      <c r="V2736"/>
      <c r="W2736" s="3">
        <v>46116</v>
      </c>
      <c r="X2736" t="inlineStr">
        <is>
          <t>04</t>
        </is>
      </c>
      <c r="Y2736" t="inlineStr">
        <is>
          <t>2026-Q2</t>
        </is>
      </c>
    </row>
    <row r="2737" ht="38.25" customHeight="1">
      <c r="A2737" t="inlineStr">
        <is>
          <t>2025年高考语文数学英语物理化学历史地理政治真题分类汇编电子版</t>
        </is>
      </c>
      <c r="B2737" t="inlineStr">
        <is>
          <t>recvfP701GpSrb.jpg</t>
        </is>
      </c>
      <c r="C2737" s="2" t="str">
        <f>=HYPERLINK("https://xhslink.com/m/3IGQ01vSK5z", "https://xhslink.com/m/3IGQ01vSK5z")</f>
        <v>https://xhslink.com/m/3IGQ01vSK5z</v>
      </c>
      <c r="D2737"/>
      <c r="E2737">
        <v>8016</v>
      </c>
      <c r="F2737">
        <v>8.8</v>
      </c>
      <c r="G2737"/>
      <c r="H2737">
        <v>350</v>
      </c>
      <c r="I2737"/>
      <c r="J2737"/>
      <c r="K2737" t="inlineStr">
        <is>
          <t>高中数学</t>
        </is>
      </c>
      <c r="L2737"/>
      <c r="M2737" t="inlineStr">
        <is>
          <t>发发的高中资料库的店</t>
        </is>
      </c>
      <c r="N2737">
        <v>17000</v>
      </c>
      <c r="O2737">
        <v>4.48</v>
      </c>
      <c r="P2737">
        <v>56000</v>
      </c>
      <c r="Q2737" t="inlineStr">
        <is>
          <t>678f061e96b36c0001e7842b</t>
        </is>
      </c>
      <c r="R2737" t="inlineStr">
        <is>
          <t>🚫重复</t>
        </is>
      </c>
      <c r="S2737" t="inlineStr">
        <is>
          <t>高中/高考资料</t>
        </is>
      </c>
      <c r="T2737" t="inlineStr">
        <is>
          <t>0.47</t>
        </is>
      </c>
      <c r="U2737" s="3">
        <v>46116.839791666665</v>
      </c>
      <c r="V2737"/>
      <c r="W2737" s="3">
        <v>46116</v>
      </c>
      <c r="X2737" t="inlineStr">
        <is>
          <t>04</t>
        </is>
      </c>
      <c r="Y2737" t="inlineStr">
        <is>
          <t>2026-Q2</t>
        </is>
      </c>
    </row>
    <row r="2738" ht="38.25" customHeight="1">
      <c r="A2738" t="inlineStr">
        <is>
          <t>浙江大学出版社初高中数学思想方法导引张金良主编辅导资料书</t>
        </is>
      </c>
      <c r="B2738" t="inlineStr">
        <is>
          <t>__upload_recvfP701GMkSL.jpg</t>
        </is>
      </c>
      <c r="C2738" s="2" t="str">
        <f>=HYPERLINK("https://xhslink.com/m/5qmJVyJTgpf", "https://xhslink.com/m/5qmJVyJTgpf")</f>
        <v>https://xhslink.com/m/5qmJVyJTgpf</v>
      </c>
      <c r="D2738"/>
      <c r="E2738">
        <v>3964</v>
      </c>
      <c r="F2738">
        <v>38.87</v>
      </c>
      <c r="G2738"/>
      <c r="H2738">
        <v>450</v>
      </c>
      <c r="I2738"/>
      <c r="J2738">
        <v>200</v>
      </c>
      <c r="K2738" t="inlineStr">
        <is>
          <t>高中数学</t>
        </is>
      </c>
      <c r="L2738"/>
      <c r="M2738" t="inlineStr">
        <is>
          <t>提分书屋的店</t>
        </is>
      </c>
      <c r="N2738">
        <v>1388</v>
      </c>
      <c r="O2738">
        <v>4.43</v>
      </c>
      <c r="P2738">
        <v>4186</v>
      </c>
      <c r="Q2738" t="inlineStr">
        <is>
          <t>664c534683bbd800014ec080</t>
        </is>
      </c>
      <c r="R2738" t="inlineStr">
        <is>
          <t>🚫重复</t>
        </is>
      </c>
      <c r="S2738" t="inlineStr">
        <is>
          <t>中小学教辅/教材</t>
        </is>
      </c>
      <c r="T2738" t="inlineStr">
        <is>
          <t>2.86</t>
        </is>
      </c>
      <c r="U2738" s="3">
        <v>46116.839791666665</v>
      </c>
      <c r="V2738"/>
      <c r="W2738" s="3">
        <v>46116</v>
      </c>
      <c r="X2738" t="inlineStr">
        <is>
          <t>04</t>
        </is>
      </c>
      <c r="Y2738" t="inlineStr">
        <is>
          <t>2026-Q2</t>
        </is>
      </c>
    </row>
    <row r="2739" ht="38.25" customHeight="1">
      <c r="A2739" t="inlineStr">
        <is>
          <t>简历模板 笔记同款简历模板合集 手机/电脑可编辑无水印永久使用</t>
        </is>
      </c>
      <c r="B2739" t="inlineStr">
        <is>
          <t>recvfP701GhDsG.jpg</t>
        </is>
      </c>
      <c r="C2739" s="2" t="str">
        <f>=HYPERLINK("https://xhslink.com/m/5SRDyivOfF", "https://xhslink.com/m/5SRDyivOfF")</f>
        <v>https://xhslink.com/m/5SRDyivOfF</v>
      </c>
      <c r="D2739"/>
      <c r="E2739">
        <v>19000</v>
      </c>
      <c r="F2739">
        <v>2.98</v>
      </c>
      <c r="G2739"/>
      <c r="H2739">
        <v>500</v>
      </c>
      <c r="I2739"/>
      <c r="J2739"/>
      <c r="K2739" t="inlineStr">
        <is>
          <t>简历</t>
        </is>
      </c>
      <c r="L2739"/>
      <c r="M2739" t="inlineStr">
        <is>
          <t>大学生求职简历模板的店</t>
        </is>
      </c>
      <c r="N2739">
        <v>20000</v>
      </c>
      <c r="O2739">
        <v>4.61</v>
      </c>
      <c r="P2739">
        <v>78000</v>
      </c>
      <c r="Q2739" t="inlineStr">
        <is>
          <t>66f0f79f86a6ff000166ffcd</t>
        </is>
      </c>
      <c r="R2739" t="inlineStr">
        <is>
          <t>🚫重复</t>
        </is>
      </c>
      <c r="S2739" t="inlineStr">
        <is>
          <t>求职面试/职场</t>
        </is>
      </c>
      <c r="T2739" t="inlineStr">
        <is>
          <t>0.95</t>
        </is>
      </c>
      <c r="U2739" s="3">
        <v>46116.839791666665</v>
      </c>
      <c r="V2739"/>
      <c r="W2739" s="3">
        <v>46116</v>
      </c>
      <c r="X2739" t="inlineStr">
        <is>
          <t>04</t>
        </is>
      </c>
      <c r="Y2739" t="inlineStr">
        <is>
          <t>2026-Q2</t>
        </is>
      </c>
    </row>
    <row r="2740" ht="38.25" customHeight="1">
      <c r="A2740" t="inlineStr">
        <is>
          <t>2026春四下语文简约课件制作完成，复习课件制作中</t>
        </is>
      </c>
      <c r="B2740" t="inlineStr">
        <is>
          <t>recvfP701G8gOD.jpg</t>
        </is>
      </c>
      <c r="C2740" s="2" t="str">
        <f>=HYPERLINK("https://xhslink.com/m/A9w80pwQnuo", "https://xhslink.com/m/A9w80pwQnuo")</f>
        <v>https://xhslink.com/m/A9w80pwQnuo</v>
      </c>
      <c r="D2740"/>
      <c r="E2740">
        <v>1827</v>
      </c>
      <c r="F2740">
        <v>45</v>
      </c>
      <c r="G2740"/>
      <c r="H2740">
        <v>650</v>
      </c>
      <c r="I2740"/>
      <c r="J2740"/>
      <c r="K2740" t="inlineStr">
        <is>
          <t>语文课件</t>
        </is>
      </c>
      <c r="L2740"/>
      <c r="M2740" t="inlineStr">
        <is>
          <t>墨卿简约原创教学课件的店</t>
        </is>
      </c>
      <c r="N2740">
        <v>6305</v>
      </c>
      <c r="O2740">
        <v>4.61</v>
      </c>
      <c r="P2740">
        <v>5800</v>
      </c>
      <c r="Q2740" t="inlineStr">
        <is>
          <t>6972f47a8dc4b30001c12bcc</t>
        </is>
      </c>
      <c r="R2740"/>
      <c r="S2740" t="inlineStr">
        <is>
          <t>中小学教辅/教材</t>
        </is>
      </c>
      <c r="T2740" t="inlineStr">
        <is>
          <t>0.29</t>
        </is>
      </c>
      <c r="U2740" s="3">
        <v>46116.839791666665</v>
      </c>
      <c r="V2740"/>
      <c r="W2740" s="3">
        <v>46116</v>
      </c>
      <c r="X2740" t="inlineStr">
        <is>
          <t>04</t>
        </is>
      </c>
      <c r="Y2740" t="inlineStr">
        <is>
          <t>2026-Q2</t>
        </is>
      </c>
    </row>
    <row r="2741" ht="38.25" customHeight="1">
      <c r="A2741" t="inlineStr">
        <is>
          <t>五下第一单元课件</t>
        </is>
      </c>
      <c r="B2741" t="inlineStr">
        <is>
          <t>recvfP701GYMtz.jpg</t>
        </is>
      </c>
      <c r="C2741" s="2" t="str">
        <f>=HYPERLINK("https://xhslink.com/m/4XlprsKbzXk", "https://xhslink.com/m/4XlprsKbzXk")</f>
        <v>https://xhslink.com/m/4XlprsKbzXk</v>
      </c>
      <c r="D2741"/>
      <c r="E2741">
        <v>712</v>
      </c>
      <c r="F2741">
        <v>61</v>
      </c>
      <c r="G2741"/>
      <c r="H2741">
        <v>450</v>
      </c>
      <c r="I2741"/>
      <c r="J2741"/>
      <c r="K2741" t="inlineStr">
        <is>
          <t>语文课件</t>
        </is>
      </c>
      <c r="L2741"/>
      <c r="M2741" t="inlineStr">
        <is>
          <t>柚子的书柜的店</t>
        </is>
      </c>
      <c r="N2741">
        <v>45000</v>
      </c>
      <c r="O2741">
        <v>4.58</v>
      </c>
      <c r="P2741">
        <v>17000</v>
      </c>
      <c r="Q2741" t="inlineStr">
        <is>
          <t>699d067f87daa00001b5df11</t>
        </is>
      </c>
      <c r="R2741" t="inlineStr">
        <is>
          <t>🚫重复</t>
        </is>
      </c>
      <c r="S2741" t="inlineStr">
        <is>
          <t>中小学教辅/教材</t>
        </is>
      </c>
      <c r="T2741" t="inlineStr">
        <is>
          <t>0.02</t>
        </is>
      </c>
      <c r="U2741" s="3">
        <v>46116.839791666665</v>
      </c>
      <c r="V2741"/>
      <c r="W2741" s="3">
        <v>46116</v>
      </c>
      <c r="X2741" t="inlineStr">
        <is>
          <t>04</t>
        </is>
      </c>
      <c r="Y2741" t="inlineStr">
        <is>
          <t>2026-Q2</t>
        </is>
      </c>
    </row>
    <row r="2742" ht="38.25" customHeight="1">
      <c r="A2742" t="inlineStr">
        <is>
          <t>26春语文一年级下册课件合集PPT教案教学设计新版人教部编版备课</t>
        </is>
      </c>
      <c r="B2742" t="inlineStr">
        <is>
          <t>recvfP701G2EmZ.jpg</t>
        </is>
      </c>
      <c r="C2742" s="2" t="str">
        <f>=HYPERLINK("https://xhslink.com/m/1qkQNFDj9yn", "https://xhslink.com/m/1qkQNFDj9yn")</f>
        <v>https://xhslink.com/m/1qkQNFDj9yn</v>
      </c>
      <c r="D2742"/>
      <c r="E2742">
        <v>689</v>
      </c>
      <c r="F2742">
        <v>49.9</v>
      </c>
      <c r="G2742"/>
      <c r="H2742">
        <v>500</v>
      </c>
      <c r="I2742"/>
      <c r="J2742"/>
      <c r="K2742" t="inlineStr">
        <is>
          <t>语文课件</t>
        </is>
      </c>
      <c r="L2742"/>
      <c r="M2742" t="inlineStr">
        <is>
          <t>好好去备课的店</t>
        </is>
      </c>
      <c r="N2742">
        <v>2147</v>
      </c>
      <c r="O2742">
        <v>4.59</v>
      </c>
      <c r="P2742">
        <v>5731</v>
      </c>
      <c r="Q2742" t="inlineStr">
        <is>
          <t>683e5f1b4b53070001fcccee</t>
        </is>
      </c>
      <c r="R2742" t="inlineStr">
        <is>
          <t>🚫重复</t>
        </is>
      </c>
      <c r="S2742" t="inlineStr">
        <is>
          <t>中小学教辅/教材</t>
        </is>
      </c>
      <c r="T2742" t="inlineStr">
        <is>
          <t>0.32</t>
        </is>
      </c>
      <c r="U2742" s="3">
        <v>46116.839791666665</v>
      </c>
      <c r="V2742"/>
      <c r="W2742" s="3">
        <v>46116</v>
      </c>
      <c r="X2742" t="inlineStr">
        <is>
          <t>04</t>
        </is>
      </c>
      <c r="Y2742" t="inlineStr">
        <is>
          <t>2026-Q2</t>
        </is>
      </c>
    </row>
    <row r="2743" ht="38.25" customHeight="1">
      <c r="A2743" t="inlineStr">
        <is>
          <t>26春语文三年级下册课件合集PPT教案教学设计新版人教部编统编版</t>
        </is>
      </c>
      <c r="B2743" t="inlineStr">
        <is>
          <t>recvfP701GIpml.jpg</t>
        </is>
      </c>
      <c r="C2743" s="2" t="str">
        <f>=HYPERLINK("https://xhslink.com/m/6189a7dqGSn", "https://xhslink.com/m/6189a7dqGSn")</f>
        <v>https://xhslink.com/m/6189a7dqGSn</v>
      </c>
      <c r="D2743"/>
      <c r="E2743">
        <v>660</v>
      </c>
      <c r="F2743">
        <v>49.9</v>
      </c>
      <c r="G2743"/>
      <c r="H2743">
        <v>400</v>
      </c>
      <c r="I2743"/>
      <c r="J2743"/>
      <c r="K2743" t="inlineStr">
        <is>
          <t>语文课件</t>
        </is>
      </c>
      <c r="L2743"/>
      <c r="M2743" t="inlineStr">
        <is>
          <t>好好去备课的店</t>
        </is>
      </c>
      <c r="N2743">
        <v>2147</v>
      </c>
      <c r="O2743">
        <v>4.59</v>
      </c>
      <c r="P2743">
        <v>5731</v>
      </c>
      <c r="Q2743" t="inlineStr">
        <is>
          <t>695b366403876800012e8550</t>
        </is>
      </c>
      <c r="R2743" t="inlineStr">
        <is>
          <t>🚫重复</t>
        </is>
      </c>
      <c r="S2743" t="inlineStr">
        <is>
          <t>中小学教辅/教材</t>
        </is>
      </c>
      <c r="T2743" t="inlineStr">
        <is>
          <t>0.31</t>
        </is>
      </c>
      <c r="U2743" s="3">
        <v>46116.839791666665</v>
      </c>
      <c r="V2743"/>
      <c r="W2743" s="3">
        <v>46116</v>
      </c>
      <c r="X2743" t="inlineStr">
        <is>
          <t>04</t>
        </is>
      </c>
      <c r="Y2743" t="inlineStr">
        <is>
          <t>2026-Q2</t>
        </is>
      </c>
    </row>
    <row r="2744" ht="38.25" customHeight="1">
      <c r="A2744" t="inlineStr">
        <is>
          <t>26春语文二年级下册课件合集PPT教案教学设计新版人教部编版备课</t>
        </is>
      </c>
      <c r="B2744" t="inlineStr">
        <is>
          <t>recvfP701GAwUw.jpg</t>
        </is>
      </c>
      <c r="C2744" s="2" t="str">
        <f>=HYPERLINK("https://xhslink.com/m/5mVbP15z6Ht", "https://xhslink.com/m/5mVbP15z6Ht")</f>
        <v>https://xhslink.com/m/5mVbP15z6Ht</v>
      </c>
      <c r="D2744"/>
      <c r="E2744">
        <v>608</v>
      </c>
      <c r="F2744">
        <v>49.9</v>
      </c>
      <c r="G2744"/>
      <c r="H2744">
        <v>500</v>
      </c>
      <c r="I2744"/>
      <c r="J2744"/>
      <c r="K2744" t="inlineStr">
        <is>
          <t>语文课件</t>
        </is>
      </c>
      <c r="L2744"/>
      <c r="M2744" t="inlineStr">
        <is>
          <t>好好去备课的店</t>
        </is>
      </c>
      <c r="N2744">
        <v>2147</v>
      </c>
      <c r="O2744">
        <v>4.59</v>
      </c>
      <c r="P2744">
        <v>5731</v>
      </c>
      <c r="Q2744" t="inlineStr">
        <is>
          <t>682fef98fde0e20001e9aeba</t>
        </is>
      </c>
      <c r="R2744" t="inlineStr">
        <is>
          <t>🚫重复</t>
        </is>
      </c>
      <c r="S2744" t="inlineStr">
        <is>
          <t>中小学教辅/教材</t>
        </is>
      </c>
      <c r="T2744" t="inlineStr">
        <is>
          <t>0.28</t>
        </is>
      </c>
      <c r="U2744" s="3">
        <v>46116.839791666665</v>
      </c>
      <c r="V2744"/>
      <c r="W2744" s="3">
        <v>46116</v>
      </c>
      <c r="X2744" t="inlineStr">
        <is>
          <t>04</t>
        </is>
      </c>
      <c r="Y2744" t="inlineStr">
        <is>
          <t>2026-Q2</t>
        </is>
      </c>
    </row>
    <row r="2745" ht="38.25" customHeight="1">
      <c r="A2745" t="inlineStr">
        <is>
          <t>26春语文五年级下册课件合集PPT教案教学设计新版人教部编版备课</t>
        </is>
      </c>
      <c r="B2745" t="inlineStr">
        <is>
          <t>recvfP701GYd1u.jpg</t>
        </is>
      </c>
      <c r="C2745" s="2" t="str">
        <f>=HYPERLINK("https://xhslink.com/m/9WUBhVjB5h6", "https://xhslink.com/m/9WUBhVjB5h6")</f>
        <v>https://xhslink.com/m/9WUBhVjB5h6</v>
      </c>
      <c r="D2745"/>
      <c r="E2745">
        <v>571</v>
      </c>
      <c r="F2745">
        <v>49.9</v>
      </c>
      <c r="G2745"/>
      <c r="H2745">
        <v>300</v>
      </c>
      <c r="I2745"/>
      <c r="J2745"/>
      <c r="K2745" t="inlineStr">
        <is>
          <t>语文课件</t>
        </is>
      </c>
      <c r="L2745"/>
      <c r="M2745" t="inlineStr">
        <is>
          <t>好好去备课的店</t>
        </is>
      </c>
      <c r="N2745">
        <v>2147</v>
      </c>
      <c r="O2745">
        <v>4.59</v>
      </c>
      <c r="P2745">
        <v>5731</v>
      </c>
      <c r="Q2745" t="inlineStr">
        <is>
          <t>688056e7e019f20001a068ff</t>
        </is>
      </c>
      <c r="R2745" t="inlineStr">
        <is>
          <t>🚫重复</t>
        </is>
      </c>
      <c r="S2745" t="inlineStr">
        <is>
          <t>中小学教辅/教材</t>
        </is>
      </c>
      <c r="T2745" t="inlineStr">
        <is>
          <t>0.27</t>
        </is>
      </c>
      <c r="U2745" s="3">
        <v>46116.839791666665</v>
      </c>
      <c r="V2745"/>
      <c r="W2745" s="3">
        <v>46116</v>
      </c>
      <c r="X2745" t="inlineStr">
        <is>
          <t>04</t>
        </is>
      </c>
      <c r="Y2745" t="inlineStr">
        <is>
          <t>2026-Q2</t>
        </is>
      </c>
    </row>
    <row r="2746" ht="38.25" customHeight="1">
      <c r="A2746" t="inlineStr">
        <is>
          <t>2026春新版人教版四年级下册课件资源包（更新中）</t>
        </is>
      </c>
      <c r="B2746" t="inlineStr">
        <is>
          <t>recvfP701G8rOc.jpg</t>
        </is>
      </c>
      <c r="C2746" s="2" t="str">
        <f>=HYPERLINK("https://xhslink.com/m/Pl2rsOFjOR", "https://xhslink.com/m/Pl2rsOFjOR")</f>
        <v>https://xhslink.com/m/Pl2rsOFjOR</v>
      </c>
      <c r="D2746"/>
      <c r="E2746">
        <v>556</v>
      </c>
      <c r="F2746">
        <v>35.9</v>
      </c>
      <c r="G2746"/>
      <c r="H2746">
        <v>350</v>
      </c>
      <c r="I2746"/>
      <c r="J2746"/>
      <c r="K2746" t="inlineStr">
        <is>
          <t>语文课件</t>
        </is>
      </c>
      <c r="L2746"/>
      <c r="M2746" t="inlineStr">
        <is>
          <t>米妮老师~的店</t>
        </is>
      </c>
      <c r="N2746">
        <v>3473</v>
      </c>
      <c r="O2746">
        <v>4.57</v>
      </c>
      <c r="P2746">
        <v>19000</v>
      </c>
      <c r="Q2746" t="inlineStr">
        <is>
          <t>698eefd92ab5130001ccd261</t>
        </is>
      </c>
      <c r="R2746" t="inlineStr">
        <is>
          <t>🚫重复</t>
        </is>
      </c>
      <c r="S2746" t="inlineStr">
        <is>
          <t>中小学教辅/教材</t>
        </is>
      </c>
      <c r="T2746" t="inlineStr">
        <is>
          <t>0.16</t>
        </is>
      </c>
      <c r="U2746" s="3">
        <v>46116.839791666665</v>
      </c>
      <c r="V2746"/>
      <c r="W2746" s="3">
        <v>46116</v>
      </c>
      <c r="X2746" t="inlineStr">
        <is>
          <t>04</t>
        </is>
      </c>
      <c r="Y2746" t="inlineStr">
        <is>
          <t>2026-Q2</t>
        </is>
      </c>
    </row>
    <row r="2747" ht="38.25" customHeight="1">
      <c r="A2747" t="inlineStr">
        <is>
          <t>2026版【教师专用】二下语文第一单元课件、教案</t>
        </is>
      </c>
      <c r="B2747" t="inlineStr">
        <is>
          <t>recvfP701Gr6Hm.jpg</t>
        </is>
      </c>
      <c r="C2747" s="2" t="str">
        <f>=HYPERLINK("https://xhslink.com/m/5NV3yAYrnD", "https://xhslink.com/m/5NV3yAYrnD")</f>
        <v>https://xhslink.com/m/5NV3yAYrnD</v>
      </c>
      <c r="D2747"/>
      <c r="E2747">
        <v>456</v>
      </c>
      <c r="F2747">
        <v>128</v>
      </c>
      <c r="G2747"/>
      <c r="H2747">
        <v>350</v>
      </c>
      <c r="I2747"/>
      <c r="J2747"/>
      <c r="K2747" t="inlineStr">
        <is>
          <t>语文课件</t>
        </is>
      </c>
      <c r="L2747"/>
      <c r="M2747" t="inlineStr">
        <is>
          <t>田心老师的课堂教学与管理的店</t>
        </is>
      </c>
      <c r="N2747">
        <v>18000</v>
      </c>
      <c r="O2747">
        <v>4.22</v>
      </c>
      <c r="P2747">
        <v>5112</v>
      </c>
      <c r="Q2747" t="inlineStr">
        <is>
          <t>699da0b8d8116e000135b96e</t>
        </is>
      </c>
      <c r="R2747" t="inlineStr">
        <is>
          <t>🚫重复</t>
        </is>
      </c>
      <c r="S2747" t="inlineStr">
        <is>
          <t>中小学教辅/教材</t>
        </is>
      </c>
      <c r="T2747" t="inlineStr">
        <is>
          <t>0.03</t>
        </is>
      </c>
      <c r="U2747" s="3">
        <v>46116.839791666665</v>
      </c>
      <c r="V2747"/>
      <c r="W2747" s="3">
        <v>46116</v>
      </c>
      <c r="X2747" t="inlineStr">
        <is>
          <t>04</t>
        </is>
      </c>
      <c r="Y2747" t="inlineStr">
        <is>
          <t>2026-Q2</t>
        </is>
      </c>
    </row>
    <row r="2748" ht="38.25" customHeight="1">
      <c r="A2748" t="inlineStr">
        <is>
          <t>小学数学三年级必考14种类型思维应用题训练合集189道电子版</t>
        </is>
      </c>
      <c r="B2748" t="inlineStr">
        <is>
          <t>recvfZrdJeM8hQ.jpg</t>
        </is>
      </c>
      <c r="C2748" s="2" t="str">
        <f>=HYPERLINK("https://xhslink.com/m/3eTI3Eu3zVm", "https://xhslink.com/m/3eTI3Eu3zVm")</f>
        <v>https://xhslink.com/m/3eTI3Eu3zVm</v>
      </c>
      <c r="D2748"/>
      <c r="E2748">
        <v>1592</v>
      </c>
      <c r="F2748">
        <v>3.9</v>
      </c>
      <c r="G2748"/>
      <c r="H2748">
        <v>250</v>
      </c>
      <c r="I2748"/>
      <c r="J2748"/>
      <c r="K2748" t="inlineStr">
        <is>
          <t>小学数学资料</t>
        </is>
      </c>
      <c r="L2748"/>
      <c r="M2748" t="inlineStr">
        <is>
          <t>小学麦穗老师的店</t>
        </is>
      </c>
      <c r="N2748">
        <v>4417</v>
      </c>
      <c r="O2748">
        <v>4.42</v>
      </c>
      <c r="P2748">
        <v>18000</v>
      </c>
      <c r="Q2748" t="inlineStr">
        <is>
          <t>68d15a84e3219d0001500706</t>
        </is>
      </c>
      <c r="R2748" t="inlineStr">
        <is>
          <t>🚫重复</t>
        </is>
      </c>
      <c r="S2748" t="inlineStr">
        <is>
          <t>中小学教辅/教材</t>
        </is>
      </c>
      <c r="T2748" t="inlineStr">
        <is>
          <t>0.36</t>
        </is>
      </c>
      <c r="U2748" s="3">
        <v>46118.605787037035</v>
      </c>
      <c r="V2748"/>
      <c r="W2748" s="3">
        <v>46118</v>
      </c>
      <c r="X2748" t="inlineStr">
        <is>
          <t>04</t>
        </is>
      </c>
      <c r="Y2748" t="inlineStr">
        <is>
          <t>2026-Q2</t>
        </is>
      </c>
    </row>
    <row r="2749" ht="38.25" customHeight="1">
      <c r="A2749" t="inlineStr">
        <is>
          <t>小升初总复习资料电子版语文数学英语知识点汇总专项训练小升初</t>
        </is>
      </c>
      <c r="B2749" t="inlineStr">
        <is>
          <t>recvfZrgnNasgR.jpg</t>
        </is>
      </c>
      <c r="C2749" s="2" t="str">
        <f>=HYPERLINK("https://xhslink.com/m/5YhnZy8KVqB", "https://xhslink.com/m/5YhnZy8KVqB")</f>
        <v>https://xhslink.com/m/5YhnZy8KVqB</v>
      </c>
      <c r="D2749"/>
      <c r="E2749">
        <v>4594</v>
      </c>
      <c r="F2749">
        <v>15.8</v>
      </c>
      <c r="G2749"/>
      <c r="H2749">
        <v>250</v>
      </c>
      <c r="I2749"/>
      <c r="J2749"/>
      <c r="K2749" t="inlineStr">
        <is>
          <t>小学数学资料</t>
        </is>
      </c>
      <c r="L2749"/>
      <c r="M2749" t="inlineStr">
        <is>
          <t>中考提分宝库的店</t>
        </is>
      </c>
      <c r="N2749">
        <v>22000</v>
      </c>
      <c r="O2749">
        <v>4.32</v>
      </c>
      <c r="P2749">
        <v>80000</v>
      </c>
      <c r="Q2749" t="inlineStr">
        <is>
          <t>677b139044e48100012c4561</t>
        </is>
      </c>
      <c r="R2749" t="inlineStr">
        <is>
          <t>🚫重复</t>
        </is>
      </c>
      <c r="S2749" t="inlineStr">
        <is>
          <t>中小学教辅/教材</t>
        </is>
      </c>
      <c r="T2749" t="inlineStr">
        <is>
          <t>0.21</t>
        </is>
      </c>
      <c r="U2749" s="3">
        <v>46118.60591435185</v>
      </c>
      <c r="V2749"/>
      <c r="W2749" s="3">
        <v>46118</v>
      </c>
      <c r="X2749" t="inlineStr">
        <is>
          <t>04</t>
        </is>
      </c>
      <c r="Y2749" t="inlineStr">
        <is>
          <t>2026-Q2</t>
        </is>
      </c>
    </row>
    <row r="2750" ht="38.25" customHeight="1">
      <c r="A2750" t="inlineStr">
        <is>
          <t>2026春人教版小学语文数学预习备课电子资源</t>
        </is>
      </c>
      <c r="B2750" t="inlineStr">
        <is>
          <t>recvfZrgnNKzr0.jpg</t>
        </is>
      </c>
      <c r="C2750" s="2" t="str">
        <f>=HYPERLINK("https://xhslink.com/m/MPlDqNHpXF", "https://xhslink.com/m/MPlDqNHpXF")</f>
        <v>https://xhslink.com/m/MPlDqNHpXF</v>
      </c>
      <c r="D2750"/>
      <c r="E2750">
        <v>896</v>
      </c>
      <c r="F2750">
        <v>2.99</v>
      </c>
      <c r="G2750"/>
      <c r="H2750">
        <v>650</v>
      </c>
      <c r="I2750"/>
      <c r="J2750"/>
      <c r="K2750" t="inlineStr">
        <is>
          <t>小学数学资料</t>
        </is>
      </c>
      <c r="L2750"/>
      <c r="M2750" t="inlineStr">
        <is>
          <t>丁丁数学乐园的店</t>
        </is>
      </c>
      <c r="N2750">
        <v>8575</v>
      </c>
      <c r="O2750">
        <v>4.39</v>
      </c>
      <c r="P2750">
        <v>17000</v>
      </c>
      <c r="Q2750" t="inlineStr">
        <is>
          <t>69896321eb0d9a0001721286</t>
        </is>
      </c>
      <c r="R2750"/>
      <c r="S2750" t="inlineStr">
        <is>
          <t>中小学教辅/教材</t>
        </is>
      </c>
      <c r="T2750" t="inlineStr">
        <is>
          <t>0.10</t>
        </is>
      </c>
      <c r="U2750" s="3">
        <v>46118.60591435185</v>
      </c>
      <c r="V2750"/>
      <c r="W2750" s="3">
        <v>46118</v>
      </c>
      <c r="X2750" t="inlineStr">
        <is>
          <t>04</t>
        </is>
      </c>
      <c r="Y2750" t="inlineStr">
        <is>
          <t>2026-Q2</t>
        </is>
      </c>
    </row>
    <row r="2751" ht="38.25" customHeight="1">
      <c r="A2751" t="inlineStr">
        <is>
          <t>2026北师大版小学数学一二三四五六年级上下册教案课件ppt试题</t>
        </is>
      </c>
      <c r="B2751" t="inlineStr">
        <is>
          <t>recvfZrgnNBWJR.jpg</t>
        </is>
      </c>
      <c r="C2751" s="2" t="str">
        <f>=HYPERLINK("https://xhslink.com/m/3t6cwFOIOsf", "https://xhslink.com/m/3t6cwFOIOsf")</f>
        <v>https://xhslink.com/m/3t6cwFOIOsf</v>
      </c>
      <c r="D2751"/>
      <c r="E2751">
        <v>4699</v>
      </c>
      <c r="F2751">
        <v>9.9</v>
      </c>
      <c r="G2751"/>
      <c r="H2751">
        <v>600</v>
      </c>
      <c r="I2751"/>
      <c r="J2751"/>
      <c r="K2751" t="inlineStr">
        <is>
          <t>小学数学资料</t>
        </is>
      </c>
      <c r="L2751"/>
      <c r="M2751" t="inlineStr">
        <is>
          <t>肖老师的店</t>
        </is>
      </c>
      <c r="N2751">
        <v>12000</v>
      </c>
      <c r="O2751">
        <v>4.61</v>
      </c>
      <c r="P2751">
        <v>74000</v>
      </c>
      <c r="Q2751" t="inlineStr">
        <is>
          <t>674d81e87473100001675479</t>
        </is>
      </c>
      <c r="R2751" t="inlineStr">
        <is>
          <t>🚫重复</t>
        </is>
      </c>
      <c r="S2751" t="inlineStr">
        <is>
          <t>中小学教辅/教材</t>
        </is>
      </c>
      <c r="T2751" t="inlineStr">
        <is>
          <t>0.39</t>
        </is>
      </c>
      <c r="U2751" s="3">
        <v>46118.60591435185</v>
      </c>
      <c r="V2751"/>
      <c r="W2751" s="3">
        <v>46118</v>
      </c>
      <c r="X2751" t="inlineStr">
        <is>
          <t>04</t>
        </is>
      </c>
      <c r="Y2751" t="inlineStr">
        <is>
          <t>2026-Q2</t>
        </is>
      </c>
    </row>
    <row r="2752" ht="38.25" customHeight="1">
      <c r="A2752" t="inlineStr">
        <is>
          <t>七下6《老山界》（PPT32页+教案，附视频）</t>
        </is>
      </c>
      <c r="B2752" t="inlineStr">
        <is>
          <t>recvfZrgnN91ml.jpg</t>
        </is>
      </c>
      <c r="C2752" s="2" t="str">
        <f>=HYPERLINK("https://xhslink.com/m/AWVovPZ9kdG", "https://xhslink.com/m/AWVovPZ9kdG")</f>
        <v>https://xhslink.com/m/AWVovPZ9kdG</v>
      </c>
      <c r="D2752"/>
      <c r="E2752">
        <v>1172</v>
      </c>
      <c r="F2752">
        <v>8.8</v>
      </c>
      <c r="G2752"/>
      <c r="H2752">
        <v>150</v>
      </c>
      <c r="I2752"/>
      <c r="J2752"/>
      <c r="K2752" t="inlineStr">
        <is>
          <t>PPT</t>
        </is>
      </c>
      <c r="L2752"/>
      <c r="M2752" t="inlineStr">
        <is>
          <t>毛颖传奇的店</t>
        </is>
      </c>
      <c r="N2752">
        <v>30000</v>
      </c>
      <c r="O2752">
        <v>4.42</v>
      </c>
      <c r="P2752">
        <v>133000</v>
      </c>
      <c r="Q2752" t="inlineStr">
        <is>
          <t>67846fb9b1ef540001c8905e</t>
        </is>
      </c>
      <c r="R2752" t="inlineStr">
        <is>
          <t>🚫重复</t>
        </is>
      </c>
      <c r="S2752" t="inlineStr">
        <is>
          <t>PPT模板</t>
        </is>
      </c>
      <c r="T2752" t="inlineStr">
        <is>
          <t>0.04</t>
        </is>
      </c>
      <c r="U2752" s="3">
        <v>46118.60591435185</v>
      </c>
      <c r="V2752"/>
      <c r="W2752" s="3">
        <v>46118</v>
      </c>
      <c r="X2752" t="inlineStr">
        <is>
          <t>04</t>
        </is>
      </c>
      <c r="Y2752" t="inlineStr">
        <is>
          <t>2026-Q2</t>
        </is>
      </c>
    </row>
    <row r="2753" ht="38.25" customHeight="1">
      <c r="A2753" t="inlineStr">
        <is>
          <t>75蓝色线条小狗ppt模版</t>
        </is>
      </c>
      <c r="B2753" t="inlineStr">
        <is>
          <t>recvfZrgnNZQSz.jpg</t>
        </is>
      </c>
      <c r="C2753" s="2" t="str">
        <f>=HYPERLINK("https://xhslink.com/m/40CiePNoBpP", "https://xhslink.com/m/40CiePNoBpP")</f>
        <v>https://xhslink.com/m/40CiePNoBpP</v>
      </c>
      <c r="D2753"/>
      <c r="E2753">
        <v>1827</v>
      </c>
      <c r="F2753">
        <v>1</v>
      </c>
      <c r="G2753"/>
      <c r="H2753">
        <v>300</v>
      </c>
      <c r="I2753">
        <v>1000</v>
      </c>
      <c r="J2753"/>
      <c r="K2753" t="inlineStr">
        <is>
          <t>PPT</t>
        </is>
      </c>
      <c r="L2753" t="inlineStr">
        <is>
          <t>🔥低粉爆款</t>
        </is>
      </c>
      <c r="M2753" t="inlineStr">
        <is>
          <t>王圈圈圈圈的PPT🍏的店</t>
        </is>
      </c>
      <c r="N2753">
        <v>592</v>
      </c>
      <c r="O2753">
        <v>4.55</v>
      </c>
      <c r="P2753">
        <v>10000</v>
      </c>
      <c r="Q2753" t="inlineStr">
        <is>
          <t>6907053d2fdb7c0001989313</t>
        </is>
      </c>
      <c r="R2753" t="inlineStr">
        <is>
          <t>🚫重复</t>
        </is>
      </c>
      <c r="S2753" t="inlineStr">
        <is>
          <t>PPT模板</t>
        </is>
      </c>
      <c r="T2753" t="inlineStr">
        <is>
          <t>3.09</t>
        </is>
      </c>
      <c r="U2753" s="3">
        <v>46118.60591435185</v>
      </c>
      <c r="V2753"/>
      <c r="W2753" s="3">
        <v>46118</v>
      </c>
      <c r="X2753" t="inlineStr">
        <is>
          <t>04</t>
        </is>
      </c>
      <c r="Y2753" t="inlineStr">
        <is>
          <t>2026-Q2</t>
        </is>
      </c>
    </row>
    <row r="2754" ht="38.25" customHeight="1">
      <c r="A2754" t="inlineStr">
        <is>
          <t>PPT模板1份/拍下后给客服发编号哦|虚拟资料不可退换</t>
        </is>
      </c>
      <c r="B2754" t="inlineStr">
        <is>
          <t>recvfZrgnNKZSy.jpg</t>
        </is>
      </c>
      <c r="C2754" s="2" t="str">
        <f>=HYPERLINK("https://xhslink.com/m/81b6np1c0Fk", "https://xhslink.com/m/81b6np1c0Fk")</f>
        <v>https://xhslink.com/m/81b6np1c0Fk</v>
      </c>
      <c r="D2754"/>
      <c r="E2754">
        <v>3946</v>
      </c>
      <c r="F2754">
        <v>5.8</v>
      </c>
      <c r="G2754"/>
      <c r="H2754">
        <v>150</v>
      </c>
      <c r="I2754"/>
      <c r="J2754"/>
      <c r="K2754" t="inlineStr">
        <is>
          <t>PPT</t>
        </is>
      </c>
      <c r="L2754" t="inlineStr">
        <is>
          <t>🔥低粉爆款</t>
        </is>
      </c>
      <c r="M2754" t="inlineStr">
        <is>
          <t>樱桃小丸犊子PPT的店</t>
        </is>
      </c>
      <c r="N2754">
        <v>1008</v>
      </c>
      <c r="O2754">
        <v>4.21</v>
      </c>
      <c r="P2754">
        <v>4088</v>
      </c>
      <c r="Q2754" t="inlineStr">
        <is>
          <t>67931aa4bac251000194350e</t>
        </is>
      </c>
      <c r="R2754" t="inlineStr">
        <is>
          <t>🚫重复</t>
        </is>
      </c>
      <c r="S2754" t="inlineStr">
        <is>
          <t>PPT模板</t>
        </is>
      </c>
      <c r="T2754" t="inlineStr">
        <is>
          <t>3.91</t>
        </is>
      </c>
      <c r="U2754" s="3">
        <v>46118.60591435185</v>
      </c>
      <c r="V2754"/>
      <c r="W2754" s="3">
        <v>46118</v>
      </c>
      <c r="X2754" t="inlineStr">
        <is>
          <t>04</t>
        </is>
      </c>
      <c r="Y2754" t="inlineStr">
        <is>
          <t>2026-Q2</t>
        </is>
      </c>
    </row>
    <row r="2755" ht="38.25" customHeight="1">
      <c r="A2755" t="inlineStr">
        <is>
          <t>PPT背景图任选一套</t>
        </is>
      </c>
      <c r="B2755" t="inlineStr">
        <is>
          <t>recvfZrgnNWxGK.jpg</t>
        </is>
      </c>
      <c r="C2755" s="2" t="str">
        <f>=HYPERLINK("https://xhslink.com/m/6adwm4EOsDA", "https://xhslink.com/m/6adwm4EOsDA")</f>
        <v>https://xhslink.com/m/6adwm4EOsDA</v>
      </c>
      <c r="D2755"/>
      <c r="E2755">
        <v>2837</v>
      </c>
      <c r="F2755">
        <v>2.9</v>
      </c>
      <c r="G2755"/>
      <c r="H2755">
        <v>150</v>
      </c>
      <c r="I2755"/>
      <c r="J2755"/>
      <c r="K2755" t="inlineStr">
        <is>
          <t>PPT</t>
        </is>
      </c>
      <c r="L2755"/>
      <c r="M2755" t="inlineStr">
        <is>
          <t>小沫ppt的店</t>
        </is>
      </c>
      <c r="N2755">
        <v>7950</v>
      </c>
      <c r="O2755">
        <v>4.27</v>
      </c>
      <c r="P2755">
        <v>15000</v>
      </c>
      <c r="Q2755" t="inlineStr">
        <is>
          <t>6730e0e047f3d000013dd542</t>
        </is>
      </c>
      <c r="R2755"/>
      <c r="S2755" t="inlineStr">
        <is>
          <t>PPT模板</t>
        </is>
      </c>
      <c r="T2755" t="inlineStr">
        <is>
          <t>0.36</t>
        </is>
      </c>
      <c r="U2755" s="3">
        <v>46118.60591435185</v>
      </c>
      <c r="V2755"/>
      <c r="W2755" s="3">
        <v>46118</v>
      </c>
      <c r="X2755" t="inlineStr">
        <is>
          <t>04</t>
        </is>
      </c>
      <c r="Y2755" t="inlineStr">
        <is>
          <t>2026-Q2</t>
        </is>
      </c>
    </row>
    <row r="2756" ht="38.25" customHeight="1">
      <c r="A2756" t="inlineStr">
        <is>
          <t>团课团日活动思政课PPT|奋进十五五，青春勇担当(发货后不退不换)</t>
        </is>
      </c>
      <c r="B2756" t="inlineStr">
        <is>
          <t>recvfZrgnN7glQ.jpg</t>
        </is>
      </c>
      <c r="C2756" s="2" t="str">
        <f>=HYPERLINK("https://xhslink.com/m/2XZtQ1b2X9t", "https://xhslink.com/m/2XZtQ1b2X9t")</f>
        <v>https://xhslink.com/m/2XZtQ1b2X9t</v>
      </c>
      <c r="D2756"/>
      <c r="E2756">
        <v>1219</v>
      </c>
      <c r="F2756">
        <v>6.66</v>
      </c>
      <c r="G2756"/>
      <c r="H2756">
        <v>100</v>
      </c>
      <c r="I2756"/>
      <c r="J2756"/>
      <c r="K2756" t="inlineStr">
        <is>
          <t>PPT</t>
        </is>
      </c>
      <c r="L2756"/>
      <c r="M2756" t="inlineStr">
        <is>
          <t>银了个银PPT的店</t>
        </is>
      </c>
      <c r="N2756">
        <v>1688</v>
      </c>
      <c r="O2756">
        <v>4.62</v>
      </c>
      <c r="P2756">
        <v>41000</v>
      </c>
      <c r="Q2756" t="inlineStr">
        <is>
          <t>6909f01e9509c10001354c09</t>
        </is>
      </c>
      <c r="R2756" t="inlineStr">
        <is>
          <t>🚫重复</t>
        </is>
      </c>
      <c r="S2756" t="inlineStr">
        <is>
          <t>PPT模板</t>
        </is>
      </c>
      <c r="T2756" t="inlineStr">
        <is>
          <t>0.72</t>
        </is>
      </c>
      <c r="U2756" s="3">
        <v>46118.60591435185</v>
      </c>
      <c r="V2756"/>
      <c r="W2756" s="3">
        <v>46118</v>
      </c>
      <c r="X2756" t="inlineStr">
        <is>
          <t>04</t>
        </is>
      </c>
      <c r="Y2756" t="inlineStr">
        <is>
          <t>2026-Q2</t>
        </is>
      </c>
    </row>
    <row r="2757" ht="38.25" customHeight="1">
      <c r="A2757" t="inlineStr">
        <is>
          <t>【自动发货】编号014答辩ppt模板</t>
        </is>
      </c>
      <c r="B2757" t="inlineStr">
        <is>
          <t>recvfZrgnNYQVX.jpg</t>
        </is>
      </c>
      <c r="C2757" s="2" t="str">
        <f>=HYPERLINK("https://xhslink.com/m/8J5ZQS0Yqxo", "https://xhslink.com/m/8J5ZQS0Yqxo")</f>
        <v>https://xhslink.com/m/8J5ZQS0Yqxo</v>
      </c>
      <c r="D2757"/>
      <c r="E2757">
        <v>1118</v>
      </c>
      <c r="F2757">
        <v>0.99</v>
      </c>
      <c r="G2757"/>
      <c r="H2757">
        <v>250</v>
      </c>
      <c r="I2757"/>
      <c r="J2757"/>
      <c r="K2757" t="inlineStr">
        <is>
          <t>PPT</t>
        </is>
      </c>
      <c r="L2757" t="inlineStr">
        <is>
          <t>🔥低粉爆款</t>
        </is>
      </c>
      <c r="M2757" t="inlineStr">
        <is>
          <t>祢豆子ci9的店</t>
        </is>
      </c>
      <c r="N2757">
        <v>73</v>
      </c>
      <c r="O2757">
        <v>4.38</v>
      </c>
      <c r="P2757">
        <v>4423</v>
      </c>
      <c r="Q2757" t="inlineStr">
        <is>
          <t>694a2e45b1e666000167758e</t>
        </is>
      </c>
      <c r="R2757"/>
      <c r="S2757" t="inlineStr">
        <is>
          <t>PPT模板</t>
        </is>
      </c>
      <c r="T2757" t="inlineStr">
        <is>
          <t>15.32</t>
        </is>
      </c>
      <c r="U2757" s="3">
        <v>46118.60591435185</v>
      </c>
      <c r="V2757"/>
      <c r="W2757" s="3">
        <v>46118</v>
      </c>
      <c r="X2757" t="inlineStr">
        <is>
          <t>04</t>
        </is>
      </c>
      <c r="Y2757" t="inlineStr">
        <is>
          <t>2026-Q2</t>
        </is>
      </c>
    </row>
    <row r="2758" ht="38.25" customHeight="1">
      <c r="A2758" t="inlineStr">
        <is>
          <t>PPT模板（带内容）任选一套拍下备注编码</t>
        </is>
      </c>
      <c r="B2758" t="inlineStr">
        <is>
          <t>recvfZrgnN5B3f.jpg</t>
        </is>
      </c>
      <c r="C2758" s="2" t="str">
        <f>=HYPERLINK("https://xhslink.com/m/PgTawnJkX2", "https://xhslink.com/m/PgTawnJkX2")</f>
        <v>https://xhslink.com/m/PgTawnJkX2</v>
      </c>
      <c r="D2758"/>
      <c r="E2758">
        <v>1239</v>
      </c>
      <c r="F2758">
        <v>4.9</v>
      </c>
      <c r="G2758"/>
      <c r="H2758">
        <v>300</v>
      </c>
      <c r="I2758"/>
      <c r="J2758"/>
      <c r="K2758" t="inlineStr">
        <is>
          <t>PPT</t>
        </is>
      </c>
      <c r="L2758"/>
      <c r="M2758" t="inlineStr">
        <is>
          <t>涵涵ppt的店</t>
        </is>
      </c>
      <c r="N2758">
        <v>741</v>
      </c>
      <c r="O2758">
        <v>4.3</v>
      </c>
      <c r="P2758">
        <v>4384</v>
      </c>
      <c r="Q2758" t="inlineStr">
        <is>
          <t>693e9fcda1f9210001d925bd</t>
        </is>
      </c>
      <c r="R2758"/>
      <c r="S2758" t="inlineStr">
        <is>
          <t>PPT模板</t>
        </is>
      </c>
      <c r="T2758" t="inlineStr">
        <is>
          <t>1.67</t>
        </is>
      </c>
      <c r="U2758" s="3">
        <v>46118.60591435185</v>
      </c>
      <c r="V2758"/>
      <c r="W2758" s="3">
        <v>46118</v>
      </c>
      <c r="X2758" t="inlineStr">
        <is>
          <t>04</t>
        </is>
      </c>
      <c r="Y2758" t="inlineStr">
        <is>
          <t>2026-Q2</t>
        </is>
      </c>
    </row>
    <row r="2759" ht="38.25" customHeight="1">
      <c r="A2759" t="inlineStr">
        <is>
          <t>实用型学术商务通用ppt创意高级感PPT模板</t>
        </is>
      </c>
      <c r="B2759" t="inlineStr">
        <is>
          <t>recvfZrgnNUzig.jpg</t>
        </is>
      </c>
      <c r="C2759" s="2" t="str">
        <f>=HYPERLINK("https://xhslink.com/m/5JVCYmEUJaV", "https://xhslink.com/m/5JVCYmEUJaV")</f>
        <v>https://xhslink.com/m/5JVCYmEUJaV</v>
      </c>
      <c r="D2759"/>
      <c r="E2759">
        <v>2237</v>
      </c>
      <c r="F2759">
        <v>6.9</v>
      </c>
      <c r="G2759"/>
      <c r="H2759">
        <v>150</v>
      </c>
      <c r="I2759"/>
      <c r="J2759"/>
      <c r="K2759" t="inlineStr">
        <is>
          <t>PPT</t>
        </is>
      </c>
      <c r="L2759"/>
      <c r="M2759" t="inlineStr">
        <is>
          <t>大脸婷妹儿的店</t>
        </is>
      </c>
      <c r="N2759">
        <v>1081</v>
      </c>
      <c r="O2759">
        <v>4.13</v>
      </c>
      <c r="P2759">
        <v>4927</v>
      </c>
      <c r="Q2759" t="inlineStr">
        <is>
          <t>683c3e6af9ad0500012e39cd</t>
        </is>
      </c>
      <c r="R2759" t="inlineStr">
        <is>
          <t>🚫重复</t>
        </is>
      </c>
      <c r="S2759" t="inlineStr">
        <is>
          <t>PPT模板</t>
        </is>
      </c>
      <c r="T2759" t="inlineStr">
        <is>
          <t>2.07</t>
        </is>
      </c>
      <c r="U2759" s="3">
        <v>46118.60591435185</v>
      </c>
      <c r="V2759"/>
      <c r="W2759" s="3">
        <v>46118</v>
      </c>
      <c r="X2759" t="inlineStr">
        <is>
          <t>04</t>
        </is>
      </c>
      <c r="Y2759" t="inlineStr">
        <is>
          <t>2026-Q2</t>
        </is>
      </c>
    </row>
    <row r="2760" ht="38.25" customHeight="1">
      <c r="A2760" t="inlineStr">
        <is>
          <t>任选1套PPT模版，下单后联系客服即可.</t>
        </is>
      </c>
      <c r="B2760" t="inlineStr">
        <is>
          <t>recvfZrgnN1PIs.jpg</t>
        </is>
      </c>
      <c r="C2760" s="2" t="str">
        <f>=HYPERLINK("https://xhslink.com/m/7DTLSVzdSBN", "https://xhslink.com/m/7DTLSVzdSBN")</f>
        <v>https://xhslink.com/m/7DTLSVzdSBN</v>
      </c>
      <c r="D2760"/>
      <c r="E2760">
        <v>1386</v>
      </c>
      <c r="F2760">
        <v>8.8</v>
      </c>
      <c r="G2760"/>
      <c r="H2760">
        <v>100</v>
      </c>
      <c r="I2760"/>
      <c r="J2760"/>
      <c r="K2760" t="inlineStr">
        <is>
          <t>PPT</t>
        </is>
      </c>
      <c r="L2760"/>
      <c r="M2760" t="inlineStr">
        <is>
          <t>皮皮踢ppt的店</t>
        </is>
      </c>
      <c r="N2760">
        <v>9741</v>
      </c>
      <c r="O2760">
        <v>4.12</v>
      </c>
      <c r="P2760">
        <v>1884</v>
      </c>
      <c r="Q2760" t="inlineStr">
        <is>
          <t>67ca752952503c00012ce1af</t>
        </is>
      </c>
      <c r="R2760"/>
      <c r="S2760" t="inlineStr">
        <is>
          <t>PPT模板</t>
        </is>
      </c>
      <c r="T2760" t="inlineStr">
        <is>
          <t>0.14</t>
        </is>
      </c>
      <c r="U2760" s="3">
        <v>46118.60591435185</v>
      </c>
      <c r="V2760"/>
      <c r="W2760" s="3">
        <v>46118</v>
      </c>
      <c r="X2760" t="inlineStr">
        <is>
          <t>04</t>
        </is>
      </c>
      <c r="Y2760" t="inlineStr">
        <is>
          <t>2026-Q2</t>
        </is>
      </c>
    </row>
    <row r="2761" ht="38.25" customHeight="1">
      <c r="A2761" t="inlineStr">
        <is>
          <t>【祈牌模板】-100高质正比全色ppl（是出售模板商使不是接稿）</t>
        </is>
      </c>
      <c r="B2761" t="inlineStr">
        <is>
          <t>recvfZrgnN3SFs.jpg</t>
        </is>
      </c>
      <c r="C2761" s="2" t="str">
        <f>=HYPERLINK("https://xhslink.com/m/6vJ5XDy7zEL", "https://xhslink.com/m/6vJ5XDy7zEL")</f>
        <v>https://xhslink.com/m/6vJ5XDy7zEL</v>
      </c>
      <c r="D2761"/>
      <c r="E2761">
        <v>673</v>
      </c>
      <c r="F2761">
        <v>3</v>
      </c>
      <c r="G2761"/>
      <c r="H2761">
        <v>250</v>
      </c>
      <c r="I2761"/>
      <c r="J2761"/>
      <c r="K2761" t="inlineStr">
        <is>
          <t>PPT</t>
        </is>
      </c>
      <c r="L2761"/>
      <c r="M2761" t="inlineStr">
        <is>
          <t>祈牌模板的店</t>
        </is>
      </c>
      <c r="N2761">
        <v>3588</v>
      </c>
      <c r="O2761">
        <v>4.22</v>
      </c>
      <c r="P2761">
        <v>6585</v>
      </c>
      <c r="Q2761" t="inlineStr">
        <is>
          <t>6969d7ddd07ba00001023c31</t>
        </is>
      </c>
      <c r="R2761" t="inlineStr">
        <is>
          <t>🚫重复</t>
        </is>
      </c>
      <c r="S2761"/>
      <c r="T2761" t="inlineStr">
        <is>
          <t>0.19</t>
        </is>
      </c>
      <c r="U2761" s="3">
        <v>46118.60591435185</v>
      </c>
      <c r="V2761"/>
      <c r="W2761" s="3">
        <v>46118</v>
      </c>
      <c r="X2761" t="inlineStr">
        <is>
          <t>04</t>
        </is>
      </c>
      <c r="Y2761" t="inlineStr">
        <is>
          <t>2026-Q2</t>
        </is>
      </c>
    </row>
    <row r="2762" ht="38.25" customHeight="1">
      <c r="A2762" t="inlineStr">
        <is>
          <t>【自动发货】编号002答辩模板</t>
        </is>
      </c>
      <c r="B2762" t="inlineStr">
        <is>
          <t>recvfZrgnNrz7i.jpg</t>
        </is>
      </c>
      <c r="C2762" s="2" t="str">
        <f>=HYPERLINK("https://xhslink.com/m/AHaf1SNAmlh", "https://xhslink.com/m/AHaf1SNAmlh")</f>
        <v>https://xhslink.com/m/AHaf1SNAmlh</v>
      </c>
      <c r="D2762"/>
      <c r="E2762">
        <v>976</v>
      </c>
      <c r="F2762">
        <v>0.99</v>
      </c>
      <c r="G2762"/>
      <c r="H2762">
        <v>150</v>
      </c>
      <c r="I2762"/>
      <c r="J2762"/>
      <c r="K2762" t="inlineStr">
        <is>
          <t>PPT</t>
        </is>
      </c>
      <c r="L2762" t="inlineStr">
        <is>
          <t>🔥低粉爆款</t>
        </is>
      </c>
      <c r="M2762" t="inlineStr">
        <is>
          <t>可是雪的店</t>
        </is>
      </c>
      <c r="N2762">
        <v>70</v>
      </c>
      <c r="O2762">
        <v>4.13</v>
      </c>
      <c r="P2762">
        <v>3910</v>
      </c>
      <c r="Q2762" t="inlineStr">
        <is>
          <t>694224b5bd92f5000195212d</t>
        </is>
      </c>
      <c r="R2762"/>
      <c r="S2762" t="inlineStr">
        <is>
          <t>PPT模板</t>
        </is>
      </c>
      <c r="T2762" t="inlineStr">
        <is>
          <t>13.94</t>
        </is>
      </c>
      <c r="U2762" s="3">
        <v>46118.60591435185</v>
      </c>
      <c r="V2762"/>
      <c r="W2762" s="3">
        <v>46118</v>
      </c>
      <c r="X2762" t="inlineStr">
        <is>
          <t>04</t>
        </is>
      </c>
      <c r="Y2762" t="inlineStr">
        <is>
          <t>2026-Q2</t>
        </is>
      </c>
    </row>
    <row r="2763" ht="38.25" customHeight="1">
      <c r="A2763" t="inlineStr">
        <is>
          <t>高级感简约PPT模版｜April</t>
        </is>
      </c>
      <c r="B2763" t="inlineStr">
        <is>
          <t>recvfZrgnNMqrl.jpg</t>
        </is>
      </c>
      <c r="C2763" s="2" t="str">
        <f>=HYPERLINK("https://xhslink.com/m/1xShmYZW2t", "https://xhslink.com/m/1xShmYZW2t")</f>
        <v>https://xhslink.com/m/1xShmYZW2t</v>
      </c>
      <c r="D2763"/>
      <c r="E2763">
        <v>531</v>
      </c>
      <c r="F2763">
        <v>1</v>
      </c>
      <c r="G2763"/>
      <c r="H2763">
        <v>150</v>
      </c>
      <c r="I2763"/>
      <c r="J2763"/>
      <c r="K2763" t="inlineStr">
        <is>
          <t>PPT</t>
        </is>
      </c>
      <c r="L2763"/>
      <c r="M2763" t="inlineStr">
        <is>
          <t>CiCi PPT设计的店</t>
        </is>
      </c>
      <c r="N2763">
        <v>1911</v>
      </c>
      <c r="O2763">
        <v>4.1</v>
      </c>
      <c r="P2763">
        <v>943</v>
      </c>
      <c r="Q2763" t="inlineStr">
        <is>
          <t>693df39ad1d80b0001851687</t>
        </is>
      </c>
      <c r="R2763"/>
      <c r="S2763" t="inlineStr">
        <is>
          <t>PPT模板</t>
        </is>
      </c>
      <c r="T2763" t="inlineStr">
        <is>
          <t>0.28</t>
        </is>
      </c>
      <c r="U2763" s="3">
        <v>46118.60591435185</v>
      </c>
      <c r="V2763"/>
      <c r="W2763" s="3">
        <v>46118</v>
      </c>
      <c r="X2763" t="inlineStr">
        <is>
          <t>04</t>
        </is>
      </c>
      <c r="Y2763" t="inlineStr">
        <is>
          <t>2026-Q2</t>
        </is>
      </c>
    </row>
    <row r="2764" ht="38.25" customHeight="1">
      <c r="A2764" t="inlineStr">
        <is>
          <t>【少即是多】15页柔和纹理效果简约轻盈质感褶皱元素精致PPT模板</t>
        </is>
      </c>
      <c r="B2764" t="inlineStr">
        <is>
          <t>recvfZrgnNjYxz.jpg</t>
        </is>
      </c>
      <c r="C2764" s="2" t="str">
        <f>=HYPERLINK("https://xhslink.com/m/5jol2QdnxMB", "https://xhslink.com/m/5jol2QdnxMB")</f>
        <v>https://xhslink.com/m/5jol2QdnxMB</v>
      </c>
      <c r="D2764"/>
      <c r="E2764">
        <v>2930</v>
      </c>
      <c r="F2764">
        <v>4.99</v>
      </c>
      <c r="G2764"/>
      <c r="H2764">
        <v>100</v>
      </c>
      <c r="I2764"/>
      <c r="J2764"/>
      <c r="K2764" t="inlineStr">
        <is>
          <t>PPT</t>
        </is>
      </c>
      <c r="L2764"/>
      <c r="M2764" t="inlineStr">
        <is>
          <t>文文文先生的店</t>
        </is>
      </c>
      <c r="N2764">
        <v>7022</v>
      </c>
      <c r="O2764">
        <v>4.62</v>
      </c>
      <c r="P2764">
        <v>85000</v>
      </c>
      <c r="Q2764" t="inlineStr">
        <is>
          <t>66e1683844745f0001fe622b</t>
        </is>
      </c>
      <c r="R2764"/>
      <c r="S2764" t="inlineStr">
        <is>
          <t>PPT模板</t>
        </is>
      </c>
      <c r="T2764" t="inlineStr">
        <is>
          <t>0.42</t>
        </is>
      </c>
      <c r="U2764" s="3">
        <v>46118.60591435185</v>
      </c>
      <c r="V2764"/>
      <c r="W2764" s="3">
        <v>46118</v>
      </c>
      <c r="X2764" t="inlineStr">
        <is>
          <t>04</t>
        </is>
      </c>
      <c r="Y2764" t="inlineStr">
        <is>
          <t>2026-Q2</t>
        </is>
      </c>
    </row>
    <row r="2765" ht="38.25" customHeight="1">
      <c r="A2765" t="inlineStr">
        <is>
          <t>假期综合症英文PPT带演讲稿——自动发货</t>
        </is>
      </c>
      <c r="B2765" t="inlineStr">
        <is>
          <t>recvfZrgnNyU1z.jpg</t>
        </is>
      </c>
      <c r="C2765" s="2" t="str">
        <f>=HYPERLINK("https://xhslink.com/m/2b3c8u9iydS", "https://xhslink.com/m/2b3c8u9iydS")</f>
        <v>https://xhslink.com/m/2b3c8u9iydS</v>
      </c>
      <c r="D2765"/>
      <c r="E2765">
        <v>809</v>
      </c>
      <c r="F2765">
        <v>3.9</v>
      </c>
      <c r="G2765"/>
      <c r="H2765">
        <v>150</v>
      </c>
      <c r="I2765"/>
      <c r="J2765"/>
      <c r="K2765" t="inlineStr">
        <is>
          <t>PPT</t>
        </is>
      </c>
      <c r="L2765" t="inlineStr">
        <is>
          <t>🔥低粉爆款</t>
        </is>
      </c>
      <c r="M2765" t="inlineStr">
        <is>
          <t>荔枝真好吃呐的店</t>
        </is>
      </c>
      <c r="N2765">
        <v>180</v>
      </c>
      <c r="O2765">
        <v>4.19</v>
      </c>
      <c r="P2765">
        <v>1310</v>
      </c>
      <c r="Q2765" t="inlineStr">
        <is>
          <t>68ea04f87d3b3f000110ffa5</t>
        </is>
      </c>
      <c r="R2765"/>
      <c r="S2765" t="inlineStr">
        <is>
          <t>PPT模板</t>
        </is>
      </c>
      <c r="T2765" t="inlineStr">
        <is>
          <t>4.49</t>
        </is>
      </c>
      <c r="U2765" s="3">
        <v>46118.60591435185</v>
      </c>
      <c r="V2765"/>
      <c r="W2765" s="3">
        <v>46118</v>
      </c>
      <c r="X2765" t="inlineStr">
        <is>
          <t>04</t>
        </is>
      </c>
      <c r="Y2765" t="inlineStr">
        <is>
          <t>2026-Q2</t>
        </is>
      </c>
    </row>
    <row r="2766" ht="38.25" customHeight="1">
      <c r="A2766" t="inlineStr">
        <is>
          <t>八下3《安塞腰鼓》（课件+教案+导学案）</t>
        </is>
      </c>
      <c r="B2766" t="inlineStr">
        <is>
          <t>recvfZrgnNTdMW.jpg</t>
        </is>
      </c>
      <c r="C2766" s="2" t="str">
        <f>=HYPERLINK("https://xhslink.com/m/alv6WfM601", "https://xhslink.com/m/alv6WfM601")</f>
        <v>https://xhslink.com/m/alv6WfM601</v>
      </c>
      <c r="D2766"/>
      <c r="E2766">
        <v>1636</v>
      </c>
      <c r="F2766">
        <v>9.9</v>
      </c>
      <c r="G2766"/>
      <c r="H2766">
        <v>250</v>
      </c>
      <c r="I2766"/>
      <c r="J2766"/>
      <c r="K2766" t="inlineStr">
        <is>
          <t>教程</t>
        </is>
      </c>
      <c r="L2766"/>
      <c r="M2766" t="inlineStr">
        <is>
          <t>毛颖传奇的店</t>
        </is>
      </c>
      <c r="N2766">
        <v>30000</v>
      </c>
      <c r="O2766">
        <v>4.42</v>
      </c>
      <c r="P2766">
        <v>133000</v>
      </c>
      <c r="Q2766" t="inlineStr">
        <is>
          <t>67c7342aeef18200016827ca</t>
        </is>
      </c>
      <c r="R2766" t="inlineStr">
        <is>
          <t>🚫重复</t>
        </is>
      </c>
      <c r="S2766" t="inlineStr">
        <is>
          <t>中小学教辅/教材</t>
        </is>
      </c>
      <c r="T2766" t="inlineStr">
        <is>
          <t>0.05</t>
        </is>
      </c>
      <c r="U2766" s="3">
        <v>46118.60591435185</v>
      </c>
      <c r="V2766"/>
      <c r="W2766" s="3">
        <v>46118</v>
      </c>
      <c r="X2766" t="inlineStr">
        <is>
          <t>04</t>
        </is>
      </c>
      <c r="Y2766" t="inlineStr">
        <is>
          <t>2026-Q2</t>
        </is>
      </c>
    </row>
    <row r="2767" ht="38.25" customHeight="1">
      <c r="A2767" t="inlineStr">
        <is>
          <t>精品课（送教案，备注课名）</t>
        </is>
      </c>
      <c r="B2767" t="inlineStr">
        <is>
          <t>recvfZrgnNaQH5.jpg</t>
        </is>
      </c>
      <c r="C2767" s="2" t="str">
        <f>=HYPERLINK("https://xhslink.com/m/6Wx6CDg9UlI", "https://xhslink.com/m/6Wx6CDg9UlI")</f>
        <v>https://xhslink.com/m/6Wx6CDg9UlI</v>
      </c>
      <c r="D2767"/>
      <c r="E2767">
        <v>10000</v>
      </c>
      <c r="F2767">
        <v>20</v>
      </c>
      <c r="G2767"/>
      <c r="H2767">
        <v>400</v>
      </c>
      <c r="I2767"/>
      <c r="J2767"/>
      <c r="K2767" t="inlineStr">
        <is>
          <t>教程</t>
        </is>
      </c>
      <c r="L2767"/>
      <c r="M2767" t="inlineStr">
        <is>
          <t>小香猪的音乐课件的店</t>
        </is>
      </c>
      <c r="N2767">
        <v>23000</v>
      </c>
      <c r="O2767">
        <v>4.62</v>
      </c>
      <c r="P2767">
        <v>33000</v>
      </c>
      <c r="Q2767" t="inlineStr">
        <is>
          <t>66ed310086a6ff0001508c8a</t>
        </is>
      </c>
      <c r="R2767" t="inlineStr">
        <is>
          <t>🚫重复</t>
        </is>
      </c>
      <c r="S2767" t="inlineStr">
        <is>
          <t>老师资料</t>
        </is>
      </c>
      <c r="T2767" t="inlineStr">
        <is>
          <t>0.43</t>
        </is>
      </c>
      <c r="U2767" s="3">
        <v>46118.60591435185</v>
      </c>
      <c r="V2767"/>
      <c r="W2767" s="3">
        <v>46118</v>
      </c>
      <c r="X2767" t="inlineStr">
        <is>
          <t>04</t>
        </is>
      </c>
      <c r="Y2767" t="inlineStr">
        <is>
          <t>2026-Q2</t>
        </is>
      </c>
    </row>
    <row r="2768" ht="38.25" customHeight="1">
      <c r="A2768" t="inlineStr">
        <is>
          <t>工作中常用的Excel案例习题实操函数零基础入门表格制作</t>
        </is>
      </c>
      <c r="B2768" t="inlineStr">
        <is>
          <t>recvfZrgnNRA9r.jpg</t>
        </is>
      </c>
      <c r="C2768" s="2" t="str">
        <f>=HYPERLINK("https://xhslink.com/m/84cQrPn2uEZ", "https://xhslink.com/m/84cQrPn2uEZ")</f>
        <v>https://xhslink.com/m/84cQrPn2uEZ</v>
      </c>
      <c r="D2768"/>
      <c r="E2768">
        <v>3263</v>
      </c>
      <c r="F2768">
        <v>3.8</v>
      </c>
      <c r="G2768"/>
      <c r="H2768">
        <v>100</v>
      </c>
      <c r="I2768"/>
      <c r="J2768"/>
      <c r="K2768" t="inlineStr">
        <is>
          <t>教程</t>
        </is>
      </c>
      <c r="L2768"/>
      <c r="M2768" t="inlineStr">
        <is>
          <t>苏小羽的店</t>
        </is>
      </c>
      <c r="N2768">
        <v>1312</v>
      </c>
      <c r="O2768">
        <v>4.15</v>
      </c>
      <c r="P2768">
        <v>5377</v>
      </c>
      <c r="Q2768" t="inlineStr">
        <is>
          <t>6846d9a6d4dabb00019e9b3c</t>
        </is>
      </c>
      <c r="R2768"/>
      <c r="S2768" t="inlineStr">
        <is>
          <t>软件应用</t>
        </is>
      </c>
      <c r="T2768" t="inlineStr">
        <is>
          <t>2.49</t>
        </is>
      </c>
      <c r="U2768" s="3">
        <v>46118.60591435185</v>
      </c>
      <c r="V2768"/>
      <c r="W2768" s="3">
        <v>46118</v>
      </c>
      <c r="X2768" t="inlineStr">
        <is>
          <t>04</t>
        </is>
      </c>
      <c r="Y2768" t="inlineStr">
        <is>
          <t>2026-Q2</t>
        </is>
      </c>
    </row>
    <row r="2769" ht="38.25" customHeight="1">
      <c r="A2769" t="inlineStr">
        <is>
          <t>《特殊儿童康复课程》实操版资料包</t>
        </is>
      </c>
      <c r="B2769" t="inlineStr">
        <is>
          <t>recvfZrgnNAfX4.jpg</t>
        </is>
      </c>
      <c r="C2769" s="2" t="str">
        <f>=HYPERLINK("https://xhslink.com/m/2goVNFO0edx", "https://xhslink.com/m/2goVNFO0edx")</f>
        <v>https://xhslink.com/m/2goVNFO0edx</v>
      </c>
      <c r="D2769"/>
      <c r="E2769">
        <v>2094</v>
      </c>
      <c r="F2769">
        <v>3.5</v>
      </c>
      <c r="G2769"/>
      <c r="H2769">
        <v>100</v>
      </c>
      <c r="I2769"/>
      <c r="J2769"/>
      <c r="K2769" t="inlineStr">
        <is>
          <t>教程</t>
        </is>
      </c>
      <c r="L2769"/>
      <c r="M2769" t="inlineStr">
        <is>
          <t>小太阳能量E站的店</t>
        </is>
      </c>
      <c r="N2769">
        <v>2546</v>
      </c>
      <c r="O2769">
        <v>4.44</v>
      </c>
      <c r="P2769">
        <v>6957</v>
      </c>
      <c r="Q2769" t="inlineStr">
        <is>
          <t>683802dbcf20e100012495f9</t>
        </is>
      </c>
      <c r="R2769"/>
      <c r="S2769" t="inlineStr">
        <is>
          <t>中小学教辅/教材</t>
        </is>
      </c>
      <c r="T2769" t="inlineStr">
        <is>
          <t>0.82</t>
        </is>
      </c>
      <c r="U2769" s="3">
        <v>46118.60591435185</v>
      </c>
      <c r="V2769"/>
      <c r="W2769" s="3">
        <v>46118</v>
      </c>
      <c r="X2769" t="inlineStr">
        <is>
          <t>04</t>
        </is>
      </c>
      <c r="Y2769" t="inlineStr">
        <is>
          <t>2026-Q2</t>
        </is>
      </c>
    </row>
    <row r="2770" ht="38.25" customHeight="1">
      <c r="A2770" t="inlineStr">
        <is>
          <t>八下4《灯笼》（课件+教案+导学案）</t>
        </is>
      </c>
      <c r="B2770" t="inlineStr">
        <is>
          <t>recvfZrgnNXCdJ.jpg</t>
        </is>
      </c>
      <c r="C2770" s="2" t="str">
        <f>=HYPERLINK("https://xhslink.com/m/9akBPEX7Vxx", "https://xhslink.com/m/9akBPEX7Vxx")</f>
        <v>https://xhslink.com/m/9akBPEX7Vxx</v>
      </c>
      <c r="D2770"/>
      <c r="E2770">
        <v>1350</v>
      </c>
      <c r="F2770">
        <v>9.9</v>
      </c>
      <c r="G2770"/>
      <c r="H2770">
        <v>300</v>
      </c>
      <c r="I2770"/>
      <c r="J2770"/>
      <c r="K2770" t="inlineStr">
        <is>
          <t>教程</t>
        </is>
      </c>
      <c r="L2770"/>
      <c r="M2770" t="inlineStr">
        <is>
          <t>毛颖传奇的店</t>
        </is>
      </c>
      <c r="N2770">
        <v>30000</v>
      </c>
      <c r="O2770">
        <v>4.42</v>
      </c>
      <c r="P2770">
        <v>133000</v>
      </c>
      <c r="Q2770" t="inlineStr">
        <is>
          <t>67cf17b6bffe4d0001eaf1a3</t>
        </is>
      </c>
      <c r="R2770" t="inlineStr">
        <is>
          <t>🚫重复</t>
        </is>
      </c>
      <c r="S2770" t="inlineStr">
        <is>
          <t>中小学教辅/教材</t>
        </is>
      </c>
      <c r="T2770" t="inlineStr">
        <is>
          <t>0.04</t>
        </is>
      </c>
      <c r="U2770" s="3">
        <v>46118.60591435185</v>
      </c>
      <c r="V2770"/>
      <c r="W2770" s="3">
        <v>46118</v>
      </c>
      <c r="X2770" t="inlineStr">
        <is>
          <t>04</t>
        </is>
      </c>
      <c r="Y2770" t="inlineStr">
        <is>
          <t>2026-Q2</t>
        </is>
      </c>
    </row>
    <row r="2771" ht="38.25" customHeight="1">
      <c r="A2771" t="inlineStr">
        <is>
          <t>NotebookLM超详细教程+9种不同玩法+持续更新</t>
        </is>
      </c>
      <c r="B2771" t="inlineStr">
        <is>
          <t>recvfZrgnN5Fr3.jpg</t>
        </is>
      </c>
      <c r="C2771" s="2" t="str">
        <f>=HYPERLINK("https://xhslink.com/m/5aNi1zFPCxk", "https://xhslink.com/m/5aNi1zFPCxk")</f>
        <v>https://xhslink.com/m/5aNi1zFPCxk</v>
      </c>
      <c r="D2771"/>
      <c r="E2771">
        <v>474</v>
      </c>
      <c r="F2771">
        <v>8.9</v>
      </c>
      <c r="G2771"/>
      <c r="H2771">
        <v>100</v>
      </c>
      <c r="I2771"/>
      <c r="J2771"/>
      <c r="K2771" t="inlineStr">
        <is>
          <t>教程</t>
        </is>
      </c>
      <c r="L2771"/>
      <c r="M2771" t="inlineStr">
        <is>
          <t>米粒的百宝箱的店</t>
        </is>
      </c>
      <c r="N2771">
        <v>1659</v>
      </c>
      <c r="O2771">
        <v>4.17</v>
      </c>
      <c r="P2771">
        <v>546</v>
      </c>
      <c r="Q2771" t="inlineStr">
        <is>
          <t>6953660cbd92f50001de5488</t>
        </is>
      </c>
      <c r="R2771"/>
      <c r="S2771" t="inlineStr">
        <is>
          <t>AI</t>
        </is>
      </c>
      <c r="T2771" t="inlineStr">
        <is>
          <t>0.29</t>
        </is>
      </c>
      <c r="U2771" s="3">
        <v>46118.60591435185</v>
      </c>
      <c r="V2771"/>
      <c r="W2771" s="3">
        <v>46118</v>
      </c>
      <c r="X2771" t="inlineStr">
        <is>
          <t>04</t>
        </is>
      </c>
      <c r="Y2771" t="inlineStr">
        <is>
          <t>2026-Q2</t>
        </is>
      </c>
    </row>
    <row r="2772" ht="38.25" customHeight="1">
      <c r="A2772" t="inlineStr">
        <is>
          <t>八下5《大自然的语言》（课件+教案+导学案）</t>
        </is>
      </c>
      <c r="B2772" t="inlineStr">
        <is>
          <t>recvfZrgnNyk3f.jpg</t>
        </is>
      </c>
      <c r="C2772" s="2" t="str">
        <f>=HYPERLINK("https://xhslink.com/m/59VLz4QaZov", "https://xhslink.com/m/59VLz4QaZov")</f>
        <v>https://xhslink.com/m/59VLz4QaZov</v>
      </c>
      <c r="D2772"/>
      <c r="E2772">
        <v>2290</v>
      </c>
      <c r="F2772">
        <v>9.9</v>
      </c>
      <c r="G2772"/>
      <c r="H2772">
        <v>200</v>
      </c>
      <c r="I2772"/>
      <c r="J2772"/>
      <c r="K2772" t="inlineStr">
        <is>
          <t>教程</t>
        </is>
      </c>
      <c r="L2772"/>
      <c r="M2772" t="inlineStr">
        <is>
          <t>毛颖传奇的店</t>
        </is>
      </c>
      <c r="N2772">
        <v>30000</v>
      </c>
      <c r="O2772">
        <v>4.42</v>
      </c>
      <c r="P2772">
        <v>133000</v>
      </c>
      <c r="Q2772" t="inlineStr">
        <is>
          <t>67d6e45652503c0001a593c2</t>
        </is>
      </c>
      <c r="R2772" t="inlineStr">
        <is>
          <t>🚫重复</t>
        </is>
      </c>
      <c r="S2772" t="inlineStr">
        <is>
          <t>中小学教辅/教材</t>
        </is>
      </c>
      <c r="T2772" t="inlineStr">
        <is>
          <t>0.08</t>
        </is>
      </c>
      <c r="U2772" s="3">
        <v>46118.60591435185</v>
      </c>
      <c r="V2772"/>
      <c r="W2772" s="3">
        <v>46118</v>
      </c>
      <c r="X2772" t="inlineStr">
        <is>
          <t>04</t>
        </is>
      </c>
      <c r="Y2772" t="inlineStr">
        <is>
          <t>2026-Q2</t>
        </is>
      </c>
    </row>
    <row r="2773" ht="38.25" customHeight="1">
      <c r="A2773" t="inlineStr">
        <is>
          <t>2026年~春季主题班会19周课件</t>
        </is>
      </c>
      <c r="B2773" t="inlineStr">
        <is>
          <t>recvfZrgnNKDla.jpg</t>
        </is>
      </c>
      <c r="C2773" s="2" t="str">
        <f>=HYPERLINK("https://xhslink.com/m/7RXiB5r4uKK", "https://xhslink.com/m/7RXiB5r4uKK")</f>
        <v>https://xhslink.com/m/7RXiB5r4uKK</v>
      </c>
      <c r="D2773"/>
      <c r="E2773">
        <v>338</v>
      </c>
      <c r="F2773">
        <v>15.8</v>
      </c>
      <c r="G2773"/>
      <c r="H2773">
        <v>150</v>
      </c>
      <c r="I2773"/>
      <c r="J2773"/>
      <c r="K2773" t="inlineStr">
        <is>
          <t>班级</t>
        </is>
      </c>
      <c r="L2773"/>
      <c r="M2773" t="inlineStr">
        <is>
          <t>小🐰ppt的店</t>
        </is>
      </c>
      <c r="N2773">
        <v>1794</v>
      </c>
      <c r="O2773">
        <v>4.59</v>
      </c>
      <c r="P2773">
        <v>22000</v>
      </c>
      <c r="Q2773" t="inlineStr">
        <is>
          <t>69aa592b4a35340001994870</t>
        </is>
      </c>
      <c r="R2773" t="inlineStr">
        <is>
          <t>🚫重复</t>
        </is>
      </c>
      <c r="S2773" t="inlineStr">
        <is>
          <t>中小学教辅/教材</t>
        </is>
      </c>
      <c r="T2773" t="inlineStr">
        <is>
          <t>0.19</t>
        </is>
      </c>
      <c r="U2773" s="3">
        <v>46118.60591435185</v>
      </c>
      <c r="V2773"/>
      <c r="W2773" s="3">
        <v>46118</v>
      </c>
      <c r="X2773" t="inlineStr">
        <is>
          <t>04</t>
        </is>
      </c>
      <c r="Y2773" t="inlineStr">
        <is>
          <t>2026-Q2</t>
        </is>
      </c>
    </row>
    <row r="2774" ht="38.25" customHeight="1">
      <c r="A2774" t="inlineStr">
        <is>
          <t>趣味课堂激励自制游戏｜入VIP会员超级划算｜可单买｜html课件</t>
        </is>
      </c>
      <c r="B2774" t="inlineStr">
        <is>
          <t>recvfZrgnNajCp.jpg</t>
        </is>
      </c>
      <c r="C2774" s="2" t="str">
        <f>=HYPERLINK("https://xhslink.com/m/3YR96qYmIbZ", "https://xhslink.com/m/3YR96qYmIbZ")</f>
        <v>https://xhslink.com/m/3YR96qYmIbZ</v>
      </c>
      <c r="D2774"/>
      <c r="E2774">
        <v>519</v>
      </c>
      <c r="F2774">
        <v>12.8</v>
      </c>
      <c r="G2774"/>
      <c r="H2774">
        <v>100</v>
      </c>
      <c r="I2774"/>
      <c r="J2774"/>
      <c r="K2774" t="inlineStr">
        <is>
          <t>班级</t>
        </is>
      </c>
      <c r="L2774"/>
      <c r="M2774" t="inlineStr">
        <is>
          <t>小邓的教学日记的店</t>
        </is>
      </c>
      <c r="N2774">
        <v>2521</v>
      </c>
      <c r="O2774">
        <v>4.29</v>
      </c>
      <c r="P2774">
        <v>16000</v>
      </c>
      <c r="Q2774" t="inlineStr">
        <is>
          <t>69548d71110a7f00018b69bd</t>
        </is>
      </c>
      <c r="R2774" t="inlineStr">
        <is>
          <t>🚫重复</t>
        </is>
      </c>
      <c r="S2774" t="inlineStr">
        <is>
          <t>中小学教辅/教材</t>
        </is>
      </c>
      <c r="T2774" t="inlineStr">
        <is>
          <t>0.21</t>
        </is>
      </c>
      <c r="U2774" s="3">
        <v>46118.60591435185</v>
      </c>
      <c r="V2774"/>
      <c r="W2774" s="3">
        <v>46118</v>
      </c>
      <c r="X2774" t="inlineStr">
        <is>
          <t>04</t>
        </is>
      </c>
      <c r="Y2774" t="inlineStr">
        <is>
          <t>2026-Q2</t>
        </is>
      </c>
    </row>
    <row r="2775" ht="38.25" customHeight="1">
      <c r="A2775" t="inlineStr">
        <is>
          <t>【主题班会】规矩：规矩之下，方有自由 37页PPT（百度网盘发货）</t>
        </is>
      </c>
      <c r="B2775" t="inlineStr">
        <is>
          <t>recvfZrgnN91i9.jpg</t>
        </is>
      </c>
      <c r="C2775" s="2" t="str">
        <f>=HYPERLINK("https://xhslink.com/m/6rFRIRCcCUj", "https://xhslink.com/m/6rFRIRCcCUj")</f>
        <v>https://xhslink.com/m/6rFRIRCcCUj</v>
      </c>
      <c r="D2775"/>
      <c r="E2775">
        <v>3442</v>
      </c>
      <c r="F2775">
        <v>3.5</v>
      </c>
      <c r="G2775"/>
      <c r="H2775">
        <v>650</v>
      </c>
      <c r="I2775"/>
      <c r="J2775"/>
      <c r="K2775" t="inlineStr">
        <is>
          <t>班级</t>
        </is>
      </c>
      <c r="L2775"/>
      <c r="M2775" t="inlineStr">
        <is>
          <t>小周老师的成长日记的店</t>
        </is>
      </c>
      <c r="N2775">
        <v>1292</v>
      </c>
      <c r="O2775">
        <v>4.51</v>
      </c>
      <c r="P2775">
        <v>13000</v>
      </c>
      <c r="Q2775" t="inlineStr">
        <is>
          <t>68b83d36f38f970001ad3563</t>
        </is>
      </c>
      <c r="R2775" t="inlineStr">
        <is>
          <t>🚫重复</t>
        </is>
      </c>
      <c r="S2775" t="inlineStr">
        <is>
          <t>PPT模板</t>
        </is>
      </c>
      <c r="T2775" t="inlineStr">
        <is>
          <t>2.66</t>
        </is>
      </c>
      <c r="U2775" s="3">
        <v>46118.60591435185</v>
      </c>
      <c r="V2775"/>
      <c r="W2775" s="3">
        <v>46118</v>
      </c>
      <c r="X2775" t="inlineStr">
        <is>
          <t>04</t>
        </is>
      </c>
      <c r="Y2775" t="inlineStr">
        <is>
          <t>2026-Q2</t>
        </is>
      </c>
    </row>
    <row r="2776" ht="38.25" customHeight="1">
      <c r="A2776" t="inlineStr">
        <is>
          <t>六年级家长会PPT（含课件+逐字稿）：山水一程三生有幸</t>
        </is>
      </c>
      <c r="B2776" t="inlineStr">
        <is>
          <t>recvfZrgnNj9tF.jpg</t>
        </is>
      </c>
      <c r="C2776" s="2" t="str">
        <f>=HYPERLINK("https://xhslink.com/m/3d13V27bBmI", "https://xhslink.com/m/3d13V27bBmI")</f>
        <v>https://xhslink.com/m/3d13V27bBmI</v>
      </c>
      <c r="D2776"/>
      <c r="E2776">
        <v>3569</v>
      </c>
      <c r="F2776">
        <v>9.9</v>
      </c>
      <c r="G2776"/>
      <c r="H2776">
        <v>250</v>
      </c>
      <c r="I2776"/>
      <c r="J2776"/>
      <c r="K2776" t="inlineStr">
        <is>
          <t>家长会</t>
        </is>
      </c>
      <c r="L2776"/>
      <c r="M2776" t="inlineStr">
        <is>
          <t>班主任林老师的店</t>
        </is>
      </c>
      <c r="N2776">
        <v>3692</v>
      </c>
      <c r="O2776">
        <v>4.12</v>
      </c>
      <c r="P2776">
        <v>12000</v>
      </c>
      <c r="Q2776" t="inlineStr">
        <is>
          <t>67f4d919b2c30c0001b677a6</t>
        </is>
      </c>
      <c r="R2776" t="inlineStr">
        <is>
          <t>🚫重复</t>
        </is>
      </c>
      <c r="S2776" t="inlineStr">
        <is>
          <t>老师资料</t>
        </is>
      </c>
      <c r="T2776" t="inlineStr">
        <is>
          <t>0.97</t>
        </is>
      </c>
      <c r="U2776" s="3">
        <v>46118.60591435185</v>
      </c>
      <c r="V2776"/>
      <c r="W2776" s="3">
        <v>46118</v>
      </c>
      <c r="X2776" t="inlineStr">
        <is>
          <t>04</t>
        </is>
      </c>
      <c r="Y2776" t="inlineStr">
        <is>
          <t>2026-Q2</t>
        </is>
      </c>
    </row>
    <row r="2777" ht="38.25" customHeight="1">
      <c r="A2777" t="inlineStr">
        <is>
          <t>二年级语文家长会干货《为孩子齐用心》</t>
        </is>
      </c>
      <c r="B2777" t="inlineStr">
        <is>
          <t>recvfZrgnNYiDD.jpg</t>
        </is>
      </c>
      <c r="C2777" s="2" t="str">
        <f>=HYPERLINK("https://xhslink.com/m/6CdU0v3ITJd", "https://xhslink.com/m/6CdU0v3ITJd")</f>
        <v>https://xhslink.com/m/6CdU0v3ITJd</v>
      </c>
      <c r="D2777"/>
      <c r="E2777">
        <v>4359</v>
      </c>
      <c r="F2777">
        <v>9.9</v>
      </c>
      <c r="G2777"/>
      <c r="H2777">
        <v>200</v>
      </c>
      <c r="I2777"/>
      <c r="J2777"/>
      <c r="K2777" t="inlineStr">
        <is>
          <t>家长会</t>
        </is>
      </c>
      <c r="L2777"/>
      <c r="M2777" t="inlineStr">
        <is>
          <t>萌萌教育资源的店</t>
        </is>
      </c>
      <c r="N2777">
        <v>3161</v>
      </c>
      <c r="O2777">
        <v>4.23</v>
      </c>
      <c r="P2777">
        <v>20000</v>
      </c>
      <c r="Q2777" t="inlineStr">
        <is>
          <t>67d266a5bb9b9d000160fbd7</t>
        </is>
      </c>
      <c r="R2777"/>
      <c r="S2777" t="inlineStr">
        <is>
          <t>老师资料</t>
        </is>
      </c>
      <c r="T2777" t="inlineStr">
        <is>
          <t>1.38</t>
        </is>
      </c>
      <c r="U2777" s="3">
        <v>46118.60591435185</v>
      </c>
      <c r="V2777"/>
      <c r="W2777" s="3">
        <v>46118</v>
      </c>
      <c r="X2777" t="inlineStr">
        <is>
          <t>04</t>
        </is>
      </c>
      <c r="Y2777" t="inlineStr">
        <is>
          <t>2026-Q2</t>
        </is>
      </c>
    </row>
    <row r="2778" ht="38.25" customHeight="1">
      <c r="A2778" t="inlineStr">
        <is>
          <t>原创自制一年级下学期家长会ppt课件+配套发言稿</t>
        </is>
      </c>
      <c r="B2778" t="inlineStr">
        <is>
          <t>recvfZrgnNrj1J.jpg</t>
        </is>
      </c>
      <c r="C2778" s="2" t="str">
        <f>=HYPERLINK("https://xhslink.com/m/6MkS3ffYwY9", "https://xhslink.com/m/6MkS3ffYwY9")</f>
        <v>https://xhslink.com/m/6MkS3ffYwY9</v>
      </c>
      <c r="D2778"/>
      <c r="E2778">
        <v>8691</v>
      </c>
      <c r="F2778">
        <v>9.9</v>
      </c>
      <c r="G2778"/>
      <c r="H2778">
        <v>100</v>
      </c>
      <c r="I2778"/>
      <c r="J2778"/>
      <c r="K2778" t="inlineStr">
        <is>
          <t>家长会</t>
        </is>
      </c>
      <c r="L2778"/>
      <c r="M2778" t="inlineStr">
        <is>
          <t>雪王大圣代只要原味的店</t>
        </is>
      </c>
      <c r="N2778">
        <v>44000</v>
      </c>
      <c r="O2778">
        <v>4.4</v>
      </c>
      <c r="P2778">
        <v>112000</v>
      </c>
      <c r="Q2778" t="inlineStr">
        <is>
          <t>65ec0898e1eb4400012c2164</t>
        </is>
      </c>
      <c r="R2778"/>
      <c r="S2778" t="inlineStr">
        <is>
          <t>老师资料</t>
        </is>
      </c>
      <c r="T2778" t="inlineStr">
        <is>
          <t>0.20</t>
        </is>
      </c>
      <c r="U2778" s="3">
        <v>46118.60591435185</v>
      </c>
      <c r="V2778"/>
      <c r="W2778" s="3">
        <v>46118</v>
      </c>
      <c r="X2778" t="inlineStr">
        <is>
          <t>04</t>
        </is>
      </c>
      <c r="Y2778" t="inlineStr">
        <is>
          <t>2026-Q2</t>
        </is>
      </c>
    </row>
    <row r="2779" ht="38.25" customHeight="1">
      <c r="A2779" t="inlineStr">
        <is>
          <t>【限时9.9】幼儿园小班春季下学期开学家长会PPT+讲稿</t>
        </is>
      </c>
      <c r="B2779" t="inlineStr">
        <is>
          <t>recvfZrgnNrViX.jpg</t>
        </is>
      </c>
      <c r="C2779" s="2" t="str">
        <f>=HYPERLINK("https://xhslink.com/m/A3Fn9WINOcA", "https://xhslink.com/m/A3Fn9WINOcA")</f>
        <v>https://xhslink.com/m/A3Fn9WINOcA</v>
      </c>
      <c r="D2779"/>
      <c r="E2779">
        <v>4195</v>
      </c>
      <c r="F2779">
        <v>9.9</v>
      </c>
      <c r="G2779"/>
      <c r="H2779">
        <v>2500</v>
      </c>
      <c r="I2779"/>
      <c r="J2779"/>
      <c r="K2779" t="inlineStr">
        <is>
          <t>家长会</t>
        </is>
      </c>
      <c r="L2779"/>
      <c r="M2779" t="inlineStr">
        <is>
          <t>一只小晨晨咨询的店</t>
        </is>
      </c>
      <c r="N2779">
        <v>4664</v>
      </c>
      <c r="O2779">
        <v>4.56</v>
      </c>
      <c r="P2779">
        <v>48000</v>
      </c>
      <c r="Q2779" t="inlineStr">
        <is>
          <t>6986d83ad5afea00014cbf26</t>
        </is>
      </c>
      <c r="R2779" t="inlineStr">
        <is>
          <t>🚫重复</t>
        </is>
      </c>
      <c r="S2779" t="inlineStr">
        <is>
          <t>老师资料</t>
        </is>
      </c>
      <c r="T2779" t="inlineStr">
        <is>
          <t>0.90</t>
        </is>
      </c>
      <c r="U2779" s="3">
        <v>46118.60591435185</v>
      </c>
      <c r="V2779"/>
      <c r="W2779" s="3">
        <v>46118</v>
      </c>
      <c r="X2779" t="inlineStr">
        <is>
          <t>04</t>
        </is>
      </c>
      <c r="Y2779" t="inlineStr">
        <is>
          <t>2026-Q2</t>
        </is>
      </c>
    </row>
    <row r="2780" ht="38.25" customHeight="1">
      <c r="A2780" t="inlineStr">
        <is>
          <t>【限时优惠】幼儿园爆款家长会互动小游戏，秒发货！</t>
        </is>
      </c>
      <c r="B2780" t="inlineStr">
        <is>
          <t>recvfZrgnN5XnC.jpg</t>
        </is>
      </c>
      <c r="C2780" s="2" t="str">
        <f>=HYPERLINK("https://xhslink.com/m/6VBVZP8Zcow", "https://xhslink.com/m/6VBVZP8Zcow")</f>
        <v>https://xhslink.com/m/6VBVZP8Zcow</v>
      </c>
      <c r="D2780"/>
      <c r="E2780">
        <v>944</v>
      </c>
      <c r="F2780">
        <v>6.9</v>
      </c>
      <c r="G2780"/>
      <c r="H2780">
        <v>350</v>
      </c>
      <c r="I2780"/>
      <c r="J2780"/>
      <c r="K2780" t="inlineStr">
        <is>
          <t>家长会</t>
        </is>
      </c>
      <c r="L2780"/>
      <c r="M2780" t="inlineStr">
        <is>
          <t>一只小晨晨咨询的店</t>
        </is>
      </c>
      <c r="N2780">
        <v>4664</v>
      </c>
      <c r="O2780">
        <v>4.56</v>
      </c>
      <c r="P2780">
        <v>48000</v>
      </c>
      <c r="Q2780" t="inlineStr">
        <is>
          <t>6904691e5b9deb00015a13b0</t>
        </is>
      </c>
      <c r="R2780" t="inlineStr">
        <is>
          <t>🚫重复</t>
        </is>
      </c>
      <c r="S2780" t="inlineStr">
        <is>
          <t>老师资料</t>
        </is>
      </c>
      <c r="T2780" t="inlineStr">
        <is>
          <t>0.20</t>
        </is>
      </c>
      <c r="U2780" s="3">
        <v>46118.60591435185</v>
      </c>
      <c r="V2780"/>
      <c r="W2780" s="3">
        <v>46118</v>
      </c>
      <c r="X2780" t="inlineStr">
        <is>
          <t>04</t>
        </is>
      </c>
      <c r="Y2780" t="inlineStr">
        <is>
          <t>2026-Q2</t>
        </is>
      </c>
    </row>
    <row r="2781" ht="38.25" customHeight="1">
      <c r="A2781" t="inlineStr">
        <is>
          <t>三年级语文下册期初家长会</t>
        </is>
      </c>
      <c r="B2781" t="inlineStr">
        <is>
          <t>recvfZrgnNWdvZ.jpg</t>
        </is>
      </c>
      <c r="C2781" s="2" t="str">
        <f>=HYPERLINK("https://xhslink.com/m/8nSkhYlXVNQ", "https://xhslink.com/m/8nSkhYlXVNQ")</f>
        <v>https://xhslink.com/m/8nSkhYlXVNQ</v>
      </c>
      <c r="D2781"/>
      <c r="E2781">
        <v>439</v>
      </c>
      <c r="F2781">
        <v>4</v>
      </c>
      <c r="G2781"/>
      <c r="H2781">
        <v>250</v>
      </c>
      <c r="I2781"/>
      <c r="J2781"/>
      <c r="K2781" t="inlineStr">
        <is>
          <t>家长会</t>
        </is>
      </c>
      <c r="L2781"/>
      <c r="M2781" t="inlineStr">
        <is>
          <t>张主任的常态课的店</t>
        </is>
      </c>
      <c r="N2781">
        <v>1645</v>
      </c>
      <c r="O2781">
        <v>4.58</v>
      </c>
      <c r="P2781">
        <v>24000</v>
      </c>
      <c r="Q2781" t="inlineStr">
        <is>
          <t>6999cc3d5f567d000173c534</t>
        </is>
      </c>
      <c r="R2781"/>
      <c r="S2781" t="inlineStr">
        <is>
          <t>老师资料</t>
        </is>
      </c>
      <c r="T2781" t="inlineStr">
        <is>
          <t>0.27</t>
        </is>
      </c>
      <c r="U2781" s="3">
        <v>46118.60591435185</v>
      </c>
      <c r="V2781"/>
      <c r="W2781" s="3">
        <v>46118</v>
      </c>
      <c r="X2781" t="inlineStr">
        <is>
          <t>04</t>
        </is>
      </c>
      <c r="Y2781" t="inlineStr">
        <is>
          <t>2026-Q2</t>
        </is>
      </c>
    </row>
    <row r="2782" ht="38.25" customHeight="1">
      <c r="A2782" t="inlineStr">
        <is>
          <t>【B00】26新版1-6年级开学第一课ppt+发言稿+教案（自选合集）</t>
        </is>
      </c>
      <c r="B2782" t="inlineStr">
        <is>
          <t>recvfZrgnNdbfk.jpg</t>
        </is>
      </c>
      <c r="C2782" s="2" t="str">
        <f>=HYPERLINK("https://xhslink.com/m/3KFNQ3KoYmm", "https://xhslink.com/m/3KFNQ3KoYmm")</f>
        <v>https://xhslink.com/m/3KFNQ3KoYmm</v>
      </c>
      <c r="D2782"/>
      <c r="E2782">
        <v>2647</v>
      </c>
      <c r="F2782">
        <v>9.9</v>
      </c>
      <c r="G2782"/>
      <c r="H2782">
        <v>400</v>
      </c>
      <c r="I2782"/>
      <c r="J2782"/>
      <c r="K2782" t="inlineStr">
        <is>
          <t>开学第一课</t>
        </is>
      </c>
      <c r="L2782"/>
      <c r="M2782" t="inlineStr">
        <is>
          <t>小雪老师的课堂的店</t>
        </is>
      </c>
      <c r="N2782">
        <v>15000</v>
      </c>
      <c r="O2782">
        <v>4.46</v>
      </c>
      <c r="P2782">
        <v>88000</v>
      </c>
      <c r="Q2782" t="inlineStr">
        <is>
          <t>685b4e317590770001a1c4ed</t>
        </is>
      </c>
      <c r="R2782" t="inlineStr">
        <is>
          <t>🚫重复</t>
        </is>
      </c>
      <c r="S2782" t="inlineStr">
        <is>
          <t>PPT模板</t>
        </is>
      </c>
      <c r="T2782" t="inlineStr">
        <is>
          <t>0.18</t>
        </is>
      </c>
      <c r="U2782" s="3">
        <v>46118.60591435185</v>
      </c>
      <c r="V2782"/>
      <c r="W2782" s="3">
        <v>46118</v>
      </c>
      <c r="X2782" t="inlineStr">
        <is>
          <t>04</t>
        </is>
      </c>
      <c r="Y2782" t="inlineStr">
        <is>
          <t>2026-Q2</t>
        </is>
      </c>
    </row>
    <row r="2783" ht="38.25" customHeight="1">
      <c r="A2783" t="inlineStr">
        <is>
          <t>【限时8.8】三年级【春季】下学期开学第一课、开学家长会课件ppt</t>
        </is>
      </c>
      <c r="B2783" t="inlineStr">
        <is>
          <t>recvfZrgnNzkqf.jpg</t>
        </is>
      </c>
      <c r="C2783" s="2" t="str">
        <f>=HYPERLINK("https://xhslink.com/m/4hmu9KI2osX", "https://xhslink.com/m/4hmu9KI2osX")</f>
        <v>https://xhslink.com/m/4hmu9KI2osX</v>
      </c>
      <c r="D2783"/>
      <c r="E2783">
        <v>1654</v>
      </c>
      <c r="F2783">
        <v>8.8</v>
      </c>
      <c r="G2783"/>
      <c r="H2783">
        <v>350</v>
      </c>
      <c r="I2783"/>
      <c r="J2783"/>
      <c r="K2783" t="inlineStr">
        <is>
          <t>开学第一课</t>
        </is>
      </c>
      <c r="L2783"/>
      <c r="M2783" t="inlineStr">
        <is>
          <t>初春老师的店</t>
        </is>
      </c>
      <c r="N2783">
        <v>1753</v>
      </c>
      <c r="O2783">
        <v>4.11</v>
      </c>
      <c r="P2783">
        <v>16000</v>
      </c>
      <c r="Q2783" t="inlineStr">
        <is>
          <t>69a5969b4b97810001769a4c</t>
        </is>
      </c>
      <c r="R2783" t="inlineStr">
        <is>
          <t>🚫重复</t>
        </is>
      </c>
      <c r="S2783" t="inlineStr">
        <is>
          <t>中小学教辅/教材</t>
        </is>
      </c>
      <c r="T2783" t="inlineStr">
        <is>
          <t>0.94</t>
        </is>
      </c>
      <c r="U2783" s="3">
        <v>46118.60591435185</v>
      </c>
      <c r="V2783"/>
      <c r="W2783" s="3">
        <v>46118</v>
      </c>
      <c r="X2783" t="inlineStr">
        <is>
          <t>04</t>
        </is>
      </c>
      <c r="Y2783" t="inlineStr">
        <is>
          <t>2026-Q2</t>
        </is>
      </c>
    </row>
    <row r="2784" ht="38.25" customHeight="1">
      <c r="A2784" t="inlineStr">
        <is>
          <t>春季数学开学第一课</t>
        </is>
      </c>
      <c r="B2784" t="inlineStr">
        <is>
          <t>recvfZrgnNQvHf.jpg</t>
        </is>
      </c>
      <c r="C2784" s="2" t="str">
        <f>=HYPERLINK("https://xhslink.com/m/9bbNPy8mLAv", "https://xhslink.com/m/9bbNPy8mLAv")</f>
        <v>https://xhslink.com/m/9bbNPy8mLAv</v>
      </c>
      <c r="D2784"/>
      <c r="E2784">
        <v>1557</v>
      </c>
      <c r="F2784">
        <v>9.99</v>
      </c>
      <c r="G2784"/>
      <c r="H2784">
        <v>1500</v>
      </c>
      <c r="I2784">
        <v>1000</v>
      </c>
      <c r="J2784"/>
      <c r="K2784" t="inlineStr">
        <is>
          <t>开学第一课</t>
        </is>
      </c>
      <c r="L2784"/>
      <c r="M2784" t="inlineStr">
        <is>
          <t>小兔子老师的课堂的店</t>
        </is>
      </c>
      <c r="N2784">
        <v>6615</v>
      </c>
      <c r="O2784">
        <v>4.31</v>
      </c>
      <c r="P2784">
        <v>19000</v>
      </c>
      <c r="Q2784" t="inlineStr">
        <is>
          <t>698ff252f7a09d0001dbe0aa</t>
        </is>
      </c>
      <c r="R2784" t="inlineStr">
        <is>
          <t>🚫重复</t>
        </is>
      </c>
      <c r="S2784" t="inlineStr">
        <is>
          <t>中小学教辅/教材</t>
        </is>
      </c>
      <c r="T2784" t="inlineStr">
        <is>
          <t>0.24</t>
        </is>
      </c>
      <c r="U2784" s="3">
        <v>46118.60591435185</v>
      </c>
      <c r="V2784"/>
      <c r="W2784" s="3">
        <v>46118</v>
      </c>
      <c r="X2784" t="inlineStr">
        <is>
          <t>04</t>
        </is>
      </c>
      <c r="Y2784" t="inlineStr">
        <is>
          <t>2026-Q2</t>
        </is>
      </c>
    </row>
    <row r="2785" ht="38.25" customHeight="1">
      <c r="A2785" t="inlineStr">
        <is>
          <t>2026马年数学下学期开学第一课【年级自选】</t>
        </is>
      </c>
      <c r="B2785" t="inlineStr">
        <is>
          <t>recvfZrgnNczK3.jpg</t>
        </is>
      </c>
      <c r="C2785" s="2" t="str">
        <f>=HYPERLINK("https://xhslink.com/m/4FUOZZWkd1j", "https://xhslink.com/m/4FUOZZWkd1j")</f>
        <v>https://xhslink.com/m/4FUOZZWkd1j</v>
      </c>
      <c r="D2785"/>
      <c r="E2785">
        <v>2011</v>
      </c>
      <c r="F2785">
        <v>9.99</v>
      </c>
      <c r="G2785"/>
      <c r="H2785">
        <v>1500</v>
      </c>
      <c r="I2785">
        <v>1000</v>
      </c>
      <c r="J2785"/>
      <c r="K2785" t="inlineStr">
        <is>
          <t>开学第一课</t>
        </is>
      </c>
      <c r="L2785"/>
      <c r="M2785" t="inlineStr">
        <is>
          <t>伢伢老师的店</t>
        </is>
      </c>
      <c r="N2785">
        <v>24000</v>
      </c>
      <c r="O2785">
        <v>4.38</v>
      </c>
      <c r="P2785">
        <v>84000</v>
      </c>
      <c r="Q2785" t="inlineStr">
        <is>
          <t>6991b54ce49faa00011303e5</t>
        </is>
      </c>
      <c r="R2785" t="inlineStr">
        <is>
          <t>🚫重复</t>
        </is>
      </c>
      <c r="S2785" t="inlineStr">
        <is>
          <t>中小学教辅/教材</t>
        </is>
      </c>
      <c r="T2785" t="inlineStr">
        <is>
          <t>0.08</t>
        </is>
      </c>
      <c r="U2785" s="3">
        <v>46118.60591435185</v>
      </c>
      <c r="V2785"/>
      <c r="W2785" s="3">
        <v>46118</v>
      </c>
      <c r="X2785" t="inlineStr">
        <is>
          <t>04</t>
        </is>
      </c>
      <c r="Y2785" t="inlineStr">
        <is>
          <t>2026-Q2</t>
        </is>
      </c>
    </row>
    <row r="2786" ht="38.25" customHeight="1">
      <c r="A2786" t="inlineStr">
        <is>
          <t>051-2026春季开学第一课安全教育PPT | 配套教案+讲稿</t>
        </is>
      </c>
      <c r="B2786" t="inlineStr">
        <is>
          <t>recvfZrgnNRiac.jpg</t>
        </is>
      </c>
      <c r="C2786" s="2" t="str">
        <f>=HYPERLINK("https://xhslink.com/m/4wCElMJaf1v", "https://xhslink.com/m/4wCElMJaf1v")</f>
        <v>https://xhslink.com/m/4wCElMJaf1v</v>
      </c>
      <c r="D2786"/>
      <c r="E2786">
        <v>1988</v>
      </c>
      <c r="F2786">
        <v>9.9</v>
      </c>
      <c r="G2786"/>
      <c r="H2786">
        <v>950</v>
      </c>
      <c r="I2786">
        <v>1000</v>
      </c>
      <c r="J2786"/>
      <c r="K2786" t="inlineStr">
        <is>
          <t>开学第一课</t>
        </is>
      </c>
      <c r="L2786"/>
      <c r="M2786" t="inlineStr">
        <is>
          <t>学途文苑的店</t>
        </is>
      </c>
      <c r="N2786">
        <v>4583</v>
      </c>
      <c r="O2786">
        <v>4.52</v>
      </c>
      <c r="P2786">
        <v>15000</v>
      </c>
      <c r="Q2786" t="inlineStr">
        <is>
          <t>695a42f6bd92f500017dc5d4</t>
        </is>
      </c>
      <c r="R2786"/>
      <c r="S2786" t="inlineStr">
        <is>
          <t>PPT模板</t>
        </is>
      </c>
      <c r="T2786" t="inlineStr">
        <is>
          <t>0.43</t>
        </is>
      </c>
      <c r="U2786" s="3">
        <v>46118.60591435185</v>
      </c>
      <c r="V2786"/>
      <c r="W2786" s="3">
        <v>46118</v>
      </c>
      <c r="X2786" t="inlineStr">
        <is>
          <t>04</t>
        </is>
      </c>
      <c r="Y2786" t="inlineStr">
        <is>
          <t>2026-Q2</t>
        </is>
      </c>
    </row>
    <row r="2787" ht="38.25" customHeight="1">
      <c r="A2787" t="inlineStr">
        <is>
          <t>幼儿园大中小班家长会丨公开课资料丨资料群丨持续更新</t>
        </is>
      </c>
      <c r="B2787" t="inlineStr">
        <is>
          <t>recvfZrgnN7rj1.jpg</t>
        </is>
      </c>
      <c r="C2787" s="2" t="str">
        <f>=HYPERLINK("https://xhslink.com/m/3PSgeq1LwZ3", "https://xhslink.com/m/3PSgeq1LwZ3")</f>
        <v>https://xhslink.com/m/3PSgeq1LwZ3</v>
      </c>
      <c r="D2787"/>
      <c r="E2787">
        <v>9151</v>
      </c>
      <c r="F2787">
        <v>12.9</v>
      </c>
      <c r="G2787"/>
      <c r="H2787">
        <v>1000</v>
      </c>
      <c r="I2787"/>
      <c r="J2787"/>
      <c r="K2787" t="inlineStr">
        <is>
          <t>开学第一课</t>
        </is>
      </c>
      <c r="L2787" t="inlineStr">
        <is>
          <t>🔥低粉爆款</t>
        </is>
      </c>
      <c r="M2787" t="inlineStr">
        <is>
          <t>七七教辅资料的店</t>
        </is>
      </c>
      <c r="N2787">
        <v>1554</v>
      </c>
      <c r="O2787">
        <v>4.58</v>
      </c>
      <c r="P2787">
        <v>15000</v>
      </c>
      <c r="Q2787" t="inlineStr">
        <is>
          <t>69a4f6fc85eac80001fcaea4</t>
        </is>
      </c>
      <c r="R2787" t="inlineStr">
        <is>
          <t>🚫重复</t>
        </is>
      </c>
      <c r="S2787" t="inlineStr">
        <is>
          <t>老师资料</t>
        </is>
      </c>
      <c r="T2787" t="inlineStr">
        <is>
          <t>5.89</t>
        </is>
      </c>
      <c r="U2787" s="3">
        <v>46118.60591435185</v>
      </c>
      <c r="V2787"/>
      <c r="W2787" s="3">
        <v>46118</v>
      </c>
      <c r="X2787" t="inlineStr">
        <is>
          <t>04</t>
        </is>
      </c>
      <c r="Y2787" t="inlineStr">
        <is>
          <t>2026-Q2</t>
        </is>
      </c>
    </row>
    <row r="2788" ht="38.25" customHeight="1">
      <c r="A2788" t="inlineStr">
        <is>
          <t>幼儿园开学第一课PPT教案</t>
        </is>
      </c>
      <c r="B2788" t="inlineStr">
        <is>
          <t>recvfZrgnNEJBc.jpg</t>
        </is>
      </c>
      <c r="C2788" s="2" t="str">
        <f>=HYPERLINK("https://xhslink.com/m/9pIfpXYGEcU", "https://xhslink.com/m/9pIfpXYGEcU")</f>
        <v>https://xhslink.com/m/9pIfpXYGEcU</v>
      </c>
      <c r="D2788"/>
      <c r="E2788">
        <v>724</v>
      </c>
      <c r="F2788">
        <v>9.8</v>
      </c>
      <c r="G2788"/>
      <c r="H2788">
        <v>250</v>
      </c>
      <c r="I2788"/>
      <c r="J2788"/>
      <c r="K2788" t="inlineStr">
        <is>
          <t>开学第一课</t>
        </is>
      </c>
      <c r="L2788"/>
      <c r="M2788" t="inlineStr">
        <is>
          <t>白若蓝的店</t>
        </is>
      </c>
      <c r="N2788">
        <v>4746</v>
      </c>
      <c r="O2788">
        <v>4.18</v>
      </c>
      <c r="P2788">
        <v>11000</v>
      </c>
      <c r="Q2788" t="inlineStr">
        <is>
          <t>699fe52c6b5a8300015693cb</t>
        </is>
      </c>
      <c r="R2788"/>
      <c r="S2788" t="inlineStr">
        <is>
          <t>PPT模板</t>
        </is>
      </c>
      <c r="T2788" t="inlineStr">
        <is>
          <t>0.15</t>
        </is>
      </c>
      <c r="U2788" s="3">
        <v>46118.60591435185</v>
      </c>
      <c r="V2788"/>
      <c r="W2788" s="3">
        <v>46118</v>
      </c>
      <c r="X2788" t="inlineStr">
        <is>
          <t>04</t>
        </is>
      </c>
      <c r="Y2788" t="inlineStr">
        <is>
          <t>2026-Q2</t>
        </is>
      </c>
    </row>
    <row r="2789" ht="38.25" customHeight="1">
      <c r="A2789" t="inlineStr">
        <is>
          <t>马年新春小学班主任开学第一课（年级自选）</t>
        </is>
      </c>
      <c r="B2789" t="inlineStr">
        <is>
          <t>recvfZrgnNCniB.jpg</t>
        </is>
      </c>
      <c r="C2789" s="2" t="str">
        <f>=HYPERLINK("https://xhslink.com/m/8G453WIV5ji", "https://xhslink.com/m/8G453WIV5ji")</f>
        <v>https://xhslink.com/m/8G453WIV5ji</v>
      </c>
      <c r="D2789"/>
      <c r="E2789">
        <v>1615</v>
      </c>
      <c r="F2789">
        <v>9.99</v>
      </c>
      <c r="G2789"/>
      <c r="H2789">
        <v>1500</v>
      </c>
      <c r="I2789">
        <v>1000</v>
      </c>
      <c r="J2789"/>
      <c r="K2789" t="inlineStr">
        <is>
          <t>开学第一课</t>
        </is>
      </c>
      <c r="L2789"/>
      <c r="M2789" t="inlineStr">
        <is>
          <t>伢伢老师的店</t>
        </is>
      </c>
      <c r="N2789">
        <v>24000</v>
      </c>
      <c r="O2789">
        <v>4.38</v>
      </c>
      <c r="P2789">
        <v>84000</v>
      </c>
      <c r="Q2789" t="inlineStr">
        <is>
          <t>69919926a87a4d0001caebe4</t>
        </is>
      </c>
      <c r="R2789" t="inlineStr">
        <is>
          <t>🚫重复</t>
        </is>
      </c>
      <c r="S2789" t="inlineStr">
        <is>
          <t>中小学教辅/教材</t>
        </is>
      </c>
      <c r="T2789" t="inlineStr">
        <is>
          <t>0.07</t>
        </is>
      </c>
      <c r="U2789" s="3">
        <v>46118.60591435185</v>
      </c>
      <c r="V2789"/>
      <c r="W2789" s="3">
        <v>46118</v>
      </c>
      <c r="X2789" t="inlineStr">
        <is>
          <t>04</t>
        </is>
      </c>
      <c r="Y2789" t="inlineStr">
        <is>
          <t>2026-Q2</t>
        </is>
      </c>
    </row>
    <row r="2790" ht="38.25" customHeight="1">
      <c r="A2790" t="inlineStr">
        <is>
          <t>春季开学第一课（年级自选）</t>
        </is>
      </c>
      <c r="B2790" t="inlineStr">
        <is>
          <t>recvfZrgnNxoCY.jpg</t>
        </is>
      </c>
      <c r="C2790" s="2" t="str">
        <f>=HYPERLINK("https://xhslink.com/m/4Gm7bKkBOHZ", "https://xhslink.com/m/4Gm7bKkBOHZ")</f>
        <v>https://xhslink.com/m/4Gm7bKkBOHZ</v>
      </c>
      <c r="D2790"/>
      <c r="E2790">
        <v>2248</v>
      </c>
      <c r="F2790">
        <v>9.99</v>
      </c>
      <c r="G2790"/>
      <c r="H2790">
        <v>2000</v>
      </c>
      <c r="I2790">
        <v>2000</v>
      </c>
      <c r="J2790"/>
      <c r="K2790" t="inlineStr">
        <is>
          <t>开学第一课</t>
        </is>
      </c>
      <c r="L2790"/>
      <c r="M2790" t="inlineStr">
        <is>
          <t>小兔子老师的课堂的店</t>
        </is>
      </c>
      <c r="N2790">
        <v>6615</v>
      </c>
      <c r="O2790">
        <v>4.31</v>
      </c>
      <c r="P2790">
        <v>19000</v>
      </c>
      <c r="Q2790" t="inlineStr">
        <is>
          <t>69916cb400fcb1000131569d</t>
        </is>
      </c>
      <c r="R2790" t="inlineStr">
        <is>
          <t>🚫重复</t>
        </is>
      </c>
      <c r="S2790" t="inlineStr">
        <is>
          <t>中小学教辅/教材</t>
        </is>
      </c>
      <c r="T2790" t="inlineStr">
        <is>
          <t>0.34</t>
        </is>
      </c>
      <c r="U2790" s="3">
        <v>46118.60591435185</v>
      </c>
      <c r="V2790"/>
      <c r="W2790" s="3">
        <v>46118</v>
      </c>
      <c r="X2790" t="inlineStr">
        <is>
          <t>04</t>
        </is>
      </c>
      <c r="Y2790" t="inlineStr">
        <is>
          <t>2026-Q2</t>
        </is>
      </c>
    </row>
    <row r="2791" ht="38.25" customHeight="1">
      <c r="A2791" t="inlineStr">
        <is>
          <t>【038】2026开学第一课课件/教案/讲稿/无水印/可编辑</t>
        </is>
      </c>
      <c r="B2791" t="inlineStr">
        <is>
          <t>recvfZrgnNZvtd.jpg</t>
        </is>
      </c>
      <c r="C2791" s="2" t="str">
        <f>=HYPERLINK("https://xhslink.com/m/5AMsoZJqCYq", "https://xhslink.com/m/5AMsoZJqCYq")</f>
        <v>https://xhslink.com/m/5AMsoZJqCYq</v>
      </c>
      <c r="D2791"/>
      <c r="E2791">
        <v>1061</v>
      </c>
      <c r="F2791">
        <v>8</v>
      </c>
      <c r="G2791"/>
      <c r="H2791">
        <v>1000</v>
      </c>
      <c r="I2791">
        <v>1000</v>
      </c>
      <c r="J2791"/>
      <c r="K2791" t="inlineStr">
        <is>
          <t>开学第一课</t>
        </is>
      </c>
      <c r="L2791"/>
      <c r="M2791" t="inlineStr">
        <is>
          <t>Eos老师的店</t>
        </is>
      </c>
      <c r="N2791">
        <v>4010</v>
      </c>
      <c r="O2791">
        <v>4.62</v>
      </c>
      <c r="P2791">
        <v>28000</v>
      </c>
      <c r="Q2791" t="inlineStr">
        <is>
          <t>699a963b2080aa0001b6aff8</t>
        </is>
      </c>
      <c r="R2791"/>
      <c r="S2791" t="inlineStr">
        <is>
          <t>中小学教辅/教材</t>
        </is>
      </c>
      <c r="T2791" t="inlineStr">
        <is>
          <t>0.26</t>
        </is>
      </c>
      <c r="U2791" s="3">
        <v>46118.60591435185</v>
      </c>
      <c r="V2791"/>
      <c r="W2791" s="3">
        <v>46118</v>
      </c>
      <c r="X2791" t="inlineStr">
        <is>
          <t>04</t>
        </is>
      </c>
      <c r="Y2791" t="inlineStr">
        <is>
          <t>2026-Q2</t>
        </is>
      </c>
    </row>
    <row r="2792" ht="38.25" customHeight="1">
      <c r="A2792" t="inlineStr">
        <is>
          <t>马年 体育开学第一课</t>
        </is>
      </c>
      <c r="B2792" t="inlineStr">
        <is>
          <t>recvfZrgnNwo2O.jpg</t>
        </is>
      </c>
      <c r="C2792" s="2" t="str">
        <f>=HYPERLINK("https://xhslink.com/m/2N5SB6ttjrD", "https://xhslink.com/m/2N5SB6ttjrD")</f>
        <v>https://xhslink.com/m/2N5SB6ttjrD</v>
      </c>
      <c r="D2792"/>
      <c r="E2792">
        <v>708</v>
      </c>
      <c r="F2792">
        <v>14.9</v>
      </c>
      <c r="G2792"/>
      <c r="H2792">
        <v>650</v>
      </c>
      <c r="I2792"/>
      <c r="J2792"/>
      <c r="K2792" t="inlineStr">
        <is>
          <t>开学第一课</t>
        </is>
      </c>
      <c r="L2792"/>
      <c r="M2792" t="inlineStr">
        <is>
          <t>CC体育老师吖✨的店</t>
        </is>
      </c>
      <c r="N2792">
        <v>3054</v>
      </c>
      <c r="O2792">
        <v>4.17</v>
      </c>
      <c r="P2792">
        <v>5768</v>
      </c>
      <c r="Q2792" t="inlineStr">
        <is>
          <t>699cd13f90d16a0001614cae</t>
        </is>
      </c>
      <c r="R2792"/>
      <c r="S2792" t="inlineStr">
        <is>
          <t>中小学教辅/教材</t>
        </is>
      </c>
      <c r="T2792" t="inlineStr">
        <is>
          <t>0.23</t>
        </is>
      </c>
      <c r="U2792" s="3">
        <v>46118.60591435185</v>
      </c>
      <c r="V2792"/>
      <c r="W2792" s="3">
        <v>46118</v>
      </c>
      <c r="X2792" t="inlineStr">
        <is>
          <t>04</t>
        </is>
      </c>
      <c r="Y2792" t="inlineStr">
        <is>
          <t>2026-Q2</t>
        </is>
      </c>
    </row>
    <row r="2793" ht="38.25" customHeight="1">
      <c r="A2793" t="inlineStr">
        <is>
          <t>开心找个理由中小学通用【春季】~开学第一课ppt</t>
        </is>
      </c>
      <c r="B2793" t="inlineStr">
        <is>
          <t>recvfZrgnNrVA2.jpg</t>
        </is>
      </c>
      <c r="C2793" s="2" t="str">
        <f>=HYPERLINK("https://xhslink.com/m/8sDISeB0iqJ", "https://xhslink.com/m/8sDISeB0iqJ")</f>
        <v>https://xhslink.com/m/8sDISeB0iqJ</v>
      </c>
      <c r="D2793"/>
      <c r="E2793">
        <v>503</v>
      </c>
      <c r="F2793">
        <v>6.88</v>
      </c>
      <c r="G2793"/>
      <c r="H2793">
        <v>400</v>
      </c>
      <c r="I2793"/>
      <c r="J2793"/>
      <c r="K2793" t="inlineStr">
        <is>
          <t>开学第一课</t>
        </is>
      </c>
      <c r="L2793"/>
      <c r="M2793" t="inlineStr">
        <is>
          <t>小🐰ppt的店</t>
        </is>
      </c>
      <c r="N2793">
        <v>1794</v>
      </c>
      <c r="O2793">
        <v>4.59</v>
      </c>
      <c r="P2793">
        <v>22000</v>
      </c>
      <c r="Q2793" t="inlineStr">
        <is>
          <t>69a9277470850a0001c2714f</t>
        </is>
      </c>
      <c r="R2793" t="inlineStr">
        <is>
          <t>🚫重复</t>
        </is>
      </c>
      <c r="S2793" t="inlineStr">
        <is>
          <t>PPT模板</t>
        </is>
      </c>
      <c r="T2793" t="inlineStr">
        <is>
          <t>0.28</t>
        </is>
      </c>
      <c r="U2793" s="3">
        <v>46118.60591435185</v>
      </c>
      <c r="V2793"/>
      <c r="W2793" s="3">
        <v>46118</v>
      </c>
      <c r="X2793" t="inlineStr">
        <is>
          <t>04</t>
        </is>
      </c>
      <c r="Y2793" t="inlineStr">
        <is>
          <t>2026-Q2</t>
        </is>
      </c>
    </row>
    <row r="2794" ht="38.25" customHeight="1">
      <c r="A2794" t="inlineStr">
        <is>
          <t>【限时8.8】六年级【春季】下册开学家长会，开学第一课课件ppt</t>
        </is>
      </c>
      <c r="B2794" t="inlineStr">
        <is>
          <t>recvfZrgnN7cL5.jpg</t>
        </is>
      </c>
      <c r="C2794" s="2" t="str">
        <f>=HYPERLINK("https://xhslink.com/m/2VlNcBXjbsl", "https://xhslink.com/m/2VlNcBXjbsl")</f>
        <v>https://xhslink.com/m/2VlNcBXjbsl</v>
      </c>
      <c r="D2794"/>
      <c r="E2794">
        <v>376</v>
      </c>
      <c r="F2794">
        <v>8.8</v>
      </c>
      <c r="G2794"/>
      <c r="H2794">
        <v>250</v>
      </c>
      <c r="I2794"/>
      <c r="J2794"/>
      <c r="K2794" t="inlineStr">
        <is>
          <t>开学第一课</t>
        </is>
      </c>
      <c r="L2794"/>
      <c r="M2794" t="inlineStr">
        <is>
          <t>小北鼻甄选的店</t>
        </is>
      </c>
      <c r="N2794">
        <v>1183</v>
      </c>
      <c r="O2794">
        <v>4.42</v>
      </c>
      <c r="P2794">
        <v>7204</v>
      </c>
      <c r="Q2794" t="inlineStr">
        <is>
          <t>699d1d3ec9f5da0001542c80</t>
        </is>
      </c>
      <c r="R2794"/>
      <c r="S2794" t="inlineStr">
        <is>
          <t>老师资料</t>
        </is>
      </c>
      <c r="T2794" t="inlineStr">
        <is>
          <t>0.32</t>
        </is>
      </c>
      <c r="U2794" s="3">
        <v>46118.60591435185</v>
      </c>
      <c r="V2794"/>
      <c r="W2794" s="3">
        <v>46118</v>
      </c>
      <c r="X2794" t="inlineStr">
        <is>
          <t>04</t>
        </is>
      </c>
      <c r="Y2794" t="inlineStr">
        <is>
          <t>2026-Q2</t>
        </is>
      </c>
    </row>
    <row r="2795" ht="38.25" customHeight="1">
      <c r="A2795" t="inlineStr">
        <is>
          <t>一下开学第一课PPT｜新学期向阳而生｜55页+9页文稿</t>
        </is>
      </c>
      <c r="B2795" t="inlineStr">
        <is>
          <t>recvfZrgnNOSD9.jpg</t>
        </is>
      </c>
      <c r="C2795" s="2" t="str">
        <f>=HYPERLINK("https://xhslink.com/m/3w6v5OLhZLH", "https://xhslink.com/m/3w6v5OLhZLH")</f>
        <v>https://xhslink.com/m/3w6v5OLhZLH</v>
      </c>
      <c r="D2795"/>
      <c r="E2795">
        <v>604</v>
      </c>
      <c r="F2795">
        <v>4.99</v>
      </c>
      <c r="G2795"/>
      <c r="H2795">
        <v>550</v>
      </c>
      <c r="I2795"/>
      <c r="J2795"/>
      <c r="K2795" t="inlineStr">
        <is>
          <t>开学第一课</t>
        </is>
      </c>
      <c r="L2795"/>
      <c r="M2795" t="inlineStr">
        <is>
          <t>陈老师的学习书屋的店</t>
        </is>
      </c>
      <c r="N2795">
        <v>3460</v>
      </c>
      <c r="O2795">
        <v>4.35</v>
      </c>
      <c r="P2795">
        <v>34000</v>
      </c>
      <c r="Q2795" t="inlineStr">
        <is>
          <t>698dbfe5e2c5ca0001cebfde</t>
        </is>
      </c>
      <c r="R2795"/>
      <c r="S2795" t="inlineStr">
        <is>
          <t>PPT模板</t>
        </is>
      </c>
      <c r="T2795" t="inlineStr">
        <is>
          <t>0.17</t>
        </is>
      </c>
      <c r="U2795" s="3">
        <v>46118.60591435185</v>
      </c>
      <c r="V2795"/>
      <c r="W2795" s="3">
        <v>46118</v>
      </c>
      <c r="X2795" t="inlineStr">
        <is>
          <t>04</t>
        </is>
      </c>
      <c r="Y2795" t="inlineStr">
        <is>
          <t>2026-Q2</t>
        </is>
      </c>
    </row>
    <row r="2796" ht="38.25" customHeight="1">
      <c r="A2796" t="inlineStr">
        <is>
          <t>2026春开学第一课 | 小学适用的开学第一课，新学期，你好！</t>
        </is>
      </c>
      <c r="B2796" t="inlineStr">
        <is>
          <t>recvfZrgnN57tV.jpg</t>
        </is>
      </c>
      <c r="C2796" s="2" t="str">
        <f>=HYPERLINK("https://xhslink.com/m/AZgsIvtGeDt", "https://xhslink.com/m/AZgsIvtGeDt")</f>
        <v>https://xhslink.com/m/AZgsIvtGeDt</v>
      </c>
      <c r="D2796"/>
      <c r="E2796">
        <v>591</v>
      </c>
      <c r="F2796">
        <v>4.9</v>
      </c>
      <c r="G2796"/>
      <c r="H2796">
        <v>500</v>
      </c>
      <c r="I2796"/>
      <c r="J2796"/>
      <c r="K2796" t="inlineStr">
        <is>
          <t>开学第一课</t>
        </is>
      </c>
      <c r="L2796"/>
      <c r="M2796" t="inlineStr">
        <is>
          <t>五月的星的店</t>
        </is>
      </c>
      <c r="N2796">
        <v>12000</v>
      </c>
      <c r="O2796">
        <v>4.11</v>
      </c>
      <c r="P2796">
        <v>26000</v>
      </c>
      <c r="Q2796" t="inlineStr">
        <is>
          <t>66c21bb53f0b5b0001275f6f</t>
        </is>
      </c>
      <c r="R2796" t="inlineStr">
        <is>
          <t>🚫重复</t>
        </is>
      </c>
      <c r="S2796" t="inlineStr">
        <is>
          <t>中小学教辅/教材</t>
        </is>
      </c>
      <c r="T2796" t="inlineStr">
        <is>
          <t>0.05</t>
        </is>
      </c>
      <c r="U2796" s="3">
        <v>46118.60591435185</v>
      </c>
      <c r="V2796"/>
      <c r="W2796" s="3">
        <v>46118</v>
      </c>
      <c r="X2796" t="inlineStr">
        <is>
          <t>04</t>
        </is>
      </c>
      <c r="Y2796" t="inlineStr">
        <is>
          <t>2026-Q2</t>
        </is>
      </c>
    </row>
    <row r="2797" ht="38.25" customHeight="1">
      <c r="A2797" t="inlineStr">
        <is>
          <t>开学第一课（年级自选）</t>
        </is>
      </c>
      <c r="B2797" t="inlineStr">
        <is>
          <t>recvfZrgnNMSKx.jpg</t>
        </is>
      </c>
      <c r="C2797" s="2" t="str">
        <f>=HYPERLINK("https://xhslink.com/m/1cuezCYQT2F", "https://xhslink.com/m/1cuezCYQT2F")</f>
        <v>https://xhslink.com/m/1cuezCYQT2F</v>
      </c>
      <c r="D2797"/>
      <c r="E2797">
        <v>1127</v>
      </c>
      <c r="F2797">
        <v>9.99</v>
      </c>
      <c r="G2797"/>
      <c r="H2797">
        <v>1000</v>
      </c>
      <c r="I2797">
        <v>1000</v>
      </c>
      <c r="J2797"/>
      <c r="K2797" t="inlineStr">
        <is>
          <t>开学第一课</t>
        </is>
      </c>
      <c r="L2797"/>
      <c r="M2797" t="inlineStr">
        <is>
          <t>小鹿伢的店</t>
        </is>
      </c>
      <c r="N2797">
        <v>17000</v>
      </c>
      <c r="O2797">
        <v>4.23</v>
      </c>
      <c r="P2797">
        <v>68000</v>
      </c>
      <c r="Q2797" t="inlineStr">
        <is>
          <t>699acf1687daa00001972796</t>
        </is>
      </c>
      <c r="R2797" t="inlineStr">
        <is>
          <t>🚫重复</t>
        </is>
      </c>
      <c r="S2797" t="inlineStr">
        <is>
          <t>中小学教辅/教材</t>
        </is>
      </c>
      <c r="T2797" t="inlineStr">
        <is>
          <t>0.07</t>
        </is>
      </c>
      <c r="U2797" s="3">
        <v>46118.60591435185</v>
      </c>
      <c r="V2797"/>
      <c r="W2797" s="3">
        <v>46118</v>
      </c>
      <c r="X2797" t="inlineStr">
        <is>
          <t>04</t>
        </is>
      </c>
      <c r="Y2797" t="inlineStr">
        <is>
          <t>2026-Q2</t>
        </is>
      </c>
    </row>
    <row r="2798" ht="38.25" customHeight="1">
      <c r="A2798" t="inlineStr">
        <is>
          <t>小初高主题班会（自选主题）</t>
        </is>
      </c>
      <c r="B2798" t="inlineStr">
        <is>
          <t>recvfZrgnNyUdu.jpg</t>
        </is>
      </c>
      <c r="C2798" s="2" t="str">
        <f>=HYPERLINK("https://xhslink.com/m/8ObYxLVbfcn", "https://xhslink.com/m/8ObYxLVbfcn")</f>
        <v>https://xhslink.com/m/8ObYxLVbfcn</v>
      </c>
      <c r="D2798"/>
      <c r="E2798">
        <v>834</v>
      </c>
      <c r="F2798">
        <v>9.9</v>
      </c>
      <c r="G2798"/>
      <c r="H2798">
        <v>200</v>
      </c>
      <c r="I2798"/>
      <c r="J2798"/>
      <c r="K2798" t="inlineStr">
        <is>
          <t>主题班会</t>
        </is>
      </c>
      <c r="L2798" t="inlineStr">
        <is>
          <t>🔥低粉爆款</t>
        </is>
      </c>
      <c r="M2798" t="inlineStr">
        <is>
          <t>浅月课件的店</t>
        </is>
      </c>
      <c r="N2798">
        <v>256</v>
      </c>
      <c r="O2798">
        <v>4.19</v>
      </c>
      <c r="P2798">
        <v>2044</v>
      </c>
      <c r="Q2798" t="inlineStr">
        <is>
          <t>69aa794307adea00014b8bd7</t>
        </is>
      </c>
      <c r="R2798"/>
      <c r="S2798" t="inlineStr">
        <is>
          <t>老师资料</t>
        </is>
      </c>
      <c r="T2798" t="inlineStr">
        <is>
          <t>3.26</t>
        </is>
      </c>
      <c r="U2798" s="3">
        <v>46118.60591435185</v>
      </c>
      <c r="V2798"/>
      <c r="W2798" s="3">
        <v>46118</v>
      </c>
      <c r="X2798" t="inlineStr">
        <is>
          <t>04</t>
        </is>
      </c>
      <c r="Y2798" t="inlineStr">
        <is>
          <t>2026-Q2</t>
        </is>
      </c>
    </row>
    <row r="2799" ht="38.25" customHeight="1">
      <c r="A2799" t="inlineStr">
        <is>
          <t>中小学主题班会PPT（拍下秒发！详见订单发货内容</t>
        </is>
      </c>
      <c r="B2799" t="inlineStr">
        <is>
          <t>recvfZrgnNN0Fs.jpg</t>
        </is>
      </c>
      <c r="C2799" s="2" t="str">
        <f>=HYPERLINK("https://xhslink.com/m/1ts2xqSU4b2", "https://xhslink.com/m/1ts2xqSU4b2")</f>
        <v>https://xhslink.com/m/1ts2xqSU4b2</v>
      </c>
      <c r="D2799"/>
      <c r="E2799">
        <v>5898</v>
      </c>
      <c r="F2799">
        <v>5.99</v>
      </c>
      <c r="G2799"/>
      <c r="H2799">
        <v>100</v>
      </c>
      <c r="I2799"/>
      <c r="J2799"/>
      <c r="K2799" t="inlineStr">
        <is>
          <t>主题班会</t>
        </is>
      </c>
      <c r="L2799" t="inlineStr">
        <is>
          <t>🔥低粉爆款</t>
        </is>
      </c>
      <c r="M2799" t="inlineStr">
        <is>
          <t>多多老师的店</t>
        </is>
      </c>
      <c r="N2799">
        <v>1057</v>
      </c>
      <c r="O2799">
        <v>4.21</v>
      </c>
      <c r="P2799">
        <v>8762</v>
      </c>
      <c r="Q2799" t="inlineStr">
        <is>
          <t>692ab92e350109000118fd41</t>
        </is>
      </c>
      <c r="R2799" t="inlineStr">
        <is>
          <t>🚫重复</t>
        </is>
      </c>
      <c r="S2799" t="inlineStr">
        <is>
          <t>PPT模板</t>
        </is>
      </c>
      <c r="T2799" t="inlineStr">
        <is>
          <t>5.58</t>
        </is>
      </c>
      <c r="U2799" s="3">
        <v>46118.60591435185</v>
      </c>
      <c r="V2799"/>
      <c r="W2799" s="3">
        <v>46118</v>
      </c>
      <c r="X2799" t="inlineStr">
        <is>
          <t>04</t>
        </is>
      </c>
      <c r="Y2799" t="inlineStr">
        <is>
          <t>2026-Q2</t>
        </is>
      </c>
    </row>
    <row r="2800" ht="38.25" customHeight="1">
      <c r="A2800" t="inlineStr">
        <is>
          <t>护考知识点大全全部考点知识题目大全真题模拟题母题高频题电子版</t>
        </is>
      </c>
      <c r="B2800" t="inlineStr">
        <is>
          <t>recvfZrgnNihat.jpg</t>
        </is>
      </c>
      <c r="C2800" s="2" t="str">
        <f>=HYPERLINK("https://xhslink.com/m/5yWnl4iw4T4", "https://xhslink.com/m/5yWnl4iw4T4")</f>
        <v>https://xhslink.com/m/5yWnl4iw4T4</v>
      </c>
      <c r="D2800"/>
      <c r="E2800">
        <v>9783</v>
      </c>
      <c r="F2800">
        <v>6.99</v>
      </c>
      <c r="G2800"/>
      <c r="H2800">
        <v>1500</v>
      </c>
      <c r="I2800"/>
      <c r="J2800"/>
      <c r="K2800" t="inlineStr">
        <is>
          <t>医学</t>
        </is>
      </c>
      <c r="L2800" t="inlineStr">
        <is>
          <t>🔥低粉爆款</t>
        </is>
      </c>
      <c r="M2800" t="inlineStr">
        <is>
          <t>大萝卜卜卜的店</t>
        </is>
      </c>
      <c r="N2800">
        <v>1092</v>
      </c>
      <c r="O2800">
        <v>4.47</v>
      </c>
      <c r="P2800">
        <v>11000</v>
      </c>
      <c r="Q2800" t="inlineStr">
        <is>
          <t>67d93cd929b9f700019e130d</t>
        </is>
      </c>
      <c r="R2800" t="inlineStr">
        <is>
          <t>🚫重复</t>
        </is>
      </c>
      <c r="S2800" t="inlineStr">
        <is>
          <t>生活成长</t>
        </is>
      </c>
      <c r="T2800" t="inlineStr">
        <is>
          <t>8.96</t>
        </is>
      </c>
      <c r="U2800" s="3">
        <v>46118.60591435185</v>
      </c>
      <c r="V2800"/>
      <c r="W2800" s="3">
        <v>46118</v>
      </c>
      <c r="X2800" t="inlineStr">
        <is>
          <t>04</t>
        </is>
      </c>
      <c r="Y2800" t="inlineStr">
        <is>
          <t>2026-Q2</t>
        </is>
      </c>
    </row>
    <row r="2801" ht="38.25" customHeight="1">
      <c r="A2801" t="inlineStr">
        <is>
          <t>全国中医经典等级考试题库一二三级都有，一级都包，详情有介绍</t>
        </is>
      </c>
      <c r="B2801" t="inlineStr">
        <is>
          <t>recvfZrgnNFPgk.jpg</t>
        </is>
      </c>
      <c r="C2801" s="2" t="str">
        <f>=HYPERLINK("https://xhslink.com/m/8kYIwsCYdv", "https://xhslink.com/m/8kYIwsCYdv")</f>
        <v>https://xhslink.com/m/8kYIwsCYdv</v>
      </c>
      <c r="D2801"/>
      <c r="E2801">
        <v>2345</v>
      </c>
      <c r="F2801">
        <v>19.9</v>
      </c>
      <c r="G2801"/>
      <c r="H2801">
        <v>100</v>
      </c>
      <c r="I2801"/>
      <c r="J2801"/>
      <c r="K2801" t="inlineStr">
        <is>
          <t>医学</t>
        </is>
      </c>
      <c r="L2801"/>
      <c r="M2801" t="inlineStr">
        <is>
          <t>努力向上的苏木的店</t>
        </is>
      </c>
      <c r="N2801">
        <v>2996</v>
      </c>
      <c r="O2801">
        <v>4.28</v>
      </c>
      <c r="P2801">
        <v>4545</v>
      </c>
      <c r="Q2801" t="inlineStr">
        <is>
          <t>6793bb3ebac25100019732a3</t>
        </is>
      </c>
      <c r="R2801"/>
      <c r="S2801" t="inlineStr">
        <is>
          <t>生活成长</t>
        </is>
      </c>
      <c r="T2801" t="inlineStr">
        <is>
          <t>0.78</t>
        </is>
      </c>
      <c r="U2801" s="3">
        <v>46118.60591435185</v>
      </c>
      <c r="V2801"/>
      <c r="W2801" s="3">
        <v>46118</v>
      </c>
      <c r="X2801" t="inlineStr">
        <is>
          <t>04</t>
        </is>
      </c>
      <c r="Y2801" t="inlineStr">
        <is>
          <t>2026-Q2</t>
        </is>
      </c>
    </row>
    <row r="2802" ht="38.25" customHeight="1">
      <c r="A2802" t="inlineStr">
        <is>
          <t>初高中英语教学设计（八大课型模板）</t>
        </is>
      </c>
      <c r="B2802" t="inlineStr">
        <is>
          <t>recvfZrgnN7piL.jpg</t>
        </is>
      </c>
      <c r="C2802" s="2" t="str">
        <f>=HYPERLINK("https://xhslink.com/m/4Ih5LWRTgVn", "https://xhslink.com/m/4Ih5LWRTgVn")</f>
        <v>https://xhslink.com/m/4Ih5LWRTgVn</v>
      </c>
      <c r="D2802"/>
      <c r="E2802">
        <v>2936</v>
      </c>
      <c r="F2802">
        <v>6.9</v>
      </c>
      <c r="G2802"/>
      <c r="H2802">
        <v>250</v>
      </c>
      <c r="I2802"/>
      <c r="J2802"/>
      <c r="K2802" t="inlineStr">
        <is>
          <t>教学设计</t>
        </is>
      </c>
      <c r="L2802"/>
      <c r="M2802" t="inlineStr">
        <is>
          <t>暮雨潇潇不解释的店</t>
        </is>
      </c>
      <c r="N2802">
        <v>38000</v>
      </c>
      <c r="O2802">
        <v>4.28</v>
      </c>
      <c r="P2802">
        <v>44000</v>
      </c>
      <c r="Q2802" t="inlineStr">
        <is>
          <t>67b716b8fb96220001737f07</t>
        </is>
      </c>
      <c r="R2802" t="inlineStr">
        <is>
          <t>🚫重复</t>
        </is>
      </c>
      <c r="S2802" t="inlineStr">
        <is>
          <t>中小学教辅/教材</t>
        </is>
      </c>
      <c r="T2802" t="inlineStr">
        <is>
          <t>0.08</t>
        </is>
      </c>
      <c r="U2802" s="3">
        <v>46118.60591435185</v>
      </c>
      <c r="V2802"/>
      <c r="W2802" s="3">
        <v>46118</v>
      </c>
      <c r="X2802" t="inlineStr">
        <is>
          <t>04</t>
        </is>
      </c>
      <c r="Y2802" t="inlineStr">
        <is>
          <t>2026-Q2</t>
        </is>
      </c>
    </row>
    <row r="2803" ht="38.25" customHeight="1">
      <c r="A2803" t="inlineStr">
        <is>
          <t>英语教学设计模板</t>
        </is>
      </c>
      <c r="B2803" t="inlineStr">
        <is>
          <t>recvfZrgnNhfwG.jpg</t>
        </is>
      </c>
      <c r="C2803" s="2" t="str">
        <f>=HYPERLINK("https://xhslink.com/m/Aj6x1euOGLw", "https://xhslink.com/m/Aj6x1euOGLw")</f>
        <v>https://xhslink.com/m/Aj6x1euOGLw</v>
      </c>
      <c r="D2803"/>
      <c r="E2803">
        <v>1620</v>
      </c>
      <c r="F2803">
        <v>19.9</v>
      </c>
      <c r="G2803"/>
      <c r="H2803">
        <v>150</v>
      </c>
      <c r="I2803"/>
      <c r="J2803"/>
      <c r="K2803" t="inlineStr">
        <is>
          <t>教学设计</t>
        </is>
      </c>
      <c r="L2803"/>
      <c r="M2803" t="inlineStr">
        <is>
          <t>小鹿岸上见的店</t>
        </is>
      </c>
      <c r="N2803">
        <v>7603</v>
      </c>
      <c r="O2803">
        <v>4.21</v>
      </c>
      <c r="P2803">
        <v>6510</v>
      </c>
      <c r="Q2803" t="inlineStr">
        <is>
          <t>67ca45e0964845000180082b</t>
        </is>
      </c>
      <c r="R2803" t="inlineStr">
        <is>
          <t>🚫重复</t>
        </is>
      </c>
      <c r="S2803" t="inlineStr">
        <is>
          <t>中小学教辅/教材</t>
        </is>
      </c>
      <c r="T2803" t="inlineStr">
        <is>
          <t>0.21</t>
        </is>
      </c>
      <c r="U2803" s="3">
        <v>46118.60591435185</v>
      </c>
      <c r="V2803"/>
      <c r="W2803" s="3">
        <v>46118</v>
      </c>
      <c r="X2803" t="inlineStr">
        <is>
          <t>04</t>
        </is>
      </c>
      <c r="Y2803" t="inlineStr">
        <is>
          <t>2026-Q2</t>
        </is>
      </c>
    </row>
    <row r="2804" ht="38.25" customHeight="1">
      <c r="A2804" t="inlineStr">
        <is>
          <t>社团课后延时托管兴趣班教案教学设计ppt教案持续更新110种可修改</t>
        </is>
      </c>
      <c r="B2804" t="inlineStr">
        <is>
          <t>recvfZrgnNnL0S.jpg</t>
        </is>
      </c>
      <c r="C2804" s="2" t="str">
        <f>=HYPERLINK("https://xhslink.com/m/4YUdtuaueAp", "https://xhslink.com/m/4YUdtuaueAp")</f>
        <v>https://xhslink.com/m/4YUdtuaueAp</v>
      </c>
      <c r="D2804"/>
      <c r="E2804">
        <v>4834</v>
      </c>
      <c r="F2804">
        <v>15.8</v>
      </c>
      <c r="G2804"/>
      <c r="H2804">
        <v>1500</v>
      </c>
      <c r="I2804"/>
      <c r="J2804"/>
      <c r="K2804" t="inlineStr">
        <is>
          <t>教学设计</t>
        </is>
      </c>
      <c r="L2804" t="inlineStr">
        <is>
          <t>🔥低粉爆款</t>
        </is>
      </c>
      <c r="M2804" t="inlineStr">
        <is>
          <t>哎呀呀淘多多的店</t>
        </is>
      </c>
      <c r="N2804">
        <v>1386</v>
      </c>
      <c r="O2804">
        <v>4.64</v>
      </c>
      <c r="P2804">
        <v>5584</v>
      </c>
      <c r="Q2804" t="inlineStr">
        <is>
          <t>68b59a339b776a001575efe6</t>
        </is>
      </c>
      <c r="R2804" t="inlineStr">
        <is>
          <t>🚫重复</t>
        </is>
      </c>
      <c r="S2804" t="inlineStr">
        <is>
          <t>PPT模板</t>
        </is>
      </c>
      <c r="T2804" t="inlineStr">
        <is>
          <t>3.49</t>
        </is>
      </c>
      <c r="U2804" s="3">
        <v>46118.60591435185</v>
      </c>
      <c r="V2804"/>
      <c r="W2804" s="3">
        <v>46118</v>
      </c>
      <c r="X2804" t="inlineStr">
        <is>
          <t>04</t>
        </is>
      </c>
      <c r="Y2804" t="inlineStr">
        <is>
          <t>2026-Q2</t>
        </is>
      </c>
    </row>
    <row r="2805" ht="38.25" customHeight="1">
      <c r="A2805" t="inlineStr">
        <is>
          <t>《社戏》57页+拓展视频+配套教学设计11页</t>
        </is>
      </c>
      <c r="B2805" t="inlineStr">
        <is>
          <t>recvfZrgnNtXE8.jpg</t>
        </is>
      </c>
      <c r="C2805" s="2" t="str">
        <f>=HYPERLINK("https://xhslink.com/m/AwArHmTXfNV", "https://xhslink.com/m/AwArHmTXfNV")</f>
        <v>https://xhslink.com/m/AwArHmTXfNV</v>
      </c>
      <c r="D2805"/>
      <c r="E2805">
        <v>1078</v>
      </c>
      <c r="F2805">
        <v>9.8</v>
      </c>
      <c r="G2805"/>
      <c r="H2805">
        <v>800</v>
      </c>
      <c r="I2805"/>
      <c r="J2805"/>
      <c r="K2805" t="inlineStr">
        <is>
          <t>教学设计</t>
        </is>
      </c>
      <c r="L2805"/>
      <c r="M2805" t="inlineStr">
        <is>
          <t>我爱我课的店</t>
        </is>
      </c>
      <c r="N2805">
        <v>7865</v>
      </c>
      <c r="O2805">
        <v>4.6</v>
      </c>
      <c r="P2805">
        <v>33000</v>
      </c>
      <c r="Q2805" t="inlineStr">
        <is>
          <t>6996c68290d16a000120f1d2</t>
        </is>
      </c>
      <c r="R2805"/>
      <c r="S2805" t="inlineStr">
        <is>
          <t>中小学教辅/教材</t>
        </is>
      </c>
      <c r="T2805" t="inlineStr">
        <is>
          <t>0.14</t>
        </is>
      </c>
      <c r="U2805" s="3">
        <v>46118.60591435185</v>
      </c>
      <c r="V2805"/>
      <c r="W2805" s="3">
        <v>46118</v>
      </c>
      <c r="X2805" t="inlineStr">
        <is>
          <t>04</t>
        </is>
      </c>
      <c r="Y2805" t="inlineStr">
        <is>
          <t>2026-Q2</t>
        </is>
      </c>
    </row>
    <row r="2806" ht="38.25" customHeight="1">
      <c r="A2806" t="inlineStr">
        <is>
          <t>2026人教部编版小学道德与法治ppt课件教案一二三四六年级下册</t>
        </is>
      </c>
      <c r="B2806" t="inlineStr">
        <is>
          <t>recvfZrgnNaMqp.jpg</t>
        </is>
      </c>
      <c r="C2806" s="2" t="str">
        <f>=HYPERLINK("https://xhslink.com/m/uJTb0jV2YL", "https://xhslink.com/m/uJTb0jV2YL")</f>
        <v>https://xhslink.com/m/uJTb0jV2YL</v>
      </c>
      <c r="D2806"/>
      <c r="E2806">
        <v>10000</v>
      </c>
      <c r="F2806">
        <v>6.8</v>
      </c>
      <c r="G2806"/>
      <c r="H2806">
        <v>800</v>
      </c>
      <c r="I2806"/>
      <c r="J2806"/>
      <c r="K2806" t="inlineStr">
        <is>
          <t>教学设计</t>
        </is>
      </c>
      <c r="L2806"/>
      <c r="M2806" t="inlineStr">
        <is>
          <t>艺童老师（秒回秒发）的店</t>
        </is>
      </c>
      <c r="N2806">
        <v>10000</v>
      </c>
      <c r="O2806">
        <v>4.65</v>
      </c>
      <c r="P2806">
        <v>36000</v>
      </c>
      <c r="Q2806" t="inlineStr">
        <is>
          <t>66a8a4a81c4a4b000154be0d</t>
        </is>
      </c>
      <c r="R2806" t="inlineStr">
        <is>
          <t>🚫重复</t>
        </is>
      </c>
      <c r="S2806" t="inlineStr">
        <is>
          <t>中小学教辅/教材</t>
        </is>
      </c>
      <c r="T2806" t="inlineStr">
        <is>
          <t>1.00</t>
        </is>
      </c>
      <c r="U2806" s="3">
        <v>46118.60591435185</v>
      </c>
      <c r="V2806"/>
      <c r="W2806" s="3">
        <v>46118</v>
      </c>
      <c r="X2806" t="inlineStr">
        <is>
          <t>04</t>
        </is>
      </c>
      <c r="Y2806" t="inlineStr">
        <is>
          <t>2026-Q2</t>
        </is>
      </c>
    </row>
    <row r="2807" ht="38.25" customHeight="1">
      <c r="A2807" t="inlineStr">
        <is>
          <t>社团课后延时托管兴趣班教案教学设计ppt</t>
        </is>
      </c>
      <c r="B2807" t="inlineStr">
        <is>
          <t>recvg4KBPWYqkB.jpg</t>
        </is>
      </c>
      <c r="C2807" s="2" t="str">
        <f>=HYPERLINK("https://xhslink.com/m/3epdCjsszse", "https://xhslink.com/m/3epdCjsszse")</f>
        <v>https://xhslink.com/m/3epdCjsszse</v>
      </c>
      <c r="D2807"/>
      <c r="E2807">
        <v>5436</v>
      </c>
      <c r="F2807">
        <v>199</v>
      </c>
      <c r="G2807"/>
      <c r="H2807">
        <v>150</v>
      </c>
      <c r="I2807"/>
      <c r="J2807"/>
      <c r="K2807" t="inlineStr">
        <is>
          <t>教学设计</t>
        </is>
      </c>
      <c r="L2807"/>
      <c r="M2807" t="inlineStr">
        <is>
          <t>家有学渣的林老师的店</t>
        </is>
      </c>
      <c r="N2807">
        <v>7021</v>
      </c>
      <c r="O2807">
        <v>4.21</v>
      </c>
      <c r="P2807">
        <v>10000</v>
      </c>
      <c r="Q2807" t="inlineStr">
        <is>
          <t>6705445994f7580001ee598a</t>
        </is>
      </c>
      <c r="R2807"/>
      <c r="S2807" t="inlineStr">
        <is>
          <t>PPT模板</t>
        </is>
      </c>
      <c r="T2807" t="inlineStr">
        <is>
          <t>0.77</t>
        </is>
      </c>
      <c r="U2807" s="3">
        <v>46119.514398148145</v>
      </c>
      <c r="V2807"/>
      <c r="W2807" s="3">
        <v>46119</v>
      </c>
      <c r="X2807" t="inlineStr">
        <is>
          <t>04</t>
        </is>
      </c>
      <c r="Y2807" t="inlineStr">
        <is>
          <t>2026-Q2</t>
        </is>
      </c>
    </row>
    <row r="2808" ht="38.25" customHeight="1">
      <c r="A2808" t="inlineStr">
        <is>
          <t>26部编人教版小学一二三年级四五六上下册语文PPT教案优质公开课</t>
        </is>
      </c>
      <c r="B2808" t="inlineStr">
        <is>
          <t>recvg4KBPW830I.jpg</t>
        </is>
      </c>
      <c r="C2808" s="2" t="str">
        <f>=HYPERLINK("https://xhslink.com/m/2FMLN9IyLwI", "https://xhslink.com/m/2FMLN9IyLwI")</f>
        <v>https://xhslink.com/m/2FMLN9IyLwI</v>
      </c>
      <c r="D2808"/>
      <c r="E2808">
        <v>3646</v>
      </c>
      <c r="F2808">
        <v>188</v>
      </c>
      <c r="G2808"/>
      <c r="H2808">
        <v>100</v>
      </c>
      <c r="I2808"/>
      <c r="J2808"/>
      <c r="K2808" t="inlineStr">
        <is>
          <t>教学设计</t>
        </is>
      </c>
      <c r="L2808"/>
      <c r="M2808" t="inlineStr">
        <is>
          <t>大麦课堂的店</t>
        </is>
      </c>
      <c r="N2808">
        <v>3334</v>
      </c>
      <c r="O2808">
        <v>4.22</v>
      </c>
      <c r="P2808">
        <v>9093</v>
      </c>
      <c r="Q2808" t="inlineStr">
        <is>
          <t>66178b1ab557ec0001bb2428</t>
        </is>
      </c>
      <c r="R2808"/>
      <c r="S2808" t="inlineStr">
        <is>
          <t>中小学教辅/教材</t>
        </is>
      </c>
      <c r="T2808" t="inlineStr">
        <is>
          <t>1.09</t>
        </is>
      </c>
      <c r="U2808" s="3">
        <v>46119.514398148145</v>
      </c>
      <c r="V2808"/>
      <c r="W2808" s="3">
        <v>46119</v>
      </c>
      <c r="X2808" t="inlineStr">
        <is>
          <t>04</t>
        </is>
      </c>
      <c r="Y2808" t="inlineStr">
        <is>
          <t>2026-Q2</t>
        </is>
      </c>
    </row>
    <row r="2809" ht="38.25" customHeight="1">
      <c r="A2809" t="inlineStr">
        <is>
          <t>2026新北师大版小学数学一二三四五六年级上下册教学PPT课件教案</t>
        </is>
      </c>
      <c r="B2809" t="inlineStr">
        <is>
          <t>recvg4KBPWW68g.jpg</t>
        </is>
      </c>
      <c r="C2809" s="2" t="str">
        <f>=HYPERLINK("https://xhslink.com/m/6lpOF8Wormm", "https://xhslink.com/m/6lpOF8Wormm")</f>
        <v>https://xhslink.com/m/6lpOF8Wormm</v>
      </c>
      <c r="D2809"/>
      <c r="E2809">
        <v>2512</v>
      </c>
      <c r="F2809">
        <v>71.2</v>
      </c>
      <c r="G2809"/>
      <c r="H2809">
        <v>250</v>
      </c>
      <c r="I2809"/>
      <c r="J2809"/>
      <c r="K2809" t="inlineStr">
        <is>
          <t>教学设计</t>
        </is>
      </c>
      <c r="L2809"/>
      <c r="M2809" t="inlineStr">
        <is>
          <t>爱学习的小红帽的店</t>
        </is>
      </c>
      <c r="N2809">
        <v>4519</v>
      </c>
      <c r="O2809">
        <v>4.59</v>
      </c>
      <c r="P2809">
        <v>25000</v>
      </c>
      <c r="Q2809" t="inlineStr">
        <is>
          <t>67a7864ace073e00016c8aa6</t>
        </is>
      </c>
      <c r="R2809" t="inlineStr">
        <is>
          <t>🚫重复</t>
        </is>
      </c>
      <c r="S2809" t="inlineStr">
        <is>
          <t>中小学教辅/教材</t>
        </is>
      </c>
      <c r="T2809" t="inlineStr">
        <is>
          <t>0.56</t>
        </is>
      </c>
      <c r="U2809" s="3">
        <v>46119.514398148145</v>
      </c>
      <c r="V2809"/>
      <c r="W2809" s="3">
        <v>46119</v>
      </c>
      <c r="X2809" t="inlineStr">
        <is>
          <t>04</t>
        </is>
      </c>
      <c r="Y2809" t="inlineStr">
        <is>
          <t>2026-Q2</t>
        </is>
      </c>
    </row>
    <row r="2810" ht="38.25" customHeight="1">
      <c r="A2810" t="inlineStr">
        <is>
          <t>初中2026中考语文复习资料 PPT课件*（部分含教学设计、逐字稿）</t>
        </is>
      </c>
      <c r="B2810" t="inlineStr">
        <is>
          <t>recvg4KBPWSsLq.jpg</t>
        </is>
      </c>
      <c r="C2810" s="2" t="str">
        <f>=HYPERLINK("https://xhslink.com/m/5m6BeDQgnxO", "https://xhslink.com/m/5m6BeDQgnxO")</f>
        <v>https://xhslink.com/m/5m6BeDQgnxO</v>
      </c>
      <c r="D2810"/>
      <c r="E2810">
        <v>2398</v>
      </c>
      <c r="F2810">
        <v>69.9</v>
      </c>
      <c r="G2810"/>
      <c r="H2810">
        <v>150</v>
      </c>
      <c r="I2810"/>
      <c r="J2810"/>
      <c r="K2810" t="inlineStr">
        <is>
          <t>教学设计</t>
        </is>
      </c>
      <c r="L2810"/>
      <c r="M2810" t="inlineStr">
        <is>
          <t>萌小萌i的店</t>
        </is>
      </c>
      <c r="N2810">
        <v>1317</v>
      </c>
      <c r="O2810">
        <v>4.23</v>
      </c>
      <c r="P2810">
        <v>10000</v>
      </c>
      <c r="Q2810" t="inlineStr">
        <is>
          <t>67eba9e05d35ce0001aacf17</t>
        </is>
      </c>
      <c r="R2810" t="inlineStr">
        <is>
          <t>🚫重复</t>
        </is>
      </c>
      <c r="S2810" t="inlineStr">
        <is>
          <t>中小学教辅/教材</t>
        </is>
      </c>
      <c r="T2810" t="inlineStr">
        <is>
          <t>1.82</t>
        </is>
      </c>
      <c r="U2810" s="3">
        <v>46119.514398148145</v>
      </c>
      <c r="V2810"/>
      <c r="W2810" s="3">
        <v>46119</v>
      </c>
      <c r="X2810" t="inlineStr">
        <is>
          <t>04</t>
        </is>
      </c>
      <c r="Y2810" t="inlineStr">
        <is>
          <t>2026-Q2</t>
        </is>
      </c>
    </row>
    <row r="2811" ht="38.25" customHeight="1">
      <c r="A2811" t="inlineStr">
        <is>
          <t>教科版小学科学教学一二三四五六年级课件教案教学设计知识点试卷</t>
        </is>
      </c>
      <c r="B2811" t="inlineStr">
        <is>
          <t>recvg4KBPWvem2.jpg</t>
        </is>
      </c>
      <c r="C2811" s="2" t="str">
        <f>=HYPERLINK("https://xhslink.com/m/AlwBTEYZCsT", "https://xhslink.com/m/AlwBTEYZCsT")</f>
        <v>https://xhslink.com/m/AlwBTEYZCsT</v>
      </c>
      <c r="D2811"/>
      <c r="E2811">
        <v>1375</v>
      </c>
      <c r="F2811">
        <v>71.2</v>
      </c>
      <c r="G2811"/>
      <c r="H2811">
        <v>500</v>
      </c>
      <c r="I2811"/>
      <c r="J2811"/>
      <c r="K2811" t="inlineStr">
        <is>
          <t>教学设计</t>
        </is>
      </c>
      <c r="L2811"/>
      <c r="M2811" t="inlineStr">
        <is>
          <t>一本通资料的店</t>
        </is>
      </c>
      <c r="N2811">
        <v>2308</v>
      </c>
      <c r="O2811">
        <v>4.61</v>
      </c>
      <c r="P2811">
        <v>14000</v>
      </c>
      <c r="Q2811" t="inlineStr">
        <is>
          <t>67b961c57198db00010f49f4</t>
        </is>
      </c>
      <c r="R2811"/>
      <c r="S2811" t="inlineStr">
        <is>
          <t>中小学教辅/教材</t>
        </is>
      </c>
      <c r="T2811" t="inlineStr">
        <is>
          <t>0.60</t>
        </is>
      </c>
      <c r="U2811" s="3">
        <v>46119.514398148145</v>
      </c>
      <c r="V2811"/>
      <c r="W2811" s="3">
        <v>46119</v>
      </c>
      <c r="X2811" t="inlineStr">
        <is>
          <t>04</t>
        </is>
      </c>
      <c r="Y2811" t="inlineStr">
        <is>
          <t>2026-Q2</t>
        </is>
      </c>
    </row>
    <row r="2812" ht="38.25" customHeight="1">
      <c r="A2812" t="inlineStr">
        <is>
          <t>2026高中政治必修三《政治与法治》课件教学设计逐字稿</t>
        </is>
      </c>
      <c r="B2812" t="inlineStr">
        <is>
          <t>recvg4KBPWeu9w.jpg</t>
        </is>
      </c>
      <c r="C2812" s="2" t="str">
        <f>=HYPERLINK("https://xhslink.com/m/85fz0JLMKh1", "https://xhslink.com/m/85fz0JLMKh1")</f>
        <v>https://xhslink.com/m/85fz0JLMKh1</v>
      </c>
      <c r="D2812"/>
      <c r="E2812">
        <v>1159</v>
      </c>
      <c r="F2812">
        <v>119</v>
      </c>
      <c r="G2812"/>
      <c r="H2812">
        <v>550</v>
      </c>
      <c r="I2812"/>
      <c r="J2812"/>
      <c r="K2812" t="inlineStr">
        <is>
          <t>教学设计</t>
        </is>
      </c>
      <c r="L2812"/>
      <c r="M2812" t="inlineStr">
        <is>
          <t>一起学政治的店</t>
        </is>
      </c>
      <c r="N2812">
        <v>9694</v>
      </c>
      <c r="O2812">
        <v>4.41</v>
      </c>
      <c r="P2812">
        <v>20000</v>
      </c>
      <c r="Q2812" t="inlineStr">
        <is>
          <t>69637625e25fce00018b6c54</t>
        </is>
      </c>
      <c r="R2812" t="inlineStr">
        <is>
          <t>🚫重复</t>
        </is>
      </c>
      <c r="S2812" t="inlineStr">
        <is>
          <t>高中/高考资料</t>
        </is>
      </c>
      <c r="T2812" t="inlineStr">
        <is>
          <t>0.12</t>
        </is>
      </c>
      <c r="U2812" s="3">
        <v>46119.514398148145</v>
      </c>
      <c r="V2812"/>
      <c r="W2812" s="3">
        <v>46119</v>
      </c>
      <c r="X2812" t="inlineStr">
        <is>
          <t>04</t>
        </is>
      </c>
      <c r="Y2812" t="inlineStr">
        <is>
          <t>2026-Q2</t>
        </is>
      </c>
    </row>
    <row r="2813" ht="38.25" customHeight="1">
      <c r="A2813" t="inlineStr">
        <is>
          <t>2026春八年级道法新教材课时（PPT+教学设计）</t>
        </is>
      </c>
      <c r="B2813" t="inlineStr">
        <is>
          <t>recvg4KBPWsJeu.jpg</t>
        </is>
      </c>
      <c r="C2813" s="2" t="str">
        <f>=HYPERLINK("https://xhslink.com/m/2ajtVuJW5IY", "https://xhslink.com/m/2ajtVuJW5IY")</f>
        <v>https://xhslink.com/m/2ajtVuJW5IY</v>
      </c>
      <c r="D2813"/>
      <c r="E2813">
        <v>883</v>
      </c>
      <c r="F2813">
        <v>128</v>
      </c>
      <c r="G2813"/>
      <c r="H2813">
        <v>250</v>
      </c>
      <c r="I2813"/>
      <c r="J2813"/>
      <c r="K2813" t="inlineStr">
        <is>
          <t>教学设计</t>
        </is>
      </c>
      <c r="L2813"/>
      <c r="M2813" t="inlineStr">
        <is>
          <t>Lucky兔老师的店</t>
        </is>
      </c>
      <c r="N2813">
        <v>2142</v>
      </c>
      <c r="O2813">
        <v>4.57</v>
      </c>
      <c r="P2813">
        <v>17000</v>
      </c>
      <c r="Q2813" t="inlineStr">
        <is>
          <t>6964a9cc7d28460001a315cd</t>
        </is>
      </c>
      <c r="R2813" t="inlineStr">
        <is>
          <t>🚫重复</t>
        </is>
      </c>
      <c r="S2813" t="inlineStr">
        <is>
          <t>中小学教辅/教材</t>
        </is>
      </c>
      <c r="T2813" t="inlineStr">
        <is>
          <t>0.41</t>
        </is>
      </c>
      <c r="U2813" s="3">
        <v>46119.514398148145</v>
      </c>
      <c r="V2813"/>
      <c r="W2813" s="3">
        <v>46119</v>
      </c>
      <c r="X2813" t="inlineStr">
        <is>
          <t>04</t>
        </is>
      </c>
      <c r="Y2813" t="inlineStr">
        <is>
          <t>2026-Q2</t>
        </is>
      </c>
    </row>
    <row r="2814" ht="38.25" customHeight="1">
      <c r="A2814" t="inlineStr">
        <is>
          <t>江苏教苏少版小学音乐课件123456年级上下册ppt教案教学设计</t>
        </is>
      </c>
      <c r="B2814" t="inlineStr">
        <is>
          <t>recvg4KBPWeKZ3.jpg</t>
        </is>
      </c>
      <c r="C2814" s="2" t="str">
        <f>=HYPERLINK("https://xhslink.com/m/5ytTQJhTn6q", "https://xhslink.com/m/5ytTQJhTn6q")</f>
        <v>https://xhslink.com/m/5ytTQJhTn6q</v>
      </c>
      <c r="D2814"/>
      <c r="E2814">
        <v>492</v>
      </c>
      <c r="F2814">
        <v>60</v>
      </c>
      <c r="G2814"/>
      <c r="H2814">
        <v>100</v>
      </c>
      <c r="I2814"/>
      <c r="J2814"/>
      <c r="K2814" t="inlineStr">
        <is>
          <t>教学设计</t>
        </is>
      </c>
      <c r="L2814"/>
      <c r="M2814" t="inlineStr">
        <is>
          <t>悦梨老师🌸的店</t>
        </is>
      </c>
      <c r="N2814">
        <v>1643</v>
      </c>
      <c r="O2814">
        <v>4.61</v>
      </c>
      <c r="P2814">
        <v>10000</v>
      </c>
      <c r="Q2814" t="inlineStr">
        <is>
          <t>6853ae7fbd96120001e3066f</t>
        </is>
      </c>
      <c r="R2814"/>
      <c r="S2814" t="inlineStr">
        <is>
          <t>中小学教辅/教材</t>
        </is>
      </c>
      <c r="T2814" t="inlineStr">
        <is>
          <t>0.30</t>
        </is>
      </c>
      <c r="U2814" s="3">
        <v>46119.514398148145</v>
      </c>
      <c r="V2814"/>
      <c r="W2814" s="3">
        <v>46119</v>
      </c>
      <c r="X2814" t="inlineStr">
        <is>
          <t>04</t>
        </is>
      </c>
      <c r="Y2814" t="inlineStr">
        <is>
          <t>2026-Q2</t>
        </is>
      </c>
    </row>
    <row r="2815" ht="38.25" customHeight="1">
      <c r="A2815" t="inlineStr">
        <is>
          <t>自动秒发货！！三年级下册数学PPT课件+教学设计（26春季人教版）</t>
        </is>
      </c>
      <c r="B2815" t="inlineStr">
        <is>
          <t>recvg4KBPWtvi1.jpg</t>
        </is>
      </c>
      <c r="C2815" s="2" t="str">
        <f>=HYPERLINK("https://xhslink.com/m/9qsF4SttxDY", "https://xhslink.com/m/9qsF4SttxDY")</f>
        <v>https://xhslink.com/m/9qsF4SttxDY</v>
      </c>
      <c r="D2815"/>
      <c r="E2815">
        <v>511</v>
      </c>
      <c r="F2815">
        <v>69.9</v>
      </c>
      <c r="G2815"/>
      <c r="H2815">
        <v>100</v>
      </c>
      <c r="I2815"/>
      <c r="J2815"/>
      <c r="K2815" t="inlineStr">
        <is>
          <t>教学设计</t>
        </is>
      </c>
      <c r="L2815"/>
      <c r="M2815" t="inlineStr">
        <is>
          <t>官余课件素材的店</t>
        </is>
      </c>
      <c r="N2815">
        <v>1319</v>
      </c>
      <c r="O2815">
        <v>4.52</v>
      </c>
      <c r="P2815">
        <v>13000</v>
      </c>
      <c r="Q2815" t="inlineStr">
        <is>
          <t>6972689c8dc4b30001b2b9f1</t>
        </is>
      </c>
      <c r="R2815" t="inlineStr">
        <is>
          <t>🚫重复</t>
        </is>
      </c>
      <c r="S2815" t="inlineStr">
        <is>
          <t>中小学教辅/教材</t>
        </is>
      </c>
      <c r="T2815" t="inlineStr">
        <is>
          <t>0.39</t>
        </is>
      </c>
      <c r="U2815" s="3">
        <v>46119.514398148145</v>
      </c>
      <c r="V2815"/>
      <c r="W2815" s="3">
        <v>46119</v>
      </c>
      <c r="X2815" t="inlineStr">
        <is>
          <t>04</t>
        </is>
      </c>
      <c r="Y2815" t="inlineStr">
        <is>
          <t>2026-Q2</t>
        </is>
      </c>
    </row>
    <row r="2816" ht="38.25" customHeight="1">
      <c r="A2816" t="inlineStr">
        <is>
          <t>【2026春】教学评一致下册 大单元任务群整体教学设计（无课件）</t>
        </is>
      </c>
      <c r="B2816" t="inlineStr">
        <is>
          <t>recvg4KBPWcPFl.jpg</t>
        </is>
      </c>
      <c r="C2816" s="2" t="str">
        <f>=HYPERLINK("https://xhslink.com/m/3Nj9eSJtZne", "https://xhslink.com/m/3Nj9eSJtZne")</f>
        <v>https://xhslink.com/m/3Nj9eSJtZne</v>
      </c>
      <c r="D2816"/>
      <c r="E2816">
        <v>455</v>
      </c>
      <c r="F2816">
        <v>68.99</v>
      </c>
      <c r="G2816"/>
      <c r="H2816">
        <v>200</v>
      </c>
      <c r="I2816"/>
      <c r="J2816"/>
      <c r="K2816" t="inlineStr">
        <is>
          <t>教学设计</t>
        </is>
      </c>
      <c r="L2816"/>
      <c r="M2816" t="inlineStr">
        <is>
          <t>Charih-s的店</t>
        </is>
      </c>
      <c r="N2816">
        <v>6309</v>
      </c>
      <c r="O2816">
        <v>4.26</v>
      </c>
      <c r="P2816">
        <v>13000</v>
      </c>
      <c r="Q2816" t="inlineStr">
        <is>
          <t>695347577cad4e0001d4aa30</t>
        </is>
      </c>
      <c r="R2816"/>
      <c r="S2816" t="inlineStr">
        <is>
          <t>中小学教辅/教材</t>
        </is>
      </c>
      <c r="T2816" t="inlineStr">
        <is>
          <t>0.07</t>
        </is>
      </c>
      <c r="U2816" s="3">
        <v>46119.514398148145</v>
      </c>
      <c r="V2816"/>
      <c r="W2816" s="3">
        <v>46119</v>
      </c>
      <c r="X2816" t="inlineStr">
        <is>
          <t>04</t>
        </is>
      </c>
      <c r="Y2816" t="inlineStr">
        <is>
          <t>2026-Q2</t>
        </is>
      </c>
    </row>
    <row r="2817" ht="38.25" customHeight="1">
      <c r="A2817" t="inlineStr">
        <is>
          <t>新人教版三年级下册美术课件ppt+教案</t>
        </is>
      </c>
      <c r="B2817" t="inlineStr">
        <is>
          <t>recvg4KBPW8hLF.jpg</t>
        </is>
      </c>
      <c r="C2817" s="2" t="str">
        <f>=HYPERLINK("https://xhslink.com/m/4ewAKHTVpT0", "https://xhslink.com/m/4ewAKHTVpT0")</f>
        <v>https://xhslink.com/m/4ewAKHTVpT0</v>
      </c>
      <c r="D2817"/>
      <c r="E2817">
        <v>424</v>
      </c>
      <c r="F2817">
        <v>95</v>
      </c>
      <c r="G2817"/>
      <c r="H2817">
        <v>150</v>
      </c>
      <c r="I2817"/>
      <c r="J2817"/>
      <c r="K2817" t="inlineStr">
        <is>
          <t>教学设计</t>
        </is>
      </c>
      <c r="L2817"/>
      <c r="M2817" t="inlineStr">
        <is>
          <t>小鱼老师要努力的店</t>
        </is>
      </c>
      <c r="N2817">
        <v>1548</v>
      </c>
      <c r="O2817">
        <v>4.23</v>
      </c>
      <c r="P2817">
        <v>3620</v>
      </c>
      <c r="Q2817" t="inlineStr">
        <is>
          <t>69a1a47083f25d00015f71de</t>
        </is>
      </c>
      <c r="R2817" t="inlineStr">
        <is>
          <t>🚫重复</t>
        </is>
      </c>
      <c r="S2817" t="inlineStr">
        <is>
          <t>PPT模板</t>
        </is>
      </c>
      <c r="T2817" t="inlineStr">
        <is>
          <t>0.27</t>
        </is>
      </c>
      <c r="U2817" s="3">
        <v>46119.514398148145</v>
      </c>
      <c r="V2817"/>
      <c r="W2817" s="3">
        <v>46119</v>
      </c>
      <c r="X2817" t="inlineStr">
        <is>
          <t>04</t>
        </is>
      </c>
      <c r="Y2817" t="inlineStr">
        <is>
          <t>2026-Q2</t>
        </is>
      </c>
    </row>
    <row r="2818" ht="38.25" customHeight="1">
      <c r="A2818" t="inlineStr">
        <is>
          <t>英语新版四下和八下大单元设计和教案</t>
        </is>
      </c>
      <c r="B2818" t="inlineStr">
        <is>
          <t>recvg4KBPWfP9E.jpg</t>
        </is>
      </c>
      <c r="C2818" s="2" t="str">
        <f>=HYPERLINK("https://xhslink.com/m/8l6pBIryUDx", "https://xhslink.com/m/8l6pBIryUDx")</f>
        <v>https://xhslink.com/m/8l6pBIryUDx</v>
      </c>
      <c r="D2818"/>
      <c r="E2818">
        <v>340</v>
      </c>
      <c r="F2818">
        <v>70</v>
      </c>
      <c r="G2818"/>
      <c r="H2818">
        <v>150</v>
      </c>
      <c r="I2818"/>
      <c r="J2818"/>
      <c r="K2818" t="inlineStr">
        <is>
          <t>教学设计</t>
        </is>
      </c>
      <c r="L2818"/>
      <c r="M2818" t="inlineStr">
        <is>
          <t>Julie的教案是原创的店</t>
        </is>
      </c>
      <c r="N2818">
        <v>5359</v>
      </c>
      <c r="O2818">
        <v>4.05</v>
      </c>
      <c r="P2818">
        <v>1328</v>
      </c>
      <c r="Q2818" t="inlineStr">
        <is>
          <t>697a26628a6b8a000104d94c</t>
        </is>
      </c>
      <c r="R2818"/>
      <c r="S2818" t="inlineStr">
        <is>
          <t>中小学教辅/教材</t>
        </is>
      </c>
      <c r="T2818" t="inlineStr">
        <is>
          <t>0.06</t>
        </is>
      </c>
      <c r="U2818" s="3">
        <v>46119.514398148145</v>
      </c>
      <c r="V2818"/>
      <c r="W2818" s="3">
        <v>46119</v>
      </c>
      <c r="X2818" t="inlineStr">
        <is>
          <t>04</t>
        </is>
      </c>
      <c r="Y2818" t="inlineStr">
        <is>
          <t>2026-Q2</t>
        </is>
      </c>
    </row>
    <row r="2819" ht="38.25" customHeight="1">
      <c r="A2819" t="inlineStr">
        <is>
          <t>书法开学第一课69页书法公开课含教学设计含逐字稿</t>
        </is>
      </c>
      <c r="B2819" t="inlineStr">
        <is>
          <t>recvg4KBPWAulb.jpg</t>
        </is>
      </c>
      <c r="C2819" s="2" t="str">
        <f>=HYPERLINK("https://xhslink.com/m/1gQYIgPxsYE", "https://xhslink.com/m/1gQYIgPxsYE")</f>
        <v>https://xhslink.com/m/1gQYIgPxsYE</v>
      </c>
      <c r="D2819"/>
      <c r="E2819">
        <v>332</v>
      </c>
      <c r="F2819">
        <v>99.9</v>
      </c>
      <c r="G2819"/>
      <c r="H2819">
        <v>250</v>
      </c>
      <c r="I2819"/>
      <c r="J2819"/>
      <c r="K2819" t="inlineStr">
        <is>
          <t>教学设计</t>
        </is>
      </c>
      <c r="L2819"/>
      <c r="M2819" t="inlineStr">
        <is>
          <t>一 川 美 素的店</t>
        </is>
      </c>
      <c r="N2819">
        <v>2654</v>
      </c>
      <c r="O2819">
        <v>4.36</v>
      </c>
      <c r="P2819">
        <v>8051</v>
      </c>
      <c r="Q2819" t="inlineStr">
        <is>
          <t>699d85f334470f0001d0385c</t>
        </is>
      </c>
      <c r="R2819"/>
      <c r="S2819" t="inlineStr">
        <is>
          <t>老师资料</t>
        </is>
      </c>
      <c r="T2819" t="inlineStr">
        <is>
          <t>0.13</t>
        </is>
      </c>
      <c r="U2819" s="3">
        <v>46119.514398148145</v>
      </c>
      <c r="V2819"/>
      <c r="W2819" s="3">
        <v>46119</v>
      </c>
      <c r="X2819" t="inlineStr">
        <is>
          <t>04</t>
        </is>
      </c>
      <c r="Y2819" t="inlineStr">
        <is>
          <t>2026-Q2</t>
        </is>
      </c>
    </row>
    <row r="2820" ht="38.25" customHeight="1">
      <c r="A2820" t="inlineStr">
        <is>
          <t>社团课后延时托管兴趣班教案教学设计ppt教案持续更新110种可修改</t>
        </is>
      </c>
      <c r="B2820" t="inlineStr">
        <is>
          <t>recvg4KBPWseQN.jpg</t>
        </is>
      </c>
      <c r="C2820" s="2" t="str">
        <f>=HYPERLINK("https://xhslink.com/m/9xJMyR8RS6U", "https://xhslink.com/m/9xJMyR8RS6U")</f>
        <v>https://xhslink.com/m/9xJMyR8RS6U</v>
      </c>
      <c r="D2820"/>
      <c r="E2820">
        <v>4848</v>
      </c>
      <c r="F2820">
        <v>39.8</v>
      </c>
      <c r="G2820"/>
      <c r="H2820">
        <v>1500</v>
      </c>
      <c r="I2820"/>
      <c r="J2820"/>
      <c r="K2820" t="inlineStr">
        <is>
          <t>兴趣班</t>
        </is>
      </c>
      <c r="L2820" t="inlineStr">
        <is>
          <t>🔥低粉爆款</t>
        </is>
      </c>
      <c r="M2820" t="inlineStr">
        <is>
          <t>哎呀呀淘多多的店</t>
        </is>
      </c>
      <c r="N2820">
        <v>1387</v>
      </c>
      <c r="O2820">
        <v>4.64</v>
      </c>
      <c r="P2820">
        <v>5593</v>
      </c>
      <c r="Q2820" t="inlineStr">
        <is>
          <t>68b59a339b776a001575efe2</t>
        </is>
      </c>
      <c r="R2820" t="inlineStr">
        <is>
          <t>🚫重复</t>
        </is>
      </c>
      <c r="S2820" t="inlineStr">
        <is>
          <t>PPT模板</t>
        </is>
      </c>
      <c r="T2820" t="inlineStr">
        <is>
          <t>3.50</t>
        </is>
      </c>
      <c r="U2820" s="3">
        <v>46119.514398148145</v>
      </c>
      <c r="V2820"/>
      <c r="W2820" s="3">
        <v>46119</v>
      </c>
      <c r="X2820" t="inlineStr">
        <is>
          <t>04</t>
        </is>
      </c>
      <c r="Y2820" t="inlineStr">
        <is>
          <t>2026-Q2</t>
        </is>
      </c>
    </row>
    <row r="2821" ht="38.25" customHeight="1">
      <c r="A2821" t="inlineStr">
        <is>
          <t>班级打卡养宠物/教师端网页版/家长可自用原创教辅AI工具</t>
        </is>
      </c>
      <c r="B2821" t="inlineStr">
        <is>
          <t>recvg4KBPWhNMc.jpg</t>
        </is>
      </c>
      <c r="C2821" s="2" t="str">
        <f>=HYPERLINK("https://xhslink.com/m/1JqJcGN1fo0", "https://xhslink.com/m/1JqJcGN1fo0")</f>
        <v>https://xhslink.com/m/1JqJcGN1fo0</v>
      </c>
      <c r="D2821"/>
      <c r="E2821">
        <v>2311</v>
      </c>
      <c r="F2821">
        <v>9.9</v>
      </c>
      <c r="G2821"/>
      <c r="H2821">
        <v>150</v>
      </c>
      <c r="I2821"/>
      <c r="J2821"/>
      <c r="K2821" t="inlineStr">
        <is>
          <t>AI工具</t>
        </is>
      </c>
      <c r="L2821" t="inlineStr">
        <is>
          <t>🔥低粉爆款</t>
        </is>
      </c>
      <c r="M2821" t="inlineStr">
        <is>
          <t>晓阳老师资料库的店</t>
        </is>
      </c>
      <c r="N2821">
        <v>304</v>
      </c>
      <c r="O2821">
        <v>4.27</v>
      </c>
      <c r="P2821">
        <v>2340</v>
      </c>
      <c r="Q2821" t="inlineStr">
        <is>
          <t>69731321b828e400018f207b</t>
        </is>
      </c>
      <c r="R2821"/>
      <c r="S2821" t="inlineStr">
        <is>
          <t>老师资料</t>
        </is>
      </c>
      <c r="T2821" t="inlineStr">
        <is>
          <t>7.60</t>
        </is>
      </c>
      <c r="U2821" s="3">
        <v>46119.514398148145</v>
      </c>
      <c r="V2821"/>
      <c r="W2821" s="3">
        <v>46119</v>
      </c>
      <c r="X2821" t="inlineStr">
        <is>
          <t>04</t>
        </is>
      </c>
      <c r="Y2821" t="inlineStr">
        <is>
          <t>2026-Q2</t>
        </is>
      </c>
    </row>
    <row r="2822" ht="38.25" customHeight="1">
      <c r="A2822" t="inlineStr">
        <is>
          <t>极简logo站姐风ins水印（送一个小装饰请备注要什么元素哦）</t>
        </is>
      </c>
      <c r="B2822" t="inlineStr">
        <is>
          <t>recvg4KBPWClVi.jpg</t>
        </is>
      </c>
      <c r="C2822" s="2" t="str">
        <f>=HYPERLINK("https://xhslink.com/m/6u1AAjFqH4n", "https://xhslink.com/m/6u1AAjFqH4n")</f>
        <v>https://xhslink.com/m/6u1AAjFqH4n</v>
      </c>
      <c r="D2822"/>
      <c r="E2822">
        <v>324</v>
      </c>
      <c r="F2822">
        <v>12</v>
      </c>
      <c r="G2822"/>
      <c r="H2822">
        <v>100</v>
      </c>
      <c r="I2822"/>
      <c r="J2822"/>
      <c r="K2822" t="inlineStr">
        <is>
          <t>LOGO设计素材</t>
        </is>
      </c>
      <c r="L2822"/>
      <c r="M2822" t="inlineStr">
        <is>
          <t>침어的店</t>
        </is>
      </c>
      <c r="N2822">
        <v>1573</v>
      </c>
      <c r="O2822">
        <v>4.59</v>
      </c>
      <c r="P2822">
        <v>5776</v>
      </c>
      <c r="Q2822" t="inlineStr">
        <is>
          <t>695bb4814e15d60001cced36</t>
        </is>
      </c>
      <c r="R2822"/>
      <c r="S2822" t="inlineStr">
        <is>
          <t>设计素材</t>
        </is>
      </c>
      <c r="T2822" t="inlineStr">
        <is>
          <t>0.21</t>
        </is>
      </c>
      <c r="U2822" s="3">
        <v>46119.514398148145</v>
      </c>
      <c r="V2822"/>
      <c r="W2822" s="3">
        <v>46119</v>
      </c>
      <c r="X2822" t="inlineStr">
        <is>
          <t>04</t>
        </is>
      </c>
      <c r="Y2822" t="inlineStr">
        <is>
          <t>2026-Q2</t>
        </is>
      </c>
    </row>
    <row r="2823" ht="38.25" customHeight="1">
      <c r="A2823" t="inlineStr">
        <is>
          <t>雅思写作冲7分速成模板+高分语料库  （预售，后涨价为299）</t>
        </is>
      </c>
      <c r="B2823" t="inlineStr">
        <is>
          <t>recvg4KBPWhn7D.jpg</t>
        </is>
      </c>
      <c r="C2823" s="2" t="str">
        <f>=HYPERLINK("https://xhslink.com/m/9MJIqsmP9qQ", "https://xhslink.com/m/9MJIqsmP9qQ")</f>
        <v>https://xhslink.com/m/9MJIqsmP9qQ</v>
      </c>
      <c r="D2823"/>
      <c r="E2823">
        <v>4988</v>
      </c>
      <c r="F2823">
        <v>1799</v>
      </c>
      <c r="G2823"/>
      <c r="H2823">
        <v>400</v>
      </c>
      <c r="I2823">
        <v>1000</v>
      </c>
      <c r="J2823"/>
      <c r="K2823" t="inlineStr">
        <is>
          <t>雅思口语高分模板</t>
        </is>
      </c>
      <c r="L2823"/>
      <c r="M2823" t="inlineStr">
        <is>
          <t>Claire澳洲学姐（雅思口语9分）的店</t>
        </is>
      </c>
      <c r="N2823">
        <v>46000</v>
      </c>
      <c r="O2823">
        <v>4.58</v>
      </c>
      <c r="P2823">
        <v>24000</v>
      </c>
      <c r="Q2823" t="inlineStr">
        <is>
          <t>69ba79b2ff00dc000139de13</t>
        </is>
      </c>
      <c r="R2823" t="inlineStr">
        <is>
          <t>🚫重复</t>
        </is>
      </c>
      <c r="S2823" t="inlineStr">
        <is>
          <t>英语资料</t>
        </is>
      </c>
      <c r="T2823" t="inlineStr">
        <is>
          <t>0.11</t>
        </is>
      </c>
      <c r="U2823" s="3">
        <v>46119.514398148145</v>
      </c>
      <c r="V2823"/>
      <c r="W2823" s="3">
        <v>46119</v>
      </c>
      <c r="X2823" t="inlineStr">
        <is>
          <t>04</t>
        </is>
      </c>
      <c r="Y2823" t="inlineStr">
        <is>
          <t>2026-Q2</t>
        </is>
      </c>
    </row>
    <row r="2824" ht="38.25" customHeight="1">
      <c r="A2824" t="inlineStr">
        <is>
          <t>定制手机桌面头像卡通小鼻嘎（拍前请务必阅读商品详情）</t>
        </is>
      </c>
      <c r="B2824" t="inlineStr">
        <is>
          <t>recvg4KBPWFQxQ.jpg</t>
        </is>
      </c>
      <c r="C2824" s="2" t="str">
        <f>=HYPERLINK("https://xhslink.com/m/8XMMJ9hdlrF", "https://xhslink.com/m/8XMMJ9hdlrF")</f>
        <v>https://xhslink.com/m/8XMMJ9hdlrF</v>
      </c>
      <c r="D2824"/>
      <c r="E2824">
        <v>1376</v>
      </c>
      <c r="F2824">
        <v>36.99</v>
      </c>
      <c r="G2824"/>
      <c r="H2824">
        <v>100</v>
      </c>
      <c r="I2824"/>
      <c r="J2824"/>
      <c r="K2824" t="inlineStr">
        <is>
          <t>头像壁纸</t>
        </is>
      </c>
      <c r="L2824"/>
      <c r="M2824" t="inlineStr">
        <is>
          <t>果果（画小鼻嘎版）的店</t>
        </is>
      </c>
      <c r="N2824">
        <v>1209</v>
      </c>
      <c r="O2824">
        <v>4.5</v>
      </c>
      <c r="P2824">
        <v>1873</v>
      </c>
      <c r="Q2824" t="inlineStr">
        <is>
          <t>68c5687d24f1f80001173d39</t>
        </is>
      </c>
      <c r="R2824"/>
      <c r="S2824" t="inlineStr">
        <is>
          <t>头像壁纸</t>
        </is>
      </c>
      <c r="T2824" t="inlineStr">
        <is>
          <t>1.14</t>
        </is>
      </c>
      <c r="U2824" s="3">
        <v>46119.514398148145</v>
      </c>
      <c r="V2824"/>
      <c r="W2824" s="3">
        <v>46119</v>
      </c>
      <c r="X2824" t="inlineStr">
        <is>
          <t>04</t>
        </is>
      </c>
      <c r="Y2824" t="inlineStr">
        <is>
          <t>2026-Q2</t>
        </is>
      </c>
    </row>
    <row r="2825" ht="38.25" customHeight="1">
      <c r="A2825" t="inlineStr">
        <is>
          <t>戴着小马头套的kitty和小熊丨情侣头像丨高清原图丨78</t>
        </is>
      </c>
      <c r="B2825" t="inlineStr">
        <is>
          <t>recvg4KBPWsddM.jpg</t>
        </is>
      </c>
      <c r="C2825" s="2" t="str">
        <f>=HYPERLINK("https://xhslink.com/m/8pzhcLM1VFR", "https://xhslink.com/m/8pzhcLM1VFR")</f>
        <v>https://xhslink.com/m/8pzhcLM1VFR</v>
      </c>
      <c r="D2825"/>
      <c r="E2825">
        <v>797</v>
      </c>
      <c r="F2825">
        <v>49.9</v>
      </c>
      <c r="G2825"/>
      <c r="H2825">
        <v>400</v>
      </c>
      <c r="I2825"/>
      <c r="J2825"/>
      <c r="K2825" t="inlineStr">
        <is>
          <t>头像壁纸</t>
        </is>
      </c>
      <c r="L2825"/>
      <c r="M2825" t="inlineStr">
        <is>
          <t>Mindfulnessmessage的店</t>
        </is>
      </c>
      <c r="N2825">
        <v>7323</v>
      </c>
      <c r="O2825">
        <v>4.58</v>
      </c>
      <c r="P2825">
        <v>10000</v>
      </c>
      <c r="Q2825" t="inlineStr">
        <is>
          <t>695a57ccac83a200011b10a9</t>
        </is>
      </c>
      <c r="R2825" t="inlineStr">
        <is>
          <t>🚫重复</t>
        </is>
      </c>
      <c r="S2825" t="inlineStr">
        <is>
          <t>头像壁纸</t>
        </is>
      </c>
      <c r="T2825" t="inlineStr">
        <is>
          <t>0.11</t>
        </is>
      </c>
      <c r="U2825" s="3">
        <v>46119.514398148145</v>
      </c>
      <c r="V2825"/>
      <c r="W2825" s="3">
        <v>46119</v>
      </c>
      <c r="X2825" t="inlineStr">
        <is>
          <t>04</t>
        </is>
      </c>
      <c r="Y2825" t="inlineStr">
        <is>
          <t>2026-Q2</t>
        </is>
      </c>
    </row>
    <row r="2826" ht="38.25" customHeight="1">
      <c r="A2826" t="inlineStr">
        <is>
          <t>浪漫餐厅   体力  钻石  宝箱  头像 壁纸</t>
        </is>
      </c>
      <c r="B2826" t="inlineStr">
        <is>
          <t>recvg4KBPWe0SC.jpg</t>
        </is>
      </c>
      <c r="C2826" s="2" t="str">
        <f>=HYPERLINK("https://xhslink.com/m/4A5RNAoDHXC", "https://xhslink.com/m/4A5RNAoDHXC")</f>
        <v>https://xhslink.com/m/4A5RNAoDHXC</v>
      </c>
      <c r="D2826"/>
      <c r="E2826">
        <v>666</v>
      </c>
      <c r="F2826">
        <v>160</v>
      </c>
      <c r="G2826"/>
      <c r="H2826">
        <v>100</v>
      </c>
      <c r="I2826"/>
      <c r="J2826"/>
      <c r="K2826" t="inlineStr">
        <is>
          <t>头像壁纸</t>
        </is>
      </c>
      <c r="L2826" t="inlineStr">
        <is>
          <t>🔥低粉爆款</t>
        </is>
      </c>
      <c r="M2826" t="inlineStr">
        <is>
          <t>七久久的店</t>
        </is>
      </c>
      <c r="N2826">
        <v>82</v>
      </c>
      <c r="O2826">
        <v>4.68</v>
      </c>
      <c r="P2826">
        <v>7810</v>
      </c>
      <c r="Q2826" t="inlineStr">
        <is>
          <t>69c23aad180bf40001870d03</t>
        </is>
      </c>
      <c r="R2826"/>
      <c r="S2826" t="inlineStr">
        <is>
          <t>头像壁纸</t>
        </is>
      </c>
      <c r="T2826" t="inlineStr">
        <is>
          <t>8.12</t>
        </is>
      </c>
      <c r="U2826" s="3">
        <v>46119.514398148145</v>
      </c>
      <c r="V2826"/>
      <c r="W2826" s="3">
        <v>46119</v>
      </c>
      <c r="X2826" t="inlineStr">
        <is>
          <t>04</t>
        </is>
      </c>
      <c r="Y2826" t="inlineStr">
        <is>
          <t>2026-Q2</t>
        </is>
      </c>
    </row>
    <row r="2827" ht="38.25" customHeight="1">
      <c r="A2827" t="inlineStr">
        <is>
          <t>PS 全套多功能磨皮修图插件人像修图磨皮滤镜Mac/win插件</t>
        </is>
      </c>
      <c r="B2827" t="inlineStr">
        <is>
          <t>recvg4KBPW59o6.jpg</t>
        </is>
      </c>
      <c r="C2827" s="2" t="str">
        <f>=HYPERLINK("https://xhslink.com/m/AGsHznyZDrq", "https://xhslink.com/m/AGsHznyZDrq")</f>
        <v>https://xhslink.com/m/AGsHznyZDrq</v>
      </c>
      <c r="D2827"/>
      <c r="E2827">
        <v>877</v>
      </c>
      <c r="F2827">
        <v>15.9</v>
      </c>
      <c r="G2827"/>
      <c r="H2827">
        <v>200</v>
      </c>
      <c r="I2827"/>
      <c r="J2827"/>
      <c r="K2827" t="inlineStr">
        <is>
          <t>修图服务</t>
        </is>
      </c>
      <c r="L2827"/>
      <c r="M2827" t="inlineStr">
        <is>
          <t>设计效率提升的店</t>
        </is>
      </c>
      <c r="N2827">
        <v>2376</v>
      </c>
      <c r="O2827">
        <v>4.62</v>
      </c>
      <c r="P2827">
        <v>5574</v>
      </c>
      <c r="Q2827" t="inlineStr">
        <is>
          <t>693cdb1033f9b30001897f8b</t>
        </is>
      </c>
      <c r="R2827"/>
      <c r="S2827" t="inlineStr">
        <is>
          <t>设计素材</t>
        </is>
      </c>
      <c r="T2827" t="inlineStr">
        <is>
          <t>0.37</t>
        </is>
      </c>
      <c r="U2827" s="3">
        <v>46119.514398148145</v>
      </c>
      <c r="V2827"/>
      <c r="W2827" s="3">
        <v>46119</v>
      </c>
      <c r="X2827" t="inlineStr">
        <is>
          <t>04</t>
        </is>
      </c>
      <c r="Y2827" t="inlineStr">
        <is>
          <t>2026-Q2</t>
        </is>
      </c>
    </row>
    <row r="2828" ht="38.25" customHeight="1">
      <c r="A2828" t="inlineStr">
        <is>
          <t>【蒋军晶老师新书 3-6年级】超级作文本</t>
        </is>
      </c>
      <c r="B2828" t="inlineStr">
        <is>
          <t>recvg4KBPWv0xD.jpg</t>
        </is>
      </c>
      <c r="C2828" s="2" t="str">
        <f>=HYPERLINK("https://xhslink.com/m/AIVN4j5mADR", "https://xhslink.com/m/AIVN4j5mADR")</f>
        <v>https://xhslink.com/m/AIVN4j5mADR</v>
      </c>
      <c r="D2828"/>
      <c r="E2828">
        <v>42000</v>
      </c>
      <c r="F2828">
        <v>209</v>
      </c>
      <c r="G2828"/>
      <c r="H2828">
        <v>6500</v>
      </c>
      <c r="I2828"/>
      <c r="J2828"/>
      <c r="K2828" t="inlineStr">
        <is>
          <t>资料</t>
        </is>
      </c>
      <c r="L2828" t="inlineStr">
        <is>
          <t>🔥低粉爆款</t>
        </is>
      </c>
      <c r="M2828" t="inlineStr">
        <is>
          <t>仁意文化的店</t>
        </is>
      </c>
      <c r="N2828">
        <v>13000</v>
      </c>
      <c r="O2828">
        <v>4.6</v>
      </c>
      <c r="P2828">
        <v>592000</v>
      </c>
      <c r="Q2828" t="inlineStr">
        <is>
          <t>66acdc6342e3e90001343710</t>
        </is>
      </c>
      <c r="R2828" t="inlineStr">
        <is>
          <t>🚫重复</t>
        </is>
      </c>
      <c r="S2828" t="inlineStr">
        <is>
          <t>中小学教辅/教材</t>
        </is>
      </c>
      <c r="T2828" t="inlineStr">
        <is>
          <t>3.23</t>
        </is>
      </c>
      <c r="U2828" s="3">
        <v>46119.514398148145</v>
      </c>
      <c r="V2828"/>
      <c r="W2828" s="3">
        <v>46119</v>
      </c>
      <c r="X2828" t="inlineStr">
        <is>
          <t>04</t>
        </is>
      </c>
      <c r="Y2828" t="inlineStr">
        <is>
          <t>2026-Q2</t>
        </is>
      </c>
    </row>
    <row r="2829" ht="38.25" customHeight="1">
      <c r="A2829" t="inlineStr">
        <is>
          <t>一本 · 【小四门大盘点】2026生地道历基础知识速记背诵全国通用CZ</t>
        </is>
      </c>
      <c r="B2829" t="inlineStr">
        <is>
          <t>recvg4KBPWUN8k.jpg</t>
        </is>
      </c>
      <c r="C2829" s="2" t="str">
        <f>=HYPERLINK("https://xhslink.com/m/8wHJfYQs5hr", "https://xhslink.com/m/8wHJfYQs5hr")</f>
        <v>https://xhslink.com/m/8wHJfYQs5hr</v>
      </c>
      <c r="D2829"/>
      <c r="E2829">
        <v>26000</v>
      </c>
      <c r="F2829">
        <v>158.4</v>
      </c>
      <c r="G2829"/>
      <c r="H2829">
        <v>150</v>
      </c>
      <c r="I2829"/>
      <c r="J2829"/>
      <c r="K2829" t="inlineStr">
        <is>
          <t>资料</t>
        </is>
      </c>
      <c r="L2829"/>
      <c r="M2829" t="inlineStr">
        <is>
          <t>一本旗舰店</t>
        </is>
      </c>
      <c r="N2829">
        <v>71000</v>
      </c>
      <c r="O2829">
        <v>4.53</v>
      </c>
      <c r="P2829">
        <v>264000</v>
      </c>
      <c r="Q2829" t="inlineStr">
        <is>
          <t>6507c7f69f75c30001c91a44</t>
        </is>
      </c>
      <c r="R2829" t="inlineStr">
        <is>
          <t>🚫重复</t>
        </is>
      </c>
      <c r="S2829" t="inlineStr">
        <is>
          <t>中小学教辅/教材</t>
        </is>
      </c>
      <c r="T2829" t="inlineStr">
        <is>
          <t>0.37</t>
        </is>
      </c>
      <c r="U2829" s="3">
        <v>46119.514398148145</v>
      </c>
      <c r="V2829"/>
      <c r="W2829" s="3">
        <v>46119</v>
      </c>
      <c r="X2829" t="inlineStr">
        <is>
          <t>04</t>
        </is>
      </c>
      <c r="Y2829" t="inlineStr">
        <is>
          <t>2026-Q2</t>
        </is>
      </c>
    </row>
    <row r="2830" ht="38.25" customHeight="1">
      <c r="A2830" t="inlineStr">
        <is>
          <t>结构化面试话术素材开挂手册电子版知识服务</t>
        </is>
      </c>
      <c r="B2830" t="inlineStr">
        <is>
          <t>recvg4KBPWkzZN.jpg</t>
        </is>
      </c>
      <c r="C2830" s="2" t="str">
        <f>=HYPERLINK("https://xhslink.com/m/Aw3lvJn5UD8", "https://xhslink.com/m/Aw3lvJn5UD8")</f>
        <v>https://xhslink.com/m/Aw3lvJn5UD8</v>
      </c>
      <c r="D2830"/>
      <c r="E2830">
        <v>25000</v>
      </c>
      <c r="F2830">
        <v>75.9</v>
      </c>
      <c r="G2830"/>
      <c r="H2830">
        <v>400</v>
      </c>
      <c r="I2830"/>
      <c r="J2830"/>
      <c r="K2830" t="inlineStr">
        <is>
          <t>资料</t>
        </is>
      </c>
      <c r="L2830"/>
      <c r="M2830" t="inlineStr">
        <is>
          <t>公考蔡文姬的店</t>
        </is>
      </c>
      <c r="N2830">
        <v>15000</v>
      </c>
      <c r="O2830">
        <v>4.5</v>
      </c>
      <c r="P2830">
        <v>49000</v>
      </c>
      <c r="Q2830" t="inlineStr">
        <is>
          <t>680087352a334f0001d432bd</t>
        </is>
      </c>
      <c r="R2830" t="inlineStr">
        <is>
          <t>🚫重复</t>
        </is>
      </c>
      <c r="S2830" t="inlineStr">
        <is>
          <t>求职面试/职场</t>
        </is>
      </c>
      <c r="T2830" t="inlineStr">
        <is>
          <t>1.67</t>
        </is>
      </c>
      <c r="U2830" s="3">
        <v>46119.514398148145</v>
      </c>
      <c r="V2830"/>
      <c r="W2830" s="3">
        <v>46119</v>
      </c>
      <c r="X2830" t="inlineStr">
        <is>
          <t>04</t>
        </is>
      </c>
      <c r="Y2830" t="inlineStr">
        <is>
          <t>2026-Q2</t>
        </is>
      </c>
    </row>
    <row r="2831" ht="38.25" customHeight="1">
      <c r="A2831" t="inlineStr">
        <is>
          <t>26年1-4月原创雅思囗语素材p1+p2+p3（接地气生活化素材）</t>
        </is>
      </c>
      <c r="B2831" t="inlineStr">
        <is>
          <t>recvg4KBPWvO6a.jpg</t>
        </is>
      </c>
      <c r="C2831" s="2" t="str">
        <f>=HYPERLINK("https://xhslink.com/m/9xarJEfoPY9", "https://xhslink.com/m/9xarJEfoPY9")</f>
        <v>https://xhslink.com/m/9xarJEfoPY9</v>
      </c>
      <c r="D2831"/>
      <c r="E2831">
        <v>22000</v>
      </c>
      <c r="F2831">
        <v>79</v>
      </c>
      <c r="G2831"/>
      <c r="H2831">
        <v>700</v>
      </c>
      <c r="I2831"/>
      <c r="J2831"/>
      <c r="K2831" t="inlineStr">
        <is>
          <t>资料</t>
        </is>
      </c>
      <c r="L2831"/>
      <c r="M2831" t="inlineStr">
        <is>
          <t>考雅过过过的店</t>
        </is>
      </c>
      <c r="N2831">
        <v>21000</v>
      </c>
      <c r="O2831">
        <v>4.57</v>
      </c>
      <c r="P2831">
        <v>41000</v>
      </c>
      <c r="Q2831" t="inlineStr">
        <is>
          <t>6934d92d6911000001779f7c</t>
        </is>
      </c>
      <c r="R2831" t="inlineStr">
        <is>
          <t>🚫重复</t>
        </is>
      </c>
      <c r="S2831" t="inlineStr">
        <is>
          <t>英语资料</t>
        </is>
      </c>
      <c r="T2831" t="inlineStr">
        <is>
          <t>1.05</t>
        </is>
      </c>
      <c r="U2831" s="3">
        <v>46119.514398148145</v>
      </c>
      <c r="V2831"/>
      <c r="W2831" s="3">
        <v>46119</v>
      </c>
      <c r="X2831" t="inlineStr">
        <is>
          <t>04</t>
        </is>
      </c>
      <c r="Y2831" t="inlineStr">
        <is>
          <t>2026-Q2</t>
        </is>
      </c>
    </row>
    <row r="2832" ht="38.25" customHeight="1">
      <c r="A2832" t="inlineStr">
        <is>
          <t>60多款课前游戏PPT课件（拍下自动发网盘）</t>
        </is>
      </c>
      <c r="B2832" t="inlineStr">
        <is>
          <t>recvg4KBPW9aFp.jpg</t>
        </is>
      </c>
      <c r="C2832" s="2" t="str">
        <f>=HYPERLINK("https://xhslink.com/m/4Cn8EmWwQAC", "https://xhslink.com/m/4Cn8EmWwQAC")</f>
        <v>https://xhslink.com/m/4Cn8EmWwQAC</v>
      </c>
      <c r="D2832"/>
      <c r="E2832">
        <v>21000</v>
      </c>
      <c r="F2832">
        <v>88</v>
      </c>
      <c r="G2832"/>
      <c r="H2832">
        <v>1500</v>
      </c>
      <c r="I2832"/>
      <c r="J2832"/>
      <c r="K2832" t="inlineStr">
        <is>
          <t>资料</t>
        </is>
      </c>
      <c r="L2832"/>
      <c r="M2832" t="inlineStr">
        <is>
          <t>小雅老师的店</t>
        </is>
      </c>
      <c r="N2832">
        <v>49000</v>
      </c>
      <c r="O2832">
        <v>4.56</v>
      </c>
      <c r="P2832">
        <v>84000</v>
      </c>
      <c r="Q2832" t="inlineStr">
        <is>
          <t>682386d76d54370001bfefb5</t>
        </is>
      </c>
      <c r="R2832"/>
      <c r="S2832" t="inlineStr">
        <is>
          <t>PPT模板</t>
        </is>
      </c>
      <c r="T2832" t="inlineStr">
        <is>
          <t>0.43</t>
        </is>
      </c>
      <c r="U2832" s="3">
        <v>46119.514398148145</v>
      </c>
      <c r="V2832"/>
      <c r="W2832" s="3">
        <v>46119</v>
      </c>
      <c r="X2832" t="inlineStr">
        <is>
          <t>04</t>
        </is>
      </c>
      <c r="Y2832" t="inlineStr">
        <is>
          <t>2026-Q2</t>
        </is>
      </c>
    </row>
    <row r="2833" ht="38.25" customHeight="1">
      <c r="A2833" t="inlineStr">
        <is>
          <t>幼儿园大中小班家长会丨公开课资料丨资料群丨持续更新</t>
        </is>
      </c>
      <c r="B2833" t="inlineStr">
        <is>
          <t>recvg4KBPWdugs.jpg</t>
        </is>
      </c>
      <c r="C2833" s="2" t="str">
        <f>=HYPERLINK("https://xhslink.com/m/6t7nt8OPiH4", "https://xhslink.com/m/6t7nt8OPiH4")</f>
        <v>https://xhslink.com/m/6t7nt8OPiH4</v>
      </c>
      <c r="D2833"/>
      <c r="E2833">
        <v>9154</v>
      </c>
      <c r="F2833">
        <v>89.9</v>
      </c>
      <c r="G2833"/>
      <c r="H2833">
        <v>1000</v>
      </c>
      <c r="I2833"/>
      <c r="J2833"/>
      <c r="K2833" t="inlineStr">
        <is>
          <t>资料</t>
        </is>
      </c>
      <c r="L2833" t="inlineStr">
        <is>
          <t>🔥低粉爆款</t>
        </is>
      </c>
      <c r="M2833" t="inlineStr">
        <is>
          <t>七七教辅资料的店</t>
        </is>
      </c>
      <c r="N2833">
        <v>1555</v>
      </c>
      <c r="O2833">
        <v>4.58</v>
      </c>
      <c r="P2833">
        <v>15000</v>
      </c>
      <c r="Q2833" t="inlineStr">
        <is>
          <t>65e1c1710bb18600013e9d62</t>
        </is>
      </c>
      <c r="R2833" t="inlineStr">
        <is>
          <t>🚫重复</t>
        </is>
      </c>
      <c r="S2833" t="inlineStr">
        <is>
          <t>老师资料</t>
        </is>
      </c>
      <c r="T2833" t="inlineStr">
        <is>
          <t>5.89</t>
        </is>
      </c>
      <c r="U2833" s="3">
        <v>46119.514398148145</v>
      </c>
      <c r="V2833"/>
      <c r="W2833" s="3">
        <v>46119</v>
      </c>
      <c r="X2833" t="inlineStr">
        <is>
          <t>04</t>
        </is>
      </c>
      <c r="Y2833" t="inlineStr">
        <is>
          <t>2026-Q2</t>
        </is>
      </c>
    </row>
    <row r="2834" ht="38.25" customHeight="1">
      <c r="A2834" t="inlineStr">
        <is>
          <t>【学英语必看】TED演讲稿纸质版|小程序点读跟读【铁圈版】</t>
        </is>
      </c>
      <c r="B2834" t="inlineStr">
        <is>
          <t>recvg4KBPWPZeT.jpg</t>
        </is>
      </c>
      <c r="C2834" s="2" t="str">
        <f>=HYPERLINK("https://xhslink.com/m/7XZ9JYTjklj", "https://xhslink.com/m/7XZ9JYTjklj")</f>
        <v>https://xhslink.com/m/7XZ9JYTjklj</v>
      </c>
      <c r="D2834"/>
      <c r="E2834">
        <v>8119</v>
      </c>
      <c r="F2834">
        <v>174</v>
      </c>
      <c r="G2834"/>
      <c r="H2834">
        <v>100</v>
      </c>
      <c r="I2834"/>
      <c r="J2834"/>
      <c r="K2834" t="inlineStr">
        <is>
          <t>资料</t>
        </is>
      </c>
      <c r="L2834" t="inlineStr">
        <is>
          <t>🔥低粉爆款</t>
        </is>
      </c>
      <c r="M2834" t="inlineStr">
        <is>
          <t>舒舒学习屋的店</t>
        </is>
      </c>
      <c r="N2834">
        <v>2627</v>
      </c>
      <c r="O2834">
        <v>4.52</v>
      </c>
      <c r="P2834">
        <v>10000</v>
      </c>
      <c r="Q2834" t="inlineStr">
        <is>
          <t>678083aeae50cc000165f8b1</t>
        </is>
      </c>
      <c r="R2834" t="inlineStr">
        <is>
          <t>🚫重复</t>
        </is>
      </c>
      <c r="S2834" t="inlineStr">
        <is>
          <t>英语资料</t>
        </is>
      </c>
      <c r="T2834" t="inlineStr">
        <is>
          <t>3.09</t>
        </is>
      </c>
      <c r="U2834" s="3">
        <v>46119.514398148145</v>
      </c>
      <c r="V2834"/>
      <c r="W2834" s="3">
        <v>46119</v>
      </c>
      <c r="X2834" t="inlineStr">
        <is>
          <t>04</t>
        </is>
      </c>
      <c r="Y2834" t="inlineStr">
        <is>
          <t>2026-Q2</t>
        </is>
      </c>
    </row>
    <row r="2835" ht="38.25" customHeight="1">
      <c r="A2835" t="inlineStr">
        <is>
          <t>花生十三 · 26国省考笔试系统班</t>
        </is>
      </c>
      <c r="B2835" t="inlineStr">
        <is>
          <t>recvg4KBPW9Wqq.jpg</t>
        </is>
      </c>
      <c r="C2835" s="2" t="str">
        <f>=HYPERLINK("https://xhslink.com/m/4AXkW87T7AK", "https://xhslink.com/m/4AXkW87T7AK")</f>
        <v>https://xhslink.com/m/4AXkW87T7AK</v>
      </c>
      <c r="D2835"/>
      <c r="E2835">
        <v>7640</v>
      </c>
      <c r="F2835">
        <v>599</v>
      </c>
      <c r="G2835"/>
      <c r="H2835">
        <v>100</v>
      </c>
      <c r="I2835"/>
      <c r="J2835"/>
      <c r="K2835" t="inlineStr">
        <is>
          <t>资料</t>
        </is>
      </c>
      <c r="L2835"/>
      <c r="M2835" t="inlineStr">
        <is>
          <t>四海公考的店</t>
        </is>
      </c>
      <c r="N2835">
        <v>110000</v>
      </c>
      <c r="O2835">
        <v>4.54</v>
      </c>
      <c r="P2835">
        <v>45000</v>
      </c>
      <c r="Q2835" t="inlineStr">
        <is>
          <t>68357cadf078780001c5f863</t>
        </is>
      </c>
      <c r="R2835" t="inlineStr">
        <is>
          <t>🚫重复</t>
        </is>
      </c>
      <c r="S2835" t="inlineStr">
        <is>
          <t>考公资料</t>
        </is>
      </c>
      <c r="T2835" t="inlineStr">
        <is>
          <t>0.07</t>
        </is>
      </c>
      <c r="U2835" s="3">
        <v>46119.514398148145</v>
      </c>
      <c r="V2835"/>
      <c r="W2835" s="3">
        <v>46119</v>
      </c>
      <c r="X2835" t="inlineStr">
        <is>
          <t>04</t>
        </is>
      </c>
      <c r="Y2835" t="inlineStr">
        <is>
          <t>2026-Q2</t>
        </is>
      </c>
    </row>
    <row r="2836" ht="38.25" customHeight="1">
      <c r="A2836" t="inlineStr">
        <is>
          <t>新课标版初一七年级各科知识点早背晚默电子资料课件</t>
        </is>
      </c>
      <c r="B2836" t="inlineStr">
        <is>
          <t>recvg4KBPWfhHA.jpg</t>
        </is>
      </c>
      <c r="C2836" s="2" t="str">
        <f>=HYPERLINK("https://xhslink.com/m/5TcqbvBytJq", "https://xhslink.com/m/5TcqbvBytJq")</f>
        <v>https://xhslink.com/m/5TcqbvBytJq</v>
      </c>
      <c r="D2836"/>
      <c r="E2836">
        <v>7274</v>
      </c>
      <c r="F2836">
        <v>59.9</v>
      </c>
      <c r="G2836"/>
      <c r="H2836">
        <v>350</v>
      </c>
      <c r="I2836">
        <v>1000</v>
      </c>
      <c r="J2836"/>
      <c r="K2836" t="inlineStr">
        <is>
          <t>资料</t>
        </is>
      </c>
      <c r="L2836"/>
      <c r="M2836" t="inlineStr">
        <is>
          <t>崔老师的资料库的店</t>
        </is>
      </c>
      <c r="N2836">
        <v>2836</v>
      </c>
      <c r="O2836">
        <v>4.23</v>
      </c>
      <c r="P2836">
        <v>8303</v>
      </c>
      <c r="Q2836" t="inlineStr">
        <is>
          <t>683e01be317c900001b5b7c0</t>
        </is>
      </c>
      <c r="R2836" t="inlineStr">
        <is>
          <t>🚫重复</t>
        </is>
      </c>
      <c r="S2836" t="inlineStr">
        <is>
          <t>中小学教辅/教材</t>
        </is>
      </c>
      <c r="T2836" t="inlineStr">
        <is>
          <t>2.56</t>
        </is>
      </c>
      <c r="U2836" s="3">
        <v>46119.514398148145</v>
      </c>
      <c r="V2836"/>
      <c r="W2836" s="3">
        <v>46119</v>
      </c>
      <c r="X2836" t="inlineStr">
        <is>
          <t>04</t>
        </is>
      </c>
      <c r="Y2836" t="inlineStr">
        <is>
          <t>2026-Q2</t>
        </is>
      </c>
    </row>
    <row r="2837" ht="38.25" customHeight="1">
      <c r="A2837" t="inlineStr">
        <is>
          <t>2026人教版小学数学一二三四五六年级上下册教案课件PPT试题</t>
        </is>
      </c>
      <c r="B2837" t="inlineStr">
        <is>
          <t>recvg4KBPWlAQM.jpg</t>
        </is>
      </c>
      <c r="C2837" s="2" t="str">
        <f>=HYPERLINK("https://xhslink.com/m/2t4FM6u147b", "https://xhslink.com/m/2t4FM6u147b")</f>
        <v>https://xhslink.com/m/2t4FM6u147b</v>
      </c>
      <c r="D2837"/>
      <c r="E2837">
        <v>6077</v>
      </c>
      <c r="F2837">
        <v>71.2</v>
      </c>
      <c r="G2837"/>
      <c r="H2837">
        <v>900</v>
      </c>
      <c r="I2837">
        <v>1000</v>
      </c>
      <c r="J2837"/>
      <c r="K2837" t="inlineStr">
        <is>
          <t>资料</t>
        </is>
      </c>
      <c r="L2837"/>
      <c r="M2837" t="inlineStr">
        <is>
          <t>肖老师的店</t>
        </is>
      </c>
      <c r="N2837">
        <v>12000</v>
      </c>
      <c r="O2837">
        <v>4.61</v>
      </c>
      <c r="P2837">
        <v>74000</v>
      </c>
      <c r="Q2837" t="inlineStr">
        <is>
          <t>66e5dba0afa1e900017a0ed4</t>
        </is>
      </c>
      <c r="R2837" t="inlineStr">
        <is>
          <t>🚫重复</t>
        </is>
      </c>
      <c r="S2837" t="inlineStr">
        <is>
          <t>中小学教辅/教材</t>
        </is>
      </c>
      <c r="T2837" t="inlineStr">
        <is>
          <t>0.51</t>
        </is>
      </c>
      <c r="U2837" s="3">
        <v>46119.514398148145</v>
      </c>
      <c r="V2837"/>
      <c r="W2837" s="3">
        <v>46119</v>
      </c>
      <c r="X2837" t="inlineStr">
        <is>
          <t>04</t>
        </is>
      </c>
      <c r="Y2837" t="inlineStr">
        <is>
          <t>2026-Q2</t>
        </is>
      </c>
    </row>
    <row r="2838" ht="38.25" customHeight="1">
      <c r="A2838" t="inlineStr">
        <is>
          <t>40首超精选初学者必弹钢琴曲谱五线谱+简谱+重点笔记+示范视频</t>
        </is>
      </c>
      <c r="B2838" t="inlineStr">
        <is>
          <t>recvg4KBPWos0K.jpg</t>
        </is>
      </c>
      <c r="C2838" s="2" t="str">
        <f>=HYPERLINK("https://xhslink.com/m/9OIts4BwEdK", "https://xhslink.com/m/9OIts4BwEdK")</f>
        <v>https://xhslink.com/m/9OIts4BwEdK</v>
      </c>
      <c r="D2838"/>
      <c r="E2838">
        <v>5791</v>
      </c>
      <c r="F2838">
        <v>79</v>
      </c>
      <c r="G2838"/>
      <c r="H2838">
        <v>250</v>
      </c>
      <c r="I2838">
        <v>1000</v>
      </c>
      <c r="J2838"/>
      <c r="K2838" t="inlineStr">
        <is>
          <t>资料</t>
        </is>
      </c>
      <c r="L2838"/>
      <c r="M2838" t="inlineStr">
        <is>
          <t>靖靖教钢琴的店</t>
        </is>
      </c>
      <c r="N2838">
        <v>32000</v>
      </c>
      <c r="O2838">
        <v>4.51</v>
      </c>
      <c r="P2838">
        <v>8277</v>
      </c>
      <c r="Q2838" t="inlineStr">
        <is>
          <t>6795b440e437e40001ba982e</t>
        </is>
      </c>
      <c r="R2838"/>
      <c r="S2838" t="inlineStr">
        <is>
          <t>生活成长</t>
        </is>
      </c>
      <c r="T2838" t="inlineStr">
        <is>
          <t>0.18</t>
        </is>
      </c>
      <c r="U2838" s="3">
        <v>46119.514398148145</v>
      </c>
      <c r="V2838"/>
      <c r="W2838" s="3">
        <v>46119</v>
      </c>
      <c r="X2838" t="inlineStr">
        <is>
          <t>04</t>
        </is>
      </c>
      <c r="Y2838" t="inlineStr">
        <is>
          <t>2026-Q2</t>
        </is>
      </c>
    </row>
    <row r="2839" ht="38.25" customHeight="1">
      <c r="A2839" t="inlineStr">
        <is>
          <t>Will'S DESIGN S.NOTES :UIUX从零基础入门到高级决策</t>
        </is>
      </c>
      <c r="B2839" t="inlineStr">
        <is>
          <t>recvg4KBPWvVh7.jpg</t>
        </is>
      </c>
      <c r="C2839" s="2" t="str">
        <f>=HYPERLINK("https://xhslink.com/m/AqSe4Y5s3QO", "https://xhslink.com/m/AqSe4Y5s3QO")</f>
        <v>https://xhslink.com/m/AqSe4Y5s3QO</v>
      </c>
      <c r="D2839"/>
      <c r="E2839">
        <v>5677</v>
      </c>
      <c r="F2839">
        <v>368</v>
      </c>
      <c r="G2839"/>
      <c r="H2839">
        <v>150</v>
      </c>
      <c r="I2839"/>
      <c r="J2839"/>
      <c r="K2839" t="inlineStr">
        <is>
          <t>资料</t>
        </is>
      </c>
      <c r="L2839"/>
      <c r="M2839" t="inlineStr">
        <is>
          <t>Will的店</t>
        </is>
      </c>
      <c r="N2839">
        <v>29000</v>
      </c>
      <c r="O2839">
        <v>4.19</v>
      </c>
      <c r="P2839">
        <v>6729</v>
      </c>
      <c r="Q2839" t="inlineStr">
        <is>
          <t>66bf22029a58050001e6baea</t>
        </is>
      </c>
      <c r="R2839" t="inlineStr">
        <is>
          <t>🚫重复</t>
        </is>
      </c>
      <c r="S2839" t="inlineStr">
        <is>
          <t>软件应用</t>
        </is>
      </c>
      <c r="T2839" t="inlineStr">
        <is>
          <t>0.20</t>
        </is>
      </c>
      <c r="U2839" s="3">
        <v>46119.514398148145</v>
      </c>
      <c r="V2839"/>
      <c r="W2839" s="3">
        <v>46119</v>
      </c>
      <c r="X2839" t="inlineStr">
        <is>
          <t>04</t>
        </is>
      </c>
      <c r="Y2839" t="inlineStr">
        <is>
          <t>2026-Q2</t>
        </is>
      </c>
    </row>
    <row r="2840" ht="38.25" customHeight="1">
      <c r="A2840" t="inlineStr">
        <is>
          <t>姓名 签名 艺术工作个性</t>
        </is>
      </c>
      <c r="B2840" t="inlineStr">
        <is>
          <t>recvg4KBPWpGsa.jpg</t>
        </is>
      </c>
      <c r="C2840" s="2" t="str">
        <f>=HYPERLINK("https://xhslink.com/m/4dJjCKINWzb", "https://xhslink.com/m/4dJjCKINWzb")</f>
        <v>https://xhslink.com/m/4dJjCKINWzb</v>
      </c>
      <c r="D2840"/>
      <c r="E2840">
        <v>4670</v>
      </c>
      <c r="F2840">
        <v>188</v>
      </c>
      <c r="G2840"/>
      <c r="H2840">
        <v>700</v>
      </c>
      <c r="I2840"/>
      <c r="J2840"/>
      <c r="K2840" t="inlineStr">
        <is>
          <t>资料</t>
        </is>
      </c>
      <c r="L2840"/>
      <c r="M2840" t="inlineStr">
        <is>
          <t>北笔签名的店</t>
        </is>
      </c>
      <c r="N2840">
        <v>7480</v>
      </c>
      <c r="O2840">
        <v>4.7</v>
      </c>
      <c r="P2840">
        <v>4834</v>
      </c>
      <c r="Q2840" t="inlineStr">
        <is>
          <t>68cc25229c4f880001e0b94b</t>
        </is>
      </c>
      <c r="R2840"/>
      <c r="S2840" t="inlineStr">
        <is>
          <t>设计素材</t>
        </is>
      </c>
      <c r="T2840" t="inlineStr">
        <is>
          <t>0.62</t>
        </is>
      </c>
      <c r="U2840" s="3">
        <v>46119.514398148145</v>
      </c>
      <c r="V2840"/>
      <c r="W2840" s="3">
        <v>46119</v>
      </c>
      <c r="X2840" t="inlineStr">
        <is>
          <t>04</t>
        </is>
      </c>
      <c r="Y2840" t="inlineStr">
        <is>
          <t>2026-Q2</t>
        </is>
      </c>
    </row>
    <row r="2841" ht="38.25" customHeight="1">
      <c r="A2841" t="inlineStr">
        <is>
          <t>26社会工作者中级/初级四色笔记学霸笔记+王小兰/大魏精讲课+题库</t>
        </is>
      </c>
      <c r="B2841" t="inlineStr">
        <is>
          <t>recvg4KBPWHIMy.jpg</t>
        </is>
      </c>
      <c r="C2841" s="2" t="str">
        <f>=HYPERLINK("https://xhslink.com/m/2mNyyW3Gm0i", "https://xhslink.com/m/2mNyyW3Gm0i")</f>
        <v>https://xhslink.com/m/2mNyyW3Gm0i</v>
      </c>
      <c r="D2841"/>
      <c r="E2841">
        <v>4179</v>
      </c>
      <c r="F2841">
        <v>79</v>
      </c>
      <c r="G2841"/>
      <c r="H2841">
        <v>1500</v>
      </c>
      <c r="I2841"/>
      <c r="J2841"/>
      <c r="K2841" t="inlineStr">
        <is>
          <t>资料</t>
        </is>
      </c>
      <c r="L2841"/>
      <c r="M2841" t="inlineStr">
        <is>
          <t>益题库教育的店</t>
        </is>
      </c>
      <c r="N2841">
        <v>1708</v>
      </c>
      <c r="O2841">
        <v>4.73</v>
      </c>
      <c r="P2841">
        <v>5113</v>
      </c>
      <c r="Q2841" t="inlineStr">
        <is>
          <t>68cb73cc9c4f880001da424c</t>
        </is>
      </c>
      <c r="R2841"/>
      <c r="S2841" t="inlineStr">
        <is>
          <t>生活成长</t>
        </is>
      </c>
      <c r="T2841" t="inlineStr">
        <is>
          <t>2.45</t>
        </is>
      </c>
      <c r="U2841" s="3">
        <v>46119.514398148145</v>
      </c>
      <c r="V2841"/>
      <c r="W2841" s="3">
        <v>46119</v>
      </c>
      <c r="X2841" t="inlineStr">
        <is>
          <t>04</t>
        </is>
      </c>
      <c r="Y2841" t="inlineStr">
        <is>
          <t>2026-Q2</t>
        </is>
      </c>
    </row>
    <row r="2842" ht="38.25" customHeight="1">
      <c r="A2842" t="inlineStr">
        <is>
          <t>初中物理拔高训练之50种题型精练八九年级上下册电子版资料</t>
        </is>
      </c>
      <c r="B2842" t="inlineStr">
        <is>
          <t>recvgnxJdDJhUK.jpg</t>
        </is>
      </c>
      <c r="C2842" s="2" t="str">
        <f>=HYPERLINK("https://xhslink.com/m/5BsTCnwbA1V", "https://xhslink.com/m/5BsTCnwbA1V")</f>
        <v>https://xhslink.com/m/5BsTCnwbA1V</v>
      </c>
      <c r="D2842"/>
      <c r="E2842">
        <v>2363</v>
      </c>
      <c r="F2842">
        <v>9.9</v>
      </c>
      <c r="G2842"/>
      <c r="H2842">
        <v>550</v>
      </c>
      <c r="I2842"/>
      <c r="J2842"/>
      <c r="K2842" t="inlineStr">
        <is>
          <t>初中物理</t>
        </is>
      </c>
      <c r="L2842"/>
      <c r="M2842" t="inlineStr">
        <is>
          <t>爱分享的张老师的店</t>
        </is>
      </c>
      <c r="N2842">
        <v>2111</v>
      </c>
      <c r="O2842">
        <v>4.43</v>
      </c>
      <c r="P2842">
        <v>14000</v>
      </c>
      <c r="Q2842" t="inlineStr">
        <is>
          <t>69256caaccb9e00001e0c306</t>
        </is>
      </c>
      <c r="R2842" t="inlineStr">
        <is>
          <t>🚫重复</t>
        </is>
      </c>
      <c r="S2842" t="inlineStr">
        <is>
          <t>中小学教辅/教材</t>
        </is>
      </c>
      <c r="T2842" t="inlineStr">
        <is>
          <t>1.12</t>
        </is>
      </c>
      <c r="U2842" s="3">
        <v>46122.728310185186</v>
      </c>
      <c r="V2842"/>
      <c r="W2842" s="3">
        <v>46122</v>
      </c>
      <c r="X2842" t="inlineStr">
        <is>
          <t>04</t>
        </is>
      </c>
      <c r="Y2842" t="inlineStr">
        <is>
          <t>2026-Q2</t>
        </is>
      </c>
    </row>
    <row r="2843" ht="38.25" customHeight="1">
      <c r="A2843" t="inlineStr">
        <is>
          <t>2026春新版人教版初中物理八九年级上下册课件ppt教案资料电子版</t>
        </is>
      </c>
      <c r="B2843" t="inlineStr">
        <is>
          <t>recvgnxJdD43BP.jpg</t>
        </is>
      </c>
      <c r="C2843" s="2" t="str">
        <f>=HYPERLINK("https://xhslink.com/m/5GaKxFbS7vm", "https://xhslink.com/m/5GaKxFbS7vm")</f>
        <v>https://xhslink.com/m/5GaKxFbS7vm</v>
      </c>
      <c r="D2843"/>
      <c r="E2843">
        <v>960</v>
      </c>
      <c r="F2843">
        <v>24.8</v>
      </c>
      <c r="G2843"/>
      <c r="H2843">
        <v>200</v>
      </c>
      <c r="I2843"/>
      <c r="J2843"/>
      <c r="K2843" t="inlineStr">
        <is>
          <t>初中物理</t>
        </is>
      </c>
      <c r="L2843"/>
      <c r="M2843" t="inlineStr">
        <is>
          <t>知遇老师的店</t>
        </is>
      </c>
      <c r="N2843">
        <v>780</v>
      </c>
      <c r="O2843">
        <v>4.59</v>
      </c>
      <c r="P2843">
        <v>9089</v>
      </c>
      <c r="Q2843" t="inlineStr">
        <is>
          <t>689190d547d5bd0001231432</t>
        </is>
      </c>
      <c r="R2843"/>
      <c r="S2843" t="inlineStr">
        <is>
          <t>中小学教辅/教材</t>
        </is>
      </c>
      <c r="T2843" t="inlineStr">
        <is>
          <t>1.23</t>
        </is>
      </c>
      <c r="U2843" s="3">
        <v>46122.728310185186</v>
      </c>
      <c r="V2843"/>
      <c r="W2843" s="3">
        <v>46122</v>
      </c>
      <c r="X2843" t="inlineStr">
        <is>
          <t>04</t>
        </is>
      </c>
      <c r="Y2843" t="inlineStr">
        <is>
          <t>2026-Q2</t>
        </is>
      </c>
    </row>
    <row r="2844" ht="38.25" customHeight="1">
      <c r="A2844" t="inlineStr">
        <is>
          <t>2026物理中考复习课件，物理KK老师资料（人教版）更新中</t>
        </is>
      </c>
      <c r="B2844" t="inlineStr">
        <is>
          <t>recvgnxJdDzhnw.jpg</t>
        </is>
      </c>
      <c r="C2844" s="2" t="str">
        <f>=HYPERLINK("https://xhslink.com/m/896hEjckbdG", "https://xhslink.com/m/896hEjckbdG")</f>
        <v>https://xhslink.com/m/896hEjckbdG</v>
      </c>
      <c r="D2844"/>
      <c r="E2844">
        <v>433</v>
      </c>
      <c r="F2844">
        <v>278</v>
      </c>
      <c r="G2844"/>
      <c r="H2844">
        <v>200</v>
      </c>
      <c r="I2844"/>
      <c r="J2844"/>
      <c r="K2844" t="inlineStr">
        <is>
          <t>初中物理</t>
        </is>
      </c>
      <c r="L2844"/>
      <c r="M2844" t="inlineStr">
        <is>
          <t>物理KK老师的店</t>
        </is>
      </c>
      <c r="N2844">
        <v>9736</v>
      </c>
      <c r="O2844">
        <v>4.18</v>
      </c>
      <c r="P2844">
        <v>12000</v>
      </c>
      <c r="Q2844" t="inlineStr">
        <is>
          <t>6974af3a1cd3a60001094501</t>
        </is>
      </c>
      <c r="R2844" t="inlineStr">
        <is>
          <t>🚫重复</t>
        </is>
      </c>
      <c r="S2844" t="inlineStr">
        <is>
          <t>中小学教辅/教材</t>
        </is>
      </c>
      <c r="T2844" t="inlineStr">
        <is>
          <t>0.04</t>
        </is>
      </c>
      <c r="U2844" s="3">
        <v>46122.728310185186</v>
      </c>
      <c r="V2844"/>
      <c r="W2844" s="3">
        <v>46122</v>
      </c>
      <c r="X2844" t="inlineStr">
        <is>
          <t>04</t>
        </is>
      </c>
      <c r="Y2844" t="inlineStr">
        <is>
          <t>2026-Q2</t>
        </is>
      </c>
    </row>
    <row r="2845" ht="38.25" customHeight="1">
      <c r="A2845" t="inlineStr">
        <is>
          <t>2026初中语文数学英语物理化生物史地道法知识点总结电子版多版本</t>
        </is>
      </c>
      <c r="B2845" t="inlineStr">
        <is>
          <t>recvgnxJdDNseB.jpg</t>
        </is>
      </c>
      <c r="C2845" s="2" t="str">
        <f>=HYPERLINK("https://xhslink.com/m/5ODyQThZytX", "https://xhslink.com/m/5ODyQThZytX")</f>
        <v>https://xhslink.com/m/5ODyQThZytX</v>
      </c>
      <c r="D2845"/>
      <c r="E2845">
        <v>27000</v>
      </c>
      <c r="F2845">
        <v>7.9</v>
      </c>
      <c r="G2845"/>
      <c r="H2845">
        <v>500</v>
      </c>
      <c r="I2845">
        <v>2000</v>
      </c>
      <c r="J2845"/>
      <c r="K2845" t="inlineStr">
        <is>
          <t>初中化学</t>
        </is>
      </c>
      <c r="L2845"/>
      <c r="M2845" t="inlineStr">
        <is>
          <t>赵老师的资料库的店</t>
        </is>
      </c>
      <c r="N2845">
        <v>16000</v>
      </c>
      <c r="O2845">
        <v>4.46</v>
      </c>
      <c r="P2845">
        <v>52000</v>
      </c>
      <c r="Q2845" t="inlineStr">
        <is>
          <t>672cd74310adb50001c5720e</t>
        </is>
      </c>
      <c r="R2845" t="inlineStr">
        <is>
          <t>🚫重复</t>
        </is>
      </c>
      <c r="S2845" t="inlineStr">
        <is>
          <t>中小学教辅/教材</t>
        </is>
      </c>
      <c r="T2845" t="inlineStr">
        <is>
          <t>1.69</t>
        </is>
      </c>
      <c r="U2845" s="3">
        <v>46122.728310185186</v>
      </c>
      <c r="V2845"/>
      <c r="W2845" s="3">
        <v>46122</v>
      </c>
      <c r="X2845" t="inlineStr">
        <is>
          <t>04</t>
        </is>
      </c>
      <c r="Y2845" t="inlineStr">
        <is>
          <t>2026-Q2</t>
        </is>
      </c>
    </row>
    <row r="2846" ht="38.25" customHeight="1">
      <c r="A2846" t="inlineStr">
        <is>
          <t>备战2026初三中考总复习资料一轮二轮专题专项训练真题汇编电子版</t>
        </is>
      </c>
      <c r="B2846" t="inlineStr">
        <is>
          <t>recvgnxJdDWxzg.jpg</t>
        </is>
      </c>
      <c r="C2846" s="2" t="str">
        <f>=HYPERLINK("https://xhslink.com/m/1wBysaHjIue", "https://xhslink.com/m/1wBysaHjIue")</f>
        <v>https://xhslink.com/m/1wBysaHjIue</v>
      </c>
      <c r="D2846"/>
      <c r="E2846">
        <v>2582</v>
      </c>
      <c r="F2846">
        <v>6.6</v>
      </c>
      <c r="G2846"/>
      <c r="H2846">
        <v>1500</v>
      </c>
      <c r="I2846"/>
      <c r="J2846"/>
      <c r="K2846" t="inlineStr">
        <is>
          <t>初中化学</t>
        </is>
      </c>
      <c r="L2846"/>
      <c r="M2846" t="inlineStr">
        <is>
          <t>中考满分资料库的店</t>
        </is>
      </c>
      <c r="N2846">
        <v>2455</v>
      </c>
      <c r="O2846">
        <v>4.55</v>
      </c>
      <c r="P2846">
        <v>5918</v>
      </c>
      <c r="Q2846" t="inlineStr">
        <is>
          <t>6900a07ec074c50001564d53</t>
        </is>
      </c>
      <c r="R2846" t="inlineStr">
        <is>
          <t>🚫重复</t>
        </is>
      </c>
      <c r="S2846" t="inlineStr">
        <is>
          <t>中小学教辅/教材</t>
        </is>
      </c>
      <c r="T2846" t="inlineStr">
        <is>
          <t>1.05</t>
        </is>
      </c>
      <c r="U2846" s="3">
        <v>46122.728310185186</v>
      </c>
      <c r="V2846"/>
      <c r="W2846" s="3">
        <v>46122</v>
      </c>
      <c r="X2846" t="inlineStr">
        <is>
          <t>04</t>
        </is>
      </c>
      <c r="Y2846" t="inlineStr">
        <is>
          <t>2026-Q2</t>
        </is>
      </c>
    </row>
    <row r="2847" ht="38.25" customHeight="1">
      <c r="A2847" t="inlineStr">
        <is>
          <t>2026中考语文数英物化政史地总复习资料【电子版】</t>
        </is>
      </c>
      <c r="B2847" t="inlineStr">
        <is>
          <t>recvgnxJdDwhEk.jpg</t>
        </is>
      </c>
      <c r="C2847" s="2" t="str">
        <f>=HYPERLINK("https://xhslink.com/m/97xQvKKz6Kj", "https://xhslink.com/m/97xQvKKz6Kj")</f>
        <v>https://xhslink.com/m/97xQvKKz6Kj</v>
      </c>
      <c r="D2847"/>
      <c r="E2847">
        <v>1572</v>
      </c>
      <c r="F2847">
        <v>9.9</v>
      </c>
      <c r="G2847"/>
      <c r="H2847">
        <v>1000</v>
      </c>
      <c r="I2847"/>
      <c r="J2847"/>
      <c r="K2847" t="inlineStr">
        <is>
          <t>初中化学</t>
        </is>
      </c>
      <c r="L2847"/>
      <c r="M2847" t="inlineStr">
        <is>
          <t>中考提分宝库的店</t>
        </is>
      </c>
      <c r="N2847">
        <v>22000</v>
      </c>
      <c r="O2847">
        <v>4.41</v>
      </c>
      <c r="P2847">
        <v>81000</v>
      </c>
      <c r="Q2847" t="inlineStr">
        <is>
          <t>69880a79a5576f00017037e3</t>
        </is>
      </c>
      <c r="R2847" t="inlineStr">
        <is>
          <t>🚫重复</t>
        </is>
      </c>
      <c r="S2847" t="inlineStr">
        <is>
          <t>中小学教辅/教材</t>
        </is>
      </c>
      <c r="T2847" t="inlineStr">
        <is>
          <t>0.07</t>
        </is>
      </c>
      <c r="U2847" s="3">
        <v>46122.728310185186</v>
      </c>
      <c r="V2847"/>
      <c r="W2847" s="3">
        <v>46122</v>
      </c>
      <c r="X2847" t="inlineStr">
        <is>
          <t>04</t>
        </is>
      </c>
      <c r="Y2847" t="inlineStr">
        <is>
          <t>2026-Q2</t>
        </is>
      </c>
    </row>
    <row r="2848" ht="38.25" customHeight="1">
      <c r="A2848" t="inlineStr">
        <is>
          <t>初中化学睡前默写小纸条 +知识归纳总结+化学方程式大全 电子版</t>
        </is>
      </c>
      <c r="B2848" t="inlineStr">
        <is>
          <t>recvgnxJdDx8Lw.jpg</t>
        </is>
      </c>
      <c r="C2848" s="2" t="str">
        <f>=HYPERLINK("https://xhslink.com/m/2iR5mUuZTxW", "https://xhslink.com/m/2iR5mUuZTxW")</f>
        <v>https://xhslink.com/m/2iR5mUuZTxW</v>
      </c>
      <c r="D2848"/>
      <c r="E2848">
        <v>1206</v>
      </c>
      <c r="F2848">
        <v>12.9</v>
      </c>
      <c r="G2848"/>
      <c r="H2848">
        <v>100</v>
      </c>
      <c r="I2848"/>
      <c r="J2848"/>
      <c r="K2848" t="inlineStr">
        <is>
          <t>初中化学</t>
        </is>
      </c>
      <c r="L2848"/>
      <c r="M2848" t="inlineStr">
        <is>
          <t>小徐老师学习资料库的店</t>
        </is>
      </c>
      <c r="N2848">
        <v>5769</v>
      </c>
      <c r="O2848">
        <v>4.41</v>
      </c>
      <c r="P2848">
        <v>11000</v>
      </c>
      <c r="Q2848" t="inlineStr">
        <is>
          <t>6713b905758fa40001b3ab2d</t>
        </is>
      </c>
      <c r="R2848" t="inlineStr">
        <is>
          <t>🚫重复</t>
        </is>
      </c>
      <c r="S2848" t="inlineStr">
        <is>
          <t>中小学教辅/教材</t>
        </is>
      </c>
      <c r="T2848" t="inlineStr">
        <is>
          <t>0.21</t>
        </is>
      </c>
      <c r="U2848" s="3">
        <v>46122.728310185186</v>
      </c>
      <c r="V2848"/>
      <c r="W2848" s="3">
        <v>46122</v>
      </c>
      <c r="X2848" t="inlineStr">
        <is>
          <t>04</t>
        </is>
      </c>
      <c r="Y2848" t="inlineStr">
        <is>
          <t>2026-Q2</t>
        </is>
      </c>
    </row>
    <row r="2849" ht="38.25" customHeight="1">
      <c r="A2849" t="inlineStr">
        <is>
          <t>2026-中考化学-必备知识点总结归纳（超全）</t>
        </is>
      </c>
      <c r="B2849" t="inlineStr">
        <is>
          <t>recvgnxJdDVzQ0.jpg</t>
        </is>
      </c>
      <c r="C2849" s="2" t="str">
        <f>=HYPERLINK("https://xhslink.com/m/5vUpvRO0JLr", "https://xhslink.com/m/5vUpvRO0JLr")</f>
        <v>https://xhslink.com/m/5vUpvRO0JLr</v>
      </c>
      <c r="D2849"/>
      <c r="E2849">
        <v>744</v>
      </c>
      <c r="F2849">
        <v>5.8</v>
      </c>
      <c r="G2849"/>
      <c r="H2849">
        <v>150</v>
      </c>
      <c r="I2849"/>
      <c r="J2849"/>
      <c r="K2849" t="inlineStr">
        <is>
          <t>初中化学</t>
        </is>
      </c>
      <c r="L2849"/>
      <c r="M2849" t="inlineStr">
        <is>
          <t>阿文学姐干货铺的店</t>
        </is>
      </c>
      <c r="N2849">
        <v>481</v>
      </c>
      <c r="O2849">
        <v>4.08</v>
      </c>
      <c r="P2849">
        <v>1097</v>
      </c>
      <c r="Q2849" t="inlineStr">
        <is>
          <t>68771e0d4f80eb00016b212c</t>
        </is>
      </c>
      <c r="R2849"/>
      <c r="S2849" t="inlineStr">
        <is>
          <t>中小学教辅/教材</t>
        </is>
      </c>
      <c r="T2849" t="inlineStr">
        <is>
          <t>1.55</t>
        </is>
      </c>
      <c r="U2849" s="3">
        <v>46122.728310185186</v>
      </c>
      <c r="V2849"/>
      <c r="W2849" s="3">
        <v>46122</v>
      </c>
      <c r="X2849" t="inlineStr">
        <is>
          <t>04</t>
        </is>
      </c>
      <c r="Y2849" t="inlineStr">
        <is>
          <t>2026-Q2</t>
        </is>
      </c>
    </row>
    <row r="2850" ht="38.25" customHeight="1">
      <c r="A2850" t="inlineStr">
        <is>
          <t>2026初中语文数学英语物理化生物史地道法知识点总结电子版多版本</t>
        </is>
      </c>
      <c r="B2850" t="inlineStr">
        <is>
          <t>recvgnxJdDy3BU.jpg</t>
        </is>
      </c>
      <c r="C2850" s="2" t="str">
        <f>=HYPERLINK("https://xhslink.com/m/1tc6MSg8owX", "https://xhslink.com/m/1tc6MSg8owX")</f>
        <v>https://xhslink.com/m/1tc6MSg8owX</v>
      </c>
      <c r="D2850"/>
      <c r="E2850">
        <v>27000</v>
      </c>
      <c r="F2850">
        <v>14.8</v>
      </c>
      <c r="G2850"/>
      <c r="H2850">
        <v>500</v>
      </c>
      <c r="I2850">
        <v>2000</v>
      </c>
      <c r="J2850"/>
      <c r="K2850" t="inlineStr">
        <is>
          <t>初中生物</t>
        </is>
      </c>
      <c r="L2850"/>
      <c r="M2850" t="inlineStr">
        <is>
          <t>赵老师的资料库的店</t>
        </is>
      </c>
      <c r="N2850">
        <v>16000</v>
      </c>
      <c r="O2850">
        <v>4.46</v>
      </c>
      <c r="P2850">
        <v>52000</v>
      </c>
      <c r="Q2850" t="inlineStr">
        <is>
          <t>672cd74310adb50001c57226</t>
        </is>
      </c>
      <c r="R2850" t="inlineStr">
        <is>
          <t>🚫重复</t>
        </is>
      </c>
      <c r="S2850" t="inlineStr">
        <is>
          <t>中小学教辅/教材</t>
        </is>
      </c>
      <c r="T2850" t="inlineStr">
        <is>
          <t>1.69</t>
        </is>
      </c>
      <c r="U2850" s="3">
        <v>46122.728310185186</v>
      </c>
      <c r="V2850"/>
      <c r="W2850" s="3">
        <v>46122</v>
      </c>
      <c r="X2850" t="inlineStr">
        <is>
          <t>04</t>
        </is>
      </c>
      <c r="Y2850" t="inlineStr">
        <is>
          <t>2026-Q2</t>
        </is>
      </c>
    </row>
    <row r="2851" ht="38.25" customHeight="1">
      <c r="A2851" t="inlineStr">
        <is>
          <t>初中会考生物全四册知识点21页 电子版pdf版</t>
        </is>
      </c>
      <c r="B2851" t="inlineStr">
        <is>
          <t>recvgnxJdDZjZ2.jpg</t>
        </is>
      </c>
      <c r="C2851" s="2" t="str">
        <f>=HYPERLINK("https://xhslink.com/m/69gNvvc3f0l", "https://xhslink.com/m/69gNvvc3f0l")</f>
        <v>https://xhslink.com/m/69gNvvc3f0l</v>
      </c>
      <c r="D2851"/>
      <c r="E2851">
        <v>1264</v>
      </c>
      <c r="F2851">
        <v>2.5</v>
      </c>
      <c r="G2851"/>
      <c r="H2851">
        <v>150</v>
      </c>
      <c r="I2851"/>
      <c r="J2851"/>
      <c r="K2851" t="inlineStr">
        <is>
          <t>初中生物</t>
        </is>
      </c>
      <c r="L2851"/>
      <c r="M2851" t="inlineStr">
        <is>
          <t>心语老师的店</t>
        </is>
      </c>
      <c r="N2851">
        <v>9770</v>
      </c>
      <c r="O2851">
        <v>4.26</v>
      </c>
      <c r="P2851">
        <v>70000</v>
      </c>
      <c r="Q2851" t="inlineStr">
        <is>
          <t>6827c8a747f0f1000155bd4a</t>
        </is>
      </c>
      <c r="R2851" t="inlineStr">
        <is>
          <t>🚫重复</t>
        </is>
      </c>
      <c r="S2851" t="inlineStr">
        <is>
          <t>中小学教辅/教材</t>
        </is>
      </c>
      <c r="T2851" t="inlineStr">
        <is>
          <t>0.13</t>
        </is>
      </c>
      <c r="U2851" s="3">
        <v>46122.728310185186</v>
      </c>
      <c r="V2851"/>
      <c r="W2851" s="3">
        <v>46122</v>
      </c>
      <c r="X2851" t="inlineStr">
        <is>
          <t>04</t>
        </is>
      </c>
      <c r="Y2851" t="inlineStr">
        <is>
          <t>2026-Q2</t>
        </is>
      </c>
    </row>
    <row r="2852" ht="38.25" customHeight="1">
      <c r="A2852" t="inlineStr">
        <is>
          <t>26上教资面试《初中语文》185篇蕞新试讲逐字稿（清晰可打印）</t>
        </is>
      </c>
      <c r="B2852" t="inlineStr">
        <is>
          <t>recvgnxJdDMQA8.jpg</t>
        </is>
      </c>
      <c r="C2852" s="2" t="str">
        <f>=HYPERLINK("https://xhslink.com/m/8e3vFKibJFc", "https://xhslink.com/m/8e3vFKibJFc")</f>
        <v>https://xhslink.com/m/8e3vFKibJFc</v>
      </c>
      <c r="D2852"/>
      <c r="E2852">
        <v>4883</v>
      </c>
      <c r="F2852">
        <v>9.9</v>
      </c>
      <c r="G2852"/>
      <c r="H2852">
        <v>200</v>
      </c>
      <c r="I2852"/>
      <c r="J2852"/>
      <c r="K2852" t="inlineStr">
        <is>
          <t>初中语文</t>
        </is>
      </c>
      <c r="L2852"/>
      <c r="M2852" t="inlineStr">
        <is>
          <t>晚晚爱学习的店</t>
        </is>
      </c>
      <c r="N2852">
        <v>2938</v>
      </c>
      <c r="O2852">
        <v>4.38</v>
      </c>
      <c r="P2852">
        <v>20000</v>
      </c>
      <c r="Q2852" t="inlineStr">
        <is>
          <t>671b7e0afe853100011dc484</t>
        </is>
      </c>
      <c r="R2852" t="inlineStr">
        <is>
          <t>🚫重复</t>
        </is>
      </c>
      <c r="S2852" t="inlineStr">
        <is>
          <t>教资资料</t>
        </is>
      </c>
      <c r="T2852" t="inlineStr">
        <is>
          <t>1.66</t>
        </is>
      </c>
      <c r="U2852" s="3">
        <v>46122.728310185186</v>
      </c>
      <c r="V2852"/>
      <c r="W2852" s="3">
        <v>46122</v>
      </c>
      <c r="X2852" t="inlineStr">
        <is>
          <t>04</t>
        </is>
      </c>
      <c r="Y2852" t="inlineStr">
        <is>
          <t>2026-Q2</t>
        </is>
      </c>
    </row>
    <row r="2853" ht="38.25" customHeight="1">
      <c r="A2853" t="inlineStr">
        <is>
          <t>【初中】春山“百分百胜率”语文逆袭营</t>
        </is>
      </c>
      <c r="B2853" t="inlineStr">
        <is>
          <t>recvgnxJdDoFYs.jpg</t>
        </is>
      </c>
      <c r="C2853" s="2" t="str">
        <f>=HYPERLINK("https://xhslink.com/m/1M5IZSxCJne", "https://xhslink.com/m/1M5IZSxCJne")</f>
        <v>https://xhslink.com/m/1M5IZSxCJne</v>
      </c>
      <c r="D2853"/>
      <c r="E2853">
        <v>1848</v>
      </c>
      <c r="F2853">
        <v>99</v>
      </c>
      <c r="G2853"/>
      <c r="H2853">
        <v>150</v>
      </c>
      <c r="I2853"/>
      <c r="J2853"/>
      <c r="K2853" t="inlineStr">
        <is>
          <t>初中语文</t>
        </is>
      </c>
      <c r="L2853"/>
      <c r="M2853" t="inlineStr">
        <is>
          <t>月照春山学姐的店</t>
        </is>
      </c>
      <c r="N2853">
        <v>45000</v>
      </c>
      <c r="O2853">
        <v>4.57</v>
      </c>
      <c r="P2853">
        <v>7193</v>
      </c>
      <c r="Q2853" t="inlineStr">
        <is>
          <t>6901e22245459000016decb2</t>
        </is>
      </c>
      <c r="R2853" t="inlineStr">
        <is>
          <t>🚫重复</t>
        </is>
      </c>
      <c r="S2853" t="inlineStr">
        <is>
          <t>中小学教辅/教材</t>
        </is>
      </c>
      <c r="T2853" t="inlineStr">
        <is>
          <t>0.04</t>
        </is>
      </c>
      <c r="U2853" s="3">
        <v>46122.728310185186</v>
      </c>
      <c r="V2853"/>
      <c r="W2853" s="3">
        <v>46122</v>
      </c>
      <c r="X2853" t="inlineStr">
        <is>
          <t>04</t>
        </is>
      </c>
      <c r="Y2853" t="inlineStr">
        <is>
          <t>2026-Q2</t>
        </is>
      </c>
    </row>
    <row r="2854" ht="38.25" customHeight="1">
      <c r="A2854" t="inlineStr">
        <is>
          <t>初一语文七年级上下册备课情景式教学公开课ppt教学设计</t>
        </is>
      </c>
      <c r="B2854" t="inlineStr">
        <is>
          <t>recvgnxJdDt7hw.jpg</t>
        </is>
      </c>
      <c r="C2854" s="2" t="str">
        <f>=HYPERLINK("https://xhslink.com/m/37vu9BkYjVS", "https://xhslink.com/m/37vu9BkYjVS")</f>
        <v>https://xhslink.com/m/37vu9BkYjVS</v>
      </c>
      <c r="D2854"/>
      <c r="E2854">
        <v>1851</v>
      </c>
      <c r="F2854">
        <v>69.9</v>
      </c>
      <c r="G2854"/>
      <c r="H2854">
        <v>300</v>
      </c>
      <c r="I2854"/>
      <c r="J2854"/>
      <c r="K2854" t="inlineStr">
        <is>
          <t>初中语文</t>
        </is>
      </c>
      <c r="L2854"/>
      <c r="M2854" t="inlineStr">
        <is>
          <t>白日梦 Day Dream的店</t>
        </is>
      </c>
      <c r="N2854">
        <v>1333</v>
      </c>
      <c r="O2854">
        <v>4.57</v>
      </c>
      <c r="P2854">
        <v>8352</v>
      </c>
      <c r="Q2854" t="inlineStr">
        <is>
          <t>69a25f80094aed00019967fa</t>
        </is>
      </c>
      <c r="R2854" t="inlineStr">
        <is>
          <t>🚫重复</t>
        </is>
      </c>
      <c r="S2854" t="inlineStr">
        <is>
          <t>PPT模板</t>
        </is>
      </c>
      <c r="T2854" t="inlineStr">
        <is>
          <t>1.39</t>
        </is>
      </c>
      <c r="U2854" s="3">
        <v>46122.728310185186</v>
      </c>
      <c r="V2854"/>
      <c r="W2854" s="3">
        <v>46122</v>
      </c>
      <c r="X2854" t="inlineStr">
        <is>
          <t>04</t>
        </is>
      </c>
      <c r="Y2854" t="inlineStr">
        <is>
          <t>2026-Q2</t>
        </is>
      </c>
    </row>
    <row r="2855" ht="38.25" customHeight="1">
      <c r="A2855" t="inlineStr">
        <is>
          <t>2026年全新整理：梓墨说语文（第1-7季）第7季更新中</t>
        </is>
      </c>
      <c r="B2855" t="inlineStr">
        <is>
          <t>recvgnxJdDA74X.jpg</t>
        </is>
      </c>
      <c r="C2855" s="2" t="str">
        <f>=HYPERLINK("https://xhslink.com/m/ApotHAN9gpv", "https://xhslink.com/m/ApotHAN9gpv")</f>
        <v>https://xhslink.com/m/ApotHAN9gpv</v>
      </c>
      <c r="D2855"/>
      <c r="E2855">
        <v>1611</v>
      </c>
      <c r="F2855">
        <v>10</v>
      </c>
      <c r="G2855"/>
      <c r="H2855">
        <v>100</v>
      </c>
      <c r="I2855"/>
      <c r="J2855"/>
      <c r="K2855" t="inlineStr">
        <is>
          <t>初中语文</t>
        </is>
      </c>
      <c r="L2855"/>
      <c r="M2855" t="inlineStr">
        <is>
          <t>静1234的店</t>
        </is>
      </c>
      <c r="N2855">
        <v>1042</v>
      </c>
      <c r="O2855">
        <v>4.44</v>
      </c>
      <c r="P2855">
        <v>1608</v>
      </c>
      <c r="Q2855" t="inlineStr">
        <is>
          <t>6889f5714daa71000104ec74</t>
        </is>
      </c>
      <c r="R2855"/>
      <c r="S2855" t="inlineStr">
        <is>
          <t>无匹配类别</t>
        </is>
      </c>
      <c r="T2855" t="inlineStr">
        <is>
          <t>1.55</t>
        </is>
      </c>
      <c r="U2855" s="3">
        <v>46122.728310185186</v>
      </c>
      <c r="V2855"/>
      <c r="W2855" s="3">
        <v>46122</v>
      </c>
      <c r="X2855" t="inlineStr">
        <is>
          <t>04</t>
        </is>
      </c>
      <c r="Y2855" t="inlineStr">
        <is>
          <t>2026-Q2</t>
        </is>
      </c>
    </row>
    <row r="2856" ht="38.25" customHeight="1">
      <c r="A2856" t="inlineStr">
        <is>
          <t>岭南版八年级(下册）全册原创课件+教案</t>
        </is>
      </c>
      <c r="B2856" t="inlineStr">
        <is>
          <t>recvgnxJdDs8VB.jpg</t>
        </is>
      </c>
      <c r="C2856" s="2" t="str">
        <f>=HYPERLINK("https://xhslink.com/m/1zxuobXTKW8", "https://xhslink.com/m/1zxuobXTKW8")</f>
        <v>https://xhslink.com/m/1zxuobXTKW8</v>
      </c>
      <c r="D2856"/>
      <c r="E2856">
        <v>599</v>
      </c>
      <c r="F2856">
        <v>159.9</v>
      </c>
      <c r="G2856"/>
      <c r="H2856">
        <v>150</v>
      </c>
      <c r="I2856"/>
      <c r="J2856"/>
      <c r="K2856" t="inlineStr">
        <is>
          <t>初中语文</t>
        </is>
      </c>
      <c r="L2856"/>
      <c r="M2856" t="inlineStr">
        <is>
          <t>乔治的美术老师的店</t>
        </is>
      </c>
      <c r="N2856">
        <v>4241</v>
      </c>
      <c r="O2856">
        <v>4.5</v>
      </c>
      <c r="P2856">
        <v>9799</v>
      </c>
      <c r="Q2856" t="inlineStr">
        <is>
          <t>68083ec2bf68a200012ece7c</t>
        </is>
      </c>
      <c r="R2856"/>
      <c r="S2856" t="inlineStr">
        <is>
          <t>中小学教辅/教材</t>
        </is>
      </c>
      <c r="T2856" t="inlineStr">
        <is>
          <t>0.14</t>
        </is>
      </c>
      <c r="U2856" s="3">
        <v>46122.728310185186</v>
      </c>
      <c r="V2856"/>
      <c r="W2856" s="3">
        <v>46122</v>
      </c>
      <c r="X2856" t="inlineStr">
        <is>
          <t>04</t>
        </is>
      </c>
      <c r="Y2856" t="inlineStr">
        <is>
          <t>2026-Q2</t>
        </is>
      </c>
    </row>
    <row r="2857" ht="38.25" customHeight="1">
      <c r="A2857" t="inlineStr">
        <is>
          <t>初中数学七八九年级上下册举一反三专题分类训练电子版</t>
        </is>
      </c>
      <c r="B2857" t="inlineStr">
        <is>
          <t>recvgnxJdDIL7p.jpg</t>
        </is>
      </c>
      <c r="C2857" s="2" t="str">
        <f>=HYPERLINK("https://xhslink.com/m/Aa0eKpMxxQ9", "https://xhslink.com/m/Aa0eKpMxxQ9")</f>
        <v>https://xhslink.com/m/Aa0eKpMxxQ9</v>
      </c>
      <c r="D2857"/>
      <c r="E2857">
        <v>7518</v>
      </c>
      <c r="F2857">
        <v>5.9</v>
      </c>
      <c r="G2857"/>
      <c r="H2857">
        <v>2000</v>
      </c>
      <c r="I2857"/>
      <c r="J2857"/>
      <c r="K2857" t="inlineStr">
        <is>
          <t>初中数学</t>
        </is>
      </c>
      <c r="L2857" t="inlineStr">
        <is>
          <t>🔥低粉爆款</t>
        </is>
      </c>
      <c r="M2857" t="inlineStr">
        <is>
          <t>学习研习社的店</t>
        </is>
      </c>
      <c r="N2857">
        <v>678</v>
      </c>
      <c r="O2857">
        <v>4.47</v>
      </c>
      <c r="P2857">
        <v>8907</v>
      </c>
      <c r="Q2857" t="inlineStr">
        <is>
          <t>68956983a7c1e3000118cb5d</t>
        </is>
      </c>
      <c r="R2857" t="inlineStr">
        <is>
          <t>🚫重复</t>
        </is>
      </c>
      <c r="S2857" t="inlineStr">
        <is>
          <t>中小学教辅/教材</t>
        </is>
      </c>
      <c r="T2857" t="inlineStr">
        <is>
          <t>11.09</t>
        </is>
      </c>
      <c r="U2857" s="3">
        <v>46122.728310185186</v>
      </c>
      <c r="V2857"/>
      <c r="W2857" s="3">
        <v>46122</v>
      </c>
      <c r="X2857" t="inlineStr">
        <is>
          <t>04</t>
        </is>
      </c>
      <c r="Y2857" t="inlineStr">
        <is>
          <t>2026-Q2</t>
        </is>
      </c>
    </row>
    <row r="2858" ht="38.25" customHeight="1">
      <c r="A2858" t="inlineStr">
        <is>
          <t>正版｜初中数学低分重建｜自学、逆袭、必备教辅｜通俗易懂</t>
        </is>
      </c>
      <c r="B2858" t="inlineStr">
        <is>
          <t>recvgnxJdD4wUp.jpg</t>
        </is>
      </c>
      <c r="C2858" s="2" t="str">
        <f>=HYPERLINK("https://xhslink.com/m/7vKNwI28Pw3", "https://xhslink.com/m/7vKNwI28Pw3")</f>
        <v>https://xhslink.com/m/7vKNwI28Pw3</v>
      </c>
      <c r="D2858"/>
      <c r="E2858">
        <v>6479</v>
      </c>
      <c r="F2858">
        <v>88</v>
      </c>
      <c r="G2858"/>
      <c r="H2858">
        <v>150</v>
      </c>
      <c r="I2858"/>
      <c r="J2858"/>
      <c r="K2858" t="inlineStr">
        <is>
          <t>初中数学</t>
        </is>
      </c>
      <c r="L2858"/>
      <c r="M2858" t="inlineStr">
        <is>
          <t>初中数学低分重建的店</t>
        </is>
      </c>
      <c r="N2858">
        <v>3421</v>
      </c>
      <c r="O2858">
        <v>4.28</v>
      </c>
      <c r="P2858">
        <v>6599</v>
      </c>
      <c r="Q2858" t="inlineStr">
        <is>
          <t>6826e8a3d6ff4d00011e06ea</t>
        </is>
      </c>
      <c r="R2858" t="inlineStr">
        <is>
          <t>🚫重复</t>
        </is>
      </c>
      <c r="S2858" t="inlineStr">
        <is>
          <t>中小学教辅/教材</t>
        </is>
      </c>
      <c r="T2858" t="inlineStr">
        <is>
          <t>1.89</t>
        </is>
      </c>
      <c r="U2858" s="3">
        <v>46122.728310185186</v>
      </c>
      <c r="V2858"/>
      <c r="W2858" s="3">
        <v>46122</v>
      </c>
      <c r="X2858" t="inlineStr">
        <is>
          <t>04</t>
        </is>
      </c>
      <c r="Y2858" t="inlineStr">
        <is>
          <t>2026-Q2</t>
        </is>
      </c>
    </row>
    <row r="2859" ht="38.25" customHeight="1">
      <c r="A2859" t="inlineStr">
        <is>
          <t>2026初中数学几何模型-从入门到精通520题|电子版（学生版+教师版</t>
        </is>
      </c>
      <c r="B2859" t="inlineStr">
        <is>
          <t>recvgnxJdDx7ol.jpg</t>
        </is>
      </c>
      <c r="C2859" s="2" t="str">
        <f>=HYPERLINK("https://xhslink.com/m/3hYg8lPYS1F", "https://xhslink.com/m/3hYg8lPYS1F")</f>
        <v>https://xhslink.com/m/3hYg8lPYS1F</v>
      </c>
      <c r="D2859"/>
      <c r="E2859">
        <v>3434</v>
      </c>
      <c r="F2859">
        <v>9.9</v>
      </c>
      <c r="G2859"/>
      <c r="H2859">
        <v>450</v>
      </c>
      <c r="I2859"/>
      <c r="J2859"/>
      <c r="K2859" t="inlineStr">
        <is>
          <t>初中数学</t>
        </is>
      </c>
      <c r="L2859"/>
      <c r="M2859" t="inlineStr">
        <is>
          <t>不暴躁的杨老师的店</t>
        </is>
      </c>
      <c r="N2859">
        <v>16000</v>
      </c>
      <c r="O2859">
        <v>4.62</v>
      </c>
      <c r="P2859">
        <v>13000</v>
      </c>
      <c r="Q2859" t="inlineStr">
        <is>
          <t>685ceed33970ba00011a9b48</t>
        </is>
      </c>
      <c r="R2859" t="inlineStr">
        <is>
          <t>🚫重复</t>
        </is>
      </c>
      <c r="S2859" t="inlineStr">
        <is>
          <t>中小学教辅/教材</t>
        </is>
      </c>
      <c r="T2859" t="inlineStr">
        <is>
          <t>0.21</t>
        </is>
      </c>
      <c r="U2859" s="3">
        <v>46122.728310185186</v>
      </c>
      <c r="V2859"/>
      <c r="W2859" s="3">
        <v>46122</v>
      </c>
      <c r="X2859" t="inlineStr">
        <is>
          <t>04</t>
        </is>
      </c>
      <c r="Y2859" t="inlineStr">
        <is>
          <t>2026-Q2</t>
        </is>
      </c>
    </row>
    <row r="2860" ht="38.25" customHeight="1">
      <c r="A2860" t="inlineStr">
        <is>
          <t>初中数学睡前默写小纸条资料包中考合集通用版（电子版资料）</t>
        </is>
      </c>
      <c r="B2860" t="inlineStr">
        <is>
          <t>recvgnxJdDgaDB.jpg</t>
        </is>
      </c>
      <c r="C2860" s="2" t="str">
        <f>=HYPERLINK("https://xhslink.com/m/4EVdPXx2ySx", "https://xhslink.com/m/4EVdPXx2ySx")</f>
        <v>https://xhslink.com/m/4EVdPXx2ySx</v>
      </c>
      <c r="D2860"/>
      <c r="E2860">
        <v>3074</v>
      </c>
      <c r="F2860">
        <v>12.8</v>
      </c>
      <c r="G2860"/>
      <c r="H2860">
        <v>150</v>
      </c>
      <c r="I2860"/>
      <c r="J2860"/>
      <c r="K2860" t="inlineStr">
        <is>
          <t>初中数学</t>
        </is>
      </c>
      <c r="L2860"/>
      <c r="M2860" t="inlineStr">
        <is>
          <t>马老师资料库的店</t>
        </is>
      </c>
      <c r="N2860">
        <v>1962</v>
      </c>
      <c r="O2860">
        <v>4.1</v>
      </c>
      <c r="P2860">
        <v>4225</v>
      </c>
      <c r="Q2860" t="inlineStr">
        <is>
          <t>6814379daca4490001147e3c</t>
        </is>
      </c>
      <c r="R2860" t="inlineStr">
        <is>
          <t>🚫重复</t>
        </is>
      </c>
      <c r="S2860" t="inlineStr">
        <is>
          <t>中小学教辅/教材</t>
        </is>
      </c>
      <c r="T2860" t="inlineStr">
        <is>
          <t>1.57</t>
        </is>
      </c>
      <c r="U2860" s="3">
        <v>46122.728310185186</v>
      </c>
      <c r="V2860"/>
      <c r="W2860" s="3">
        <v>46122</v>
      </c>
      <c r="X2860" t="inlineStr">
        <is>
          <t>04</t>
        </is>
      </c>
      <c r="Y2860" t="inlineStr">
        <is>
          <t>2026-Q2</t>
        </is>
      </c>
    </row>
    <row r="2861" ht="38.25" customHeight="1">
      <c r="A2861" t="inlineStr">
        <is>
          <t>浙大版初中高中学数学物理化学思想方法导引学霸辅导书全国通用</t>
        </is>
      </c>
      <c r="B2861" t="inlineStr">
        <is>
          <t>recvgnxJdDV7kB.jpg</t>
        </is>
      </c>
      <c r="C2861" s="2" t="str">
        <f>=HYPERLINK("https://xhslink.com/m/24bfrmCw83C", "https://xhslink.com/m/24bfrmCw83C")</f>
        <v>https://xhslink.com/m/24bfrmCw83C</v>
      </c>
      <c r="D2861"/>
      <c r="E2861">
        <v>2537</v>
      </c>
      <c r="F2861">
        <v>39.9</v>
      </c>
      <c r="G2861"/>
      <c r="H2861">
        <v>200</v>
      </c>
      <c r="I2861"/>
      <c r="J2861"/>
      <c r="K2861" t="inlineStr">
        <is>
          <t>初中数学</t>
        </is>
      </c>
      <c r="L2861"/>
      <c r="M2861" t="inlineStr">
        <is>
          <t>清玄书苑的店</t>
        </is>
      </c>
      <c r="N2861">
        <v>1022</v>
      </c>
      <c r="O2861">
        <v>4.37</v>
      </c>
      <c r="P2861">
        <v>2833</v>
      </c>
      <c r="Q2861" t="inlineStr">
        <is>
          <t>680f10f815a1180015d4102a</t>
        </is>
      </c>
      <c r="R2861" t="inlineStr">
        <is>
          <t>🚫重复</t>
        </is>
      </c>
      <c r="S2861" t="inlineStr">
        <is>
          <t>中小学教辅/教材</t>
        </is>
      </c>
      <c r="T2861" t="inlineStr">
        <is>
          <t>2.48</t>
        </is>
      </c>
      <c r="U2861" s="3">
        <v>46122.728310185186</v>
      </c>
      <c r="V2861"/>
      <c r="W2861" s="3">
        <v>46122</v>
      </c>
      <c r="X2861" t="inlineStr">
        <is>
          <t>04</t>
        </is>
      </c>
      <c r="Y2861" t="inlineStr">
        <is>
          <t>2026-Q2</t>
        </is>
      </c>
    </row>
    <row r="2862" ht="38.25" customHeight="1">
      <c r="A2862" t="inlineStr">
        <is>
          <t>备战2026初三中考总复习资料一轮二轮专题专项训练真题汇编电子版</t>
        </is>
      </c>
      <c r="B2862" t="inlineStr">
        <is>
          <t>recvgnxJdD7FfY.jpg</t>
        </is>
      </c>
      <c r="C2862" s="2" t="str">
        <f>=HYPERLINK("https://xhslink.com/m/4csmW2L9PIF", "https://xhslink.com/m/4csmW2L9PIF")</f>
        <v>https://xhslink.com/m/4csmW2L9PIF</v>
      </c>
      <c r="D2862"/>
      <c r="E2862">
        <v>2583</v>
      </c>
      <c r="F2862">
        <v>6.6</v>
      </c>
      <c r="G2862"/>
      <c r="H2862">
        <v>1500</v>
      </c>
      <c r="I2862"/>
      <c r="J2862"/>
      <c r="K2862" t="inlineStr">
        <is>
          <t>初中数学</t>
        </is>
      </c>
      <c r="L2862"/>
      <c r="M2862" t="inlineStr">
        <is>
          <t>中考满分资料库的店</t>
        </is>
      </c>
      <c r="N2862">
        <v>2455</v>
      </c>
      <c r="O2862">
        <v>4.55</v>
      </c>
      <c r="P2862">
        <v>5918</v>
      </c>
      <c r="Q2862" t="inlineStr">
        <is>
          <t>6900a07ec074c50001564d4a</t>
        </is>
      </c>
      <c r="R2862" t="inlineStr">
        <is>
          <t>🚫重复</t>
        </is>
      </c>
      <c r="S2862" t="inlineStr">
        <is>
          <t>中小学教辅/教材</t>
        </is>
      </c>
      <c r="T2862" t="inlineStr">
        <is>
          <t>1.05</t>
        </is>
      </c>
      <c r="U2862" s="3">
        <v>46122.728310185186</v>
      </c>
      <c r="V2862"/>
      <c r="W2862" s="3">
        <v>46122</v>
      </c>
      <c r="X2862" t="inlineStr">
        <is>
          <t>04</t>
        </is>
      </c>
      <c r="Y2862" t="inlineStr">
        <is>
          <t>2026-Q2</t>
        </is>
      </c>
    </row>
    <row r="2863" ht="38.25" customHeight="1">
      <c r="A2863" t="inlineStr">
        <is>
          <t>2026初中数理化公式法二级结论秒解七八九年级上下册高频考法解析</t>
        </is>
      </c>
      <c r="B2863" t="inlineStr">
        <is>
          <t>recvgnxJdDcwm9.jpg</t>
        </is>
      </c>
      <c r="C2863" s="2" t="str">
        <f>=HYPERLINK("https://xhslink.com/m/5AsT9ued1w2", "https://xhslink.com/m/5AsT9ued1w2")</f>
        <v>https://xhslink.com/m/5AsT9ued1w2</v>
      </c>
      <c r="D2863"/>
      <c r="E2863">
        <v>739</v>
      </c>
      <c r="F2863">
        <v>102.9</v>
      </c>
      <c r="G2863"/>
      <c r="H2863">
        <v>100</v>
      </c>
      <c r="I2863"/>
      <c r="J2863"/>
      <c r="K2863" t="inlineStr">
        <is>
          <t>初中数学</t>
        </is>
      </c>
      <c r="L2863"/>
      <c r="M2863" t="inlineStr">
        <is>
          <t>厚积薄发书屋的店</t>
        </is>
      </c>
      <c r="N2863">
        <v>312</v>
      </c>
      <c r="O2863">
        <v>4.27</v>
      </c>
      <c r="P2863">
        <v>2743</v>
      </c>
      <c r="Q2863" t="inlineStr">
        <is>
          <t>691c11fd6e4b71000137eaaf</t>
        </is>
      </c>
      <c r="R2863" t="inlineStr">
        <is>
          <t>🚫重复</t>
        </is>
      </c>
      <c r="S2863" t="inlineStr">
        <is>
          <t>中小学教辅/教材</t>
        </is>
      </c>
      <c r="T2863" t="inlineStr">
        <is>
          <t>2.37</t>
        </is>
      </c>
      <c r="U2863" s="3">
        <v>46122.728310185186</v>
      </c>
      <c r="V2863"/>
      <c r="W2863" s="3">
        <v>46122</v>
      </c>
      <c r="X2863" t="inlineStr">
        <is>
          <t>04</t>
        </is>
      </c>
      <c r="Y2863" t="inlineStr">
        <is>
          <t>2026-Q2</t>
        </is>
      </c>
    </row>
    <row r="2864" ht="38.25" customHeight="1">
      <c r="A2864" t="inlineStr">
        <is>
          <t>浙大版初中高中数学物理化学思想方法导引学霸辅导书全国通用2</t>
        </is>
      </c>
      <c r="B2864" t="inlineStr">
        <is>
          <t>recvgnxJdDbjjC.jpg</t>
        </is>
      </c>
      <c r="C2864" s="2" t="str">
        <f>=HYPERLINK("https://xhslink.com/m/4UHlWRV2LH7", "https://xhslink.com/m/4UHlWRV2LH7")</f>
        <v>https://xhslink.com/m/4UHlWRV2LH7</v>
      </c>
      <c r="D2864"/>
      <c r="E2864">
        <v>652</v>
      </c>
      <c r="F2864">
        <v>39.9</v>
      </c>
      <c r="G2864"/>
      <c r="H2864">
        <v>150</v>
      </c>
      <c r="I2864"/>
      <c r="J2864"/>
      <c r="K2864" t="inlineStr">
        <is>
          <t>初中数学</t>
        </is>
      </c>
      <c r="L2864"/>
      <c r="M2864" t="inlineStr">
        <is>
          <t>前程书苑的店</t>
        </is>
      </c>
      <c r="N2864">
        <v>255</v>
      </c>
      <c r="O2864">
        <v>4.29</v>
      </c>
      <c r="P2864">
        <v>1711</v>
      </c>
      <c r="Q2864" t="inlineStr">
        <is>
          <t>68770dd1a7c1e3000149160b</t>
        </is>
      </c>
      <c r="R2864"/>
      <c r="S2864" t="inlineStr">
        <is>
          <t>中小学教辅/教材</t>
        </is>
      </c>
      <c r="T2864" t="inlineStr">
        <is>
          <t>2.56</t>
        </is>
      </c>
      <c r="U2864" s="3">
        <v>46122.728310185186</v>
      </c>
      <c r="V2864"/>
      <c r="W2864" s="3">
        <v>46122</v>
      </c>
      <c r="X2864" t="inlineStr">
        <is>
          <t>04</t>
        </is>
      </c>
      <c r="Y2864" t="inlineStr">
        <is>
          <t>2026-Q2</t>
        </is>
      </c>
    </row>
    <row r="2865" ht="38.25" customHeight="1">
      <c r="A2865" t="inlineStr">
        <is>
          <t>初中英语语法小纸条，中考英语语法知识梳理电子版（pdf+word）</t>
        </is>
      </c>
      <c r="B2865" t="inlineStr">
        <is>
          <t>recvgnxJdDQiWc.jpg</t>
        </is>
      </c>
      <c r="C2865" s="2" t="str">
        <f>=HYPERLINK("https://xhslink.com/m/9dOFdDgLWzg", "https://xhslink.com/m/9dOFdDgLWzg")</f>
        <v>https://xhslink.com/m/9dOFdDgLWzg</v>
      </c>
      <c r="D2865"/>
      <c r="E2865">
        <v>8792</v>
      </c>
      <c r="F2865">
        <v>8.8</v>
      </c>
      <c r="G2865"/>
      <c r="H2865">
        <v>550</v>
      </c>
      <c r="I2865"/>
      <c r="J2865"/>
      <c r="K2865" t="inlineStr">
        <is>
          <t>初中英语</t>
        </is>
      </c>
      <c r="L2865"/>
      <c r="M2865" t="inlineStr">
        <is>
          <t>学界小筑的店</t>
        </is>
      </c>
      <c r="N2865">
        <v>3469</v>
      </c>
      <c r="O2865">
        <v>4.53</v>
      </c>
      <c r="P2865">
        <v>18000</v>
      </c>
      <c r="Q2865" t="inlineStr">
        <is>
          <t>67eceeb91e01cb0001ee0ceb</t>
        </is>
      </c>
      <c r="R2865" t="inlineStr">
        <is>
          <t>🚫重复</t>
        </is>
      </c>
      <c r="S2865" t="inlineStr">
        <is>
          <t>中小学教辅/教材</t>
        </is>
      </c>
      <c r="T2865" t="inlineStr">
        <is>
          <t>2.53</t>
        </is>
      </c>
      <c r="U2865" s="3">
        <v>46122.728310185186</v>
      </c>
      <c r="V2865"/>
      <c r="W2865" s="3">
        <v>46122</v>
      </c>
      <c r="X2865" t="inlineStr">
        <is>
          <t>04</t>
        </is>
      </c>
      <c r="Y2865" t="inlineStr">
        <is>
          <t>2026-Q2</t>
        </is>
      </c>
    </row>
    <row r="2866" ht="38.25" customHeight="1">
      <c r="A2866" t="inlineStr">
        <is>
          <t>初中英语语法知识点归纳总结+考点解析+习题训练电子版可打印</t>
        </is>
      </c>
      <c r="B2866" t="inlineStr">
        <is>
          <t>recvgnxJdDbrQK.jpg</t>
        </is>
      </c>
      <c r="C2866" s="2" t="str">
        <f>=HYPERLINK("https://xhslink.com/m/AcXhicTpUjs", "https://xhslink.com/m/AcXhicTpUjs")</f>
        <v>https://xhslink.com/m/AcXhicTpUjs</v>
      </c>
      <c r="D2866"/>
      <c r="E2866">
        <v>4571</v>
      </c>
      <c r="F2866">
        <v>4.9</v>
      </c>
      <c r="G2866"/>
      <c r="H2866">
        <v>950</v>
      </c>
      <c r="I2866"/>
      <c r="J2866"/>
      <c r="K2866" t="inlineStr">
        <is>
          <t>初中英语</t>
        </is>
      </c>
      <c r="L2866" t="inlineStr">
        <is>
          <t>🔥低粉爆款</t>
        </is>
      </c>
      <c r="M2866" t="inlineStr">
        <is>
          <t>复旦徐老师（知识宝典）的店</t>
        </is>
      </c>
      <c r="N2866">
        <v>1174</v>
      </c>
      <c r="O2866">
        <v>4.52</v>
      </c>
      <c r="P2866">
        <v>8763</v>
      </c>
      <c r="Q2866" t="inlineStr">
        <is>
          <t>68ae67f1f38f970001c1e8b7</t>
        </is>
      </c>
      <c r="R2866" t="inlineStr">
        <is>
          <t>🚫重复</t>
        </is>
      </c>
      <c r="S2866" t="inlineStr">
        <is>
          <t>中小学教辅/教材</t>
        </is>
      </c>
      <c r="T2866" t="inlineStr">
        <is>
          <t>3.89</t>
        </is>
      </c>
      <c r="U2866" s="3">
        <v>46122.728310185186</v>
      </c>
      <c r="V2866"/>
      <c r="W2866" s="3">
        <v>46122</v>
      </c>
      <c r="X2866" t="inlineStr">
        <is>
          <t>04</t>
        </is>
      </c>
      <c r="Y2866" t="inlineStr">
        <is>
          <t>2026-Q2</t>
        </is>
      </c>
    </row>
    <row r="2867" ht="38.25" customHeight="1">
      <c r="A2867" t="inlineStr">
        <is>
          <t>学而思 · 初中英语语法中考考频分区速学词汇语法单词考点复习</t>
        </is>
      </c>
      <c r="B2867" t="inlineStr">
        <is>
          <t>recvgnxJdDsHfI.jpg</t>
        </is>
      </c>
      <c r="C2867" s="2" t="str">
        <f>=HYPERLINK("https://xhslink.com/m/AD91YuwZVZM", "https://xhslink.com/m/AD91YuwZVZM")</f>
        <v>https://xhslink.com/m/AD91YuwZVZM</v>
      </c>
      <c r="D2867"/>
      <c r="E2867">
        <v>4414</v>
      </c>
      <c r="F2867">
        <v>110</v>
      </c>
      <c r="G2867"/>
      <c r="H2867">
        <v>100</v>
      </c>
      <c r="I2867"/>
      <c r="J2867"/>
      <c r="K2867" t="inlineStr">
        <is>
          <t>初中英语</t>
        </is>
      </c>
      <c r="L2867"/>
      <c r="M2867" t="inlineStr">
        <is>
          <t>张学姐的店</t>
        </is>
      </c>
      <c r="N2867">
        <v>6230</v>
      </c>
      <c r="O2867">
        <v>4.54</v>
      </c>
      <c r="P2867">
        <v>15000</v>
      </c>
      <c r="Q2867" t="inlineStr">
        <is>
          <t>668169686a22800001847d9f</t>
        </is>
      </c>
      <c r="R2867" t="inlineStr">
        <is>
          <t>🚫重复</t>
        </is>
      </c>
      <c r="S2867" t="inlineStr">
        <is>
          <t>中小学教辅/教材</t>
        </is>
      </c>
      <c r="T2867" t="inlineStr">
        <is>
          <t>0.71</t>
        </is>
      </c>
      <c r="U2867" s="3">
        <v>46122.728310185186</v>
      </c>
      <c r="V2867"/>
      <c r="W2867" s="3">
        <v>46122</v>
      </c>
      <c r="X2867" t="inlineStr">
        <is>
          <t>04</t>
        </is>
      </c>
      <c r="Y2867" t="inlineStr">
        <is>
          <t>2026-Q2</t>
        </is>
      </c>
    </row>
    <row r="2868" ht="38.25" customHeight="1">
      <c r="A2868" t="inlineStr">
        <is>
          <t>【浙江】26年新版初中科学学习资料（电子版）-拍下自动发货</t>
        </is>
      </c>
      <c r="B2868" t="inlineStr">
        <is>
          <t>recvgnxJdD6CPQ.jpg</t>
        </is>
      </c>
      <c r="C2868" s="2" t="str">
        <f>=HYPERLINK("https://xhslink.com/m/Ao2ghgzQw8M", "https://xhslink.com/m/Ao2ghgzQw8M")</f>
        <v>https://xhslink.com/m/Ao2ghgzQw8M</v>
      </c>
      <c r="D2868"/>
      <c r="E2868">
        <v>2729</v>
      </c>
      <c r="F2868">
        <v>199</v>
      </c>
      <c r="G2868"/>
      <c r="H2868">
        <v>200</v>
      </c>
      <c r="I2868"/>
      <c r="J2868"/>
      <c r="K2868" t="inlineStr">
        <is>
          <t>初中英语</t>
        </is>
      </c>
      <c r="L2868"/>
      <c r="M2868" t="inlineStr">
        <is>
          <t>三水爱学习的店</t>
        </is>
      </c>
      <c r="N2868">
        <v>12000</v>
      </c>
      <c r="O2868">
        <v>4.47</v>
      </c>
      <c r="P2868">
        <v>28000</v>
      </c>
      <c r="Q2868" t="inlineStr">
        <is>
          <t>67b5527ceef1820001244e24</t>
        </is>
      </c>
      <c r="R2868" t="inlineStr">
        <is>
          <t>🚫重复</t>
        </is>
      </c>
      <c r="S2868" t="inlineStr">
        <is>
          <t>中小学教辅/教材</t>
        </is>
      </c>
      <c r="T2868" t="inlineStr">
        <is>
          <t>0.23</t>
        </is>
      </c>
      <c r="U2868" s="3">
        <v>46122.728310185186</v>
      </c>
      <c r="V2868"/>
      <c r="W2868" s="3">
        <v>46122</v>
      </c>
      <c r="X2868" t="inlineStr">
        <is>
          <t>04</t>
        </is>
      </c>
      <c r="Y2868" t="inlineStr">
        <is>
          <t>2026-Q2</t>
        </is>
      </c>
    </row>
    <row r="2869" ht="38.25" customHeight="1">
      <c r="A2869" t="inlineStr">
        <is>
          <t>初中英语核心688词汇21篇爽文记忆法+688词汇表+英汉默写+mp3音频</t>
        </is>
      </c>
      <c r="B2869" t="inlineStr">
        <is>
          <t>recvgnxJdD0PWL.jpg</t>
        </is>
      </c>
      <c r="C2869" s="2" t="str">
        <f>=HYPERLINK("https://xhslink.com/m/6iSsEjE8gD3", "https://xhslink.com/m/6iSsEjE8gD3")</f>
        <v>https://xhslink.com/m/6iSsEjE8gD3</v>
      </c>
      <c r="D2869"/>
      <c r="E2869">
        <v>1199</v>
      </c>
      <c r="F2869">
        <v>9.99</v>
      </c>
      <c r="G2869"/>
      <c r="H2869">
        <v>100</v>
      </c>
      <c r="I2869"/>
      <c r="J2869"/>
      <c r="K2869" t="inlineStr">
        <is>
          <t>初中英语</t>
        </is>
      </c>
      <c r="L2869"/>
      <c r="M2869" t="inlineStr">
        <is>
          <t>奈奈学姐的学习百宝箱的店</t>
        </is>
      </c>
      <c r="N2869">
        <v>15000</v>
      </c>
      <c r="O2869">
        <v>4.62</v>
      </c>
      <c r="P2869">
        <v>12000</v>
      </c>
      <c r="Q2869" t="inlineStr">
        <is>
          <t>68fc710ac074c500012c82c9</t>
        </is>
      </c>
      <c r="R2869" t="inlineStr">
        <is>
          <t>🚫重复</t>
        </is>
      </c>
      <c r="S2869" t="inlineStr">
        <is>
          <t>中小学教辅/教材</t>
        </is>
      </c>
      <c r="T2869" t="inlineStr">
        <is>
          <t>0.08</t>
        </is>
      </c>
      <c r="U2869" s="3">
        <v>46122.728310185186</v>
      </c>
      <c r="V2869"/>
      <c r="W2869" s="3">
        <v>46122</v>
      </c>
      <c r="X2869" t="inlineStr">
        <is>
          <t>04</t>
        </is>
      </c>
      <c r="Y2869" t="inlineStr">
        <is>
          <t>2026-Q2</t>
        </is>
      </c>
    </row>
    <row r="2870" ht="38.25" customHeight="1">
      <c r="A2870" t="inlineStr">
        <is>
          <t>新八下人教版英语讲义＋配套课件</t>
        </is>
      </c>
      <c r="B2870" t="inlineStr">
        <is>
          <t>recvgnxJdDUo0X.jpg</t>
        </is>
      </c>
      <c r="C2870" s="2" t="str">
        <f>=HYPERLINK("https://xhslink.com/m/3Y65DjBEWBz", "https://xhslink.com/m/3Y65DjBEWBz")</f>
        <v>https://xhslink.com/m/3Y65DjBEWBz</v>
      </c>
      <c r="D2870"/>
      <c r="E2870">
        <v>1128</v>
      </c>
      <c r="F2870">
        <v>128</v>
      </c>
      <c r="G2870"/>
      <c r="H2870">
        <v>100</v>
      </c>
      <c r="I2870"/>
      <c r="J2870"/>
      <c r="K2870" t="inlineStr">
        <is>
          <t>初中英语</t>
        </is>
      </c>
      <c r="L2870"/>
      <c r="M2870" t="inlineStr">
        <is>
          <t>Monica原创精品讲义（课件)的店</t>
        </is>
      </c>
      <c r="N2870">
        <v>5945</v>
      </c>
      <c r="O2870">
        <v>4.27</v>
      </c>
      <c r="P2870">
        <v>9372</v>
      </c>
      <c r="Q2870" t="inlineStr">
        <is>
          <t>693f60bf3753f700016890ad</t>
        </is>
      </c>
      <c r="R2870" t="inlineStr">
        <is>
          <t>🚫重复</t>
        </is>
      </c>
      <c r="S2870" t="inlineStr">
        <is>
          <t>中小学教辅/教材</t>
        </is>
      </c>
      <c r="T2870" t="inlineStr">
        <is>
          <t>0.19</t>
        </is>
      </c>
      <c r="U2870" s="3">
        <v>46122.728310185186</v>
      </c>
      <c r="V2870"/>
      <c r="W2870" s="3">
        <v>46122</v>
      </c>
      <c r="X2870" t="inlineStr">
        <is>
          <t>04</t>
        </is>
      </c>
      <c r="Y2870" t="inlineStr">
        <is>
          <t>2026-Q2</t>
        </is>
      </c>
    </row>
    <row r="2871" ht="38.25" customHeight="1">
      <c r="A2871" t="inlineStr">
        <is>
          <t>初中7-9年级语/数/英/物/化/生/历史/地理/道法电子版资料</t>
        </is>
      </c>
      <c r="B2871" t="inlineStr">
        <is>
          <t>recvgnxJdDs8em.jpg</t>
        </is>
      </c>
      <c r="C2871" s="2" t="str">
        <f>=HYPERLINK("https://xhslink.com/m/A6dV58slak", "https://xhslink.com/m/A6dV58slak")</f>
        <v>https://xhslink.com/m/A6dV58slak</v>
      </c>
      <c r="D2871"/>
      <c r="E2871">
        <v>740</v>
      </c>
      <c r="F2871">
        <v>199</v>
      </c>
      <c r="G2871"/>
      <c r="H2871">
        <v>100</v>
      </c>
      <c r="I2871"/>
      <c r="J2871"/>
      <c r="K2871" t="inlineStr">
        <is>
          <t>初中英语</t>
        </is>
      </c>
      <c r="L2871"/>
      <c r="M2871" t="inlineStr">
        <is>
          <t>清也同学的店</t>
        </is>
      </c>
      <c r="N2871">
        <v>1120</v>
      </c>
      <c r="O2871">
        <v>4.51</v>
      </c>
      <c r="P2871">
        <v>899</v>
      </c>
      <c r="Q2871" t="inlineStr">
        <is>
          <t>685ec5b07590770001d863e1</t>
        </is>
      </c>
      <c r="R2871" t="inlineStr">
        <is>
          <t>🚫重复</t>
        </is>
      </c>
      <c r="S2871" t="inlineStr">
        <is>
          <t>中小学教辅/教材</t>
        </is>
      </c>
      <c r="T2871" t="inlineStr">
        <is>
          <t>0.66</t>
        </is>
      </c>
      <c r="U2871" s="3">
        <v>46122.728310185186</v>
      </c>
      <c r="V2871"/>
      <c r="W2871" s="3">
        <v>46122</v>
      </c>
      <c r="X2871" t="inlineStr">
        <is>
          <t>04</t>
        </is>
      </c>
      <c r="Y2871" t="inlineStr">
        <is>
          <t>2026-Q2</t>
        </is>
      </c>
    </row>
    <row r="2872" ht="38.25" customHeight="1">
      <c r="A2872" t="inlineStr">
        <is>
          <t>新七下人教版英语Unit2课件（网盘自动发货）</t>
        </is>
      </c>
      <c r="B2872" t="inlineStr">
        <is>
          <t>recvgnxJdDlbLg.jpg</t>
        </is>
      </c>
      <c r="C2872" s="2" t="str">
        <f>=HYPERLINK("https://xhslink.com/m/5sWalFjwRTK", "https://xhslink.com/m/5sWalFjwRTK")</f>
        <v>https://xhslink.com/m/5sWalFjwRTK</v>
      </c>
      <c r="D2872"/>
      <c r="E2872">
        <v>523</v>
      </c>
      <c r="F2872">
        <v>168</v>
      </c>
      <c r="G2872"/>
      <c r="H2872">
        <v>350</v>
      </c>
      <c r="I2872"/>
      <c r="J2872"/>
      <c r="K2872" t="inlineStr">
        <is>
          <t>初中英语</t>
        </is>
      </c>
      <c r="L2872"/>
      <c r="M2872" t="inlineStr">
        <is>
          <t>锅锅原创课件的店</t>
        </is>
      </c>
      <c r="N2872">
        <v>18000</v>
      </c>
      <c r="O2872">
        <v>4.36</v>
      </c>
      <c r="P2872">
        <v>11000</v>
      </c>
      <c r="Q2872" t="inlineStr">
        <is>
          <t>69a7dd883c16aa00014d194c</t>
        </is>
      </c>
      <c r="R2872" t="inlineStr">
        <is>
          <t>🚫重复</t>
        </is>
      </c>
      <c r="S2872" t="inlineStr">
        <is>
          <t>中小学教辅/教材</t>
        </is>
      </c>
      <c r="T2872" t="inlineStr">
        <is>
          <t>0.03</t>
        </is>
      </c>
      <c r="U2872" s="3">
        <v>46122.728310185186</v>
      </c>
      <c r="V2872"/>
      <c r="W2872" s="3">
        <v>46122</v>
      </c>
      <c r="X2872" t="inlineStr">
        <is>
          <t>04</t>
        </is>
      </c>
      <c r="Y2872" t="inlineStr">
        <is>
          <t>2026-Q2</t>
        </is>
      </c>
    </row>
    <row r="2873" ht="38.25" customHeight="1">
      <c r="A2873" t="inlineStr">
        <is>
          <t>PPT模板 商务风立体逻辑图 220页支持Win/Mac 无水印</t>
        </is>
      </c>
      <c r="B2873" t="inlineStr">
        <is>
          <t>recvgnxJdDz0xW.jpg</t>
        </is>
      </c>
      <c r="C2873" s="2" t="str">
        <f>=HYPERLINK("https://xhslink.com/m/1JLkxT8pQhE", "https://xhslink.com/m/1JLkxT8pQhE")</f>
        <v>https://xhslink.com/m/1JLkxT8pQhE</v>
      </c>
      <c r="D2873"/>
      <c r="E2873">
        <v>6427</v>
      </c>
      <c r="F2873">
        <v>39.99</v>
      </c>
      <c r="G2873"/>
      <c r="H2873">
        <v>150</v>
      </c>
      <c r="I2873"/>
      <c r="J2873"/>
      <c r="K2873" t="inlineStr">
        <is>
          <t>PPT模板</t>
        </is>
      </c>
      <c r="L2873"/>
      <c r="M2873" t="inlineStr">
        <is>
          <t>1248演示设计的店</t>
        </is>
      </c>
      <c r="N2873">
        <v>4504</v>
      </c>
      <c r="O2873">
        <v>4.54</v>
      </c>
      <c r="P2873">
        <v>13000</v>
      </c>
      <c r="Q2873" t="inlineStr">
        <is>
          <t>66122f0ff46f6600015b30c8</t>
        </is>
      </c>
      <c r="R2873" t="inlineStr">
        <is>
          <t>🚫重复</t>
        </is>
      </c>
      <c r="S2873" t="inlineStr">
        <is>
          <t>PPT模板</t>
        </is>
      </c>
      <c r="T2873" t="inlineStr">
        <is>
          <t>1.43</t>
        </is>
      </c>
      <c r="U2873" s="3">
        <v>46122.728310185186</v>
      </c>
      <c r="V2873"/>
      <c r="W2873" s="3">
        <v>46122</v>
      </c>
      <c r="X2873" t="inlineStr">
        <is>
          <t>04</t>
        </is>
      </c>
      <c r="Y2873" t="inlineStr">
        <is>
          <t>2026-Q2</t>
        </is>
      </c>
    </row>
    <row r="2874" ht="38.25" customHeight="1">
      <c r="A2874" t="inlineStr">
        <is>
          <t>【限时8.8】幼儿园中班春季开学家长会PPT模板+配套发言稿</t>
        </is>
      </c>
      <c r="B2874" t="inlineStr">
        <is>
          <t>recvgnxJdDgjcR.jpg</t>
        </is>
      </c>
      <c r="C2874" s="2" t="str">
        <f>=HYPERLINK("https://xhslink.com/m/34yzw8kRKv3", "https://xhslink.com/m/34yzw8kRKv3")</f>
        <v>https://xhslink.com/m/34yzw8kRKv3</v>
      </c>
      <c r="D2874"/>
      <c r="E2874">
        <v>3623</v>
      </c>
      <c r="F2874">
        <v>48.8</v>
      </c>
      <c r="G2874"/>
      <c r="H2874">
        <v>2500</v>
      </c>
      <c r="I2874"/>
      <c r="J2874"/>
      <c r="K2874" t="inlineStr">
        <is>
          <t>PPT模板</t>
        </is>
      </c>
      <c r="L2874"/>
      <c r="M2874" t="inlineStr">
        <is>
          <t>浅灰与白的店</t>
        </is>
      </c>
      <c r="N2874">
        <v>1562</v>
      </c>
      <c r="O2874">
        <v>4.62</v>
      </c>
      <c r="P2874">
        <v>12000</v>
      </c>
      <c r="Q2874" t="inlineStr">
        <is>
          <t>6996dfa4890dab0001c708c8</t>
        </is>
      </c>
      <c r="R2874" t="inlineStr">
        <is>
          <t>🚫重复</t>
        </is>
      </c>
      <c r="S2874" t="inlineStr">
        <is>
          <t>老师资料</t>
        </is>
      </c>
      <c r="T2874" t="inlineStr">
        <is>
          <t>2.32</t>
        </is>
      </c>
      <c r="U2874" s="3">
        <v>46122.728310185186</v>
      </c>
      <c r="V2874"/>
      <c r="W2874" s="3">
        <v>46122</v>
      </c>
      <c r="X2874" t="inlineStr">
        <is>
          <t>04</t>
        </is>
      </c>
      <c r="Y2874" t="inlineStr">
        <is>
          <t>2026-Q2</t>
        </is>
      </c>
    </row>
    <row r="2875" ht="38.25" customHeight="1">
      <c r="A2875" t="inlineStr">
        <is>
          <t>BerryPPT · InsightX100©100个商业模型模板</t>
        </is>
      </c>
      <c r="B2875" t="inlineStr">
        <is>
          <t>recvgnxJdDSTMn.jpg</t>
        </is>
      </c>
      <c r="C2875" s="2" t="str">
        <f>=HYPERLINK("https://xhslink.com/m/1qph2yN4Mzg", "https://xhslink.com/m/1qph2yN4Mzg")</f>
        <v>https://xhslink.com/m/1qph2yN4Mzg</v>
      </c>
      <c r="D2875"/>
      <c r="E2875">
        <v>2305</v>
      </c>
      <c r="F2875">
        <v>129.99</v>
      </c>
      <c r="G2875"/>
      <c r="H2875">
        <v>100</v>
      </c>
      <c r="I2875"/>
      <c r="J2875"/>
      <c r="K2875" t="inlineStr">
        <is>
          <t>PPT模板</t>
        </is>
      </c>
      <c r="L2875"/>
      <c r="M2875" t="inlineStr">
        <is>
          <t>BerryPPT旗舰店</t>
        </is>
      </c>
      <c r="N2875">
        <v>13000</v>
      </c>
      <c r="O2875">
        <v>4.13</v>
      </c>
      <c r="P2875">
        <v>5442</v>
      </c>
      <c r="Q2875" t="inlineStr">
        <is>
          <t>66f63f7275e23c00019c389e</t>
        </is>
      </c>
      <c r="R2875" t="inlineStr">
        <is>
          <t>🚫重复</t>
        </is>
      </c>
      <c r="S2875" t="inlineStr">
        <is>
          <t>PPT模板</t>
        </is>
      </c>
      <c r="T2875" t="inlineStr">
        <is>
          <t>0.18</t>
        </is>
      </c>
      <c r="U2875" s="3">
        <v>46122.728310185186</v>
      </c>
      <c r="V2875"/>
      <c r="W2875" s="3">
        <v>46122</v>
      </c>
      <c r="X2875" t="inlineStr">
        <is>
          <t>04</t>
        </is>
      </c>
      <c r="Y2875" t="inlineStr">
        <is>
          <t>2026-Q2</t>
        </is>
      </c>
    </row>
    <row r="2876" ht="38.25" customHeight="1">
      <c r="A2876" t="inlineStr">
        <is>
          <t>【限时8.8】中小学主题班会ppt【拍下即发】</t>
        </is>
      </c>
      <c r="B2876" t="inlineStr">
        <is>
          <t>recvgnxJdD190m.jpg</t>
        </is>
      </c>
      <c r="C2876" s="2" t="str">
        <f>=HYPERLINK("https://xhslink.com/m/7P2KVdpTUXE", "https://xhslink.com/m/7P2KVdpTUXE")</f>
        <v>https://xhslink.com/m/7P2KVdpTUXE</v>
      </c>
      <c r="D2876"/>
      <c r="E2876">
        <v>2175</v>
      </c>
      <c r="F2876">
        <v>49.9</v>
      </c>
      <c r="G2876"/>
      <c r="H2876">
        <v>150</v>
      </c>
      <c r="I2876"/>
      <c r="J2876"/>
      <c r="K2876" t="inlineStr">
        <is>
          <t>PPT模板</t>
        </is>
      </c>
      <c r="L2876"/>
      <c r="M2876" t="inlineStr">
        <is>
          <t>初春老师的店</t>
        </is>
      </c>
      <c r="N2876">
        <v>1761</v>
      </c>
      <c r="O2876">
        <v>4.44</v>
      </c>
      <c r="P2876">
        <v>16000</v>
      </c>
      <c r="Q2876" t="inlineStr">
        <is>
          <t>6966475468700c0001e602a7</t>
        </is>
      </c>
      <c r="R2876" t="inlineStr">
        <is>
          <t>🚫重复</t>
        </is>
      </c>
      <c r="S2876" t="inlineStr">
        <is>
          <t>PPT模板</t>
        </is>
      </c>
      <c r="T2876" t="inlineStr">
        <is>
          <t>1.24</t>
        </is>
      </c>
      <c r="U2876" s="3">
        <v>46122.728310185186</v>
      </c>
      <c r="V2876"/>
      <c r="W2876" s="3">
        <v>46122</v>
      </c>
      <c r="X2876" t="inlineStr">
        <is>
          <t>04</t>
        </is>
      </c>
      <c r="Y2876" t="inlineStr">
        <is>
          <t>2026-Q2</t>
        </is>
      </c>
    </row>
    <row r="2877" ht="38.25" customHeight="1">
      <c r="A2877" t="inlineStr">
        <is>
          <t>【限时8.8】幼儿园大班春季开学家长会PPT模板+配套发言稿</t>
        </is>
      </c>
      <c r="B2877" t="inlineStr">
        <is>
          <t>recvgnxJdD14Eb.jpg</t>
        </is>
      </c>
      <c r="C2877" s="2" t="str">
        <f>=HYPERLINK("https://xhslink.com/m/2wghQ0uykt4", "https://xhslink.com/m/2wghQ0uykt4")</f>
        <v>https://xhslink.com/m/2wghQ0uykt4</v>
      </c>
      <c r="D2877"/>
      <c r="E2877">
        <v>889</v>
      </c>
      <c r="F2877">
        <v>48.8</v>
      </c>
      <c r="G2877"/>
      <c r="H2877">
        <v>700</v>
      </c>
      <c r="I2877"/>
      <c r="J2877"/>
      <c r="K2877" t="inlineStr">
        <is>
          <t>PPT模板</t>
        </is>
      </c>
      <c r="L2877"/>
      <c r="M2877" t="inlineStr">
        <is>
          <t>浅灰与白的店</t>
        </is>
      </c>
      <c r="N2877">
        <v>1562</v>
      </c>
      <c r="O2877">
        <v>4.62</v>
      </c>
      <c r="P2877">
        <v>12000</v>
      </c>
      <c r="Q2877" t="inlineStr">
        <is>
          <t>698adcaff0c4840001e1a0f1</t>
        </is>
      </c>
      <c r="R2877" t="inlineStr">
        <is>
          <t>🚫重复</t>
        </is>
      </c>
      <c r="S2877" t="inlineStr">
        <is>
          <t>老师资料</t>
        </is>
      </c>
      <c r="T2877" t="inlineStr">
        <is>
          <t>0.57</t>
        </is>
      </c>
      <c r="U2877" s="3">
        <v>46122.728310185186</v>
      </c>
      <c r="V2877"/>
      <c r="W2877" s="3">
        <v>46122</v>
      </c>
      <c r="X2877" t="inlineStr">
        <is>
          <t>04</t>
        </is>
      </c>
      <c r="Y2877" t="inlineStr">
        <is>
          <t>2026-Q2</t>
        </is>
      </c>
    </row>
    <row r="2878" ht="38.25" customHeight="1">
      <c r="A2878" t="inlineStr">
        <is>
          <t>自动秒发货！一下语文课件PPT+教案电子版（内容看主页笔记图文）</t>
        </is>
      </c>
      <c r="B2878" t="inlineStr">
        <is>
          <t>recvgnxJdDbLyL.jpg</t>
        </is>
      </c>
      <c r="C2878" s="2" t="str">
        <f>=HYPERLINK("https://xhslink.com/m/3eFzFUMrdPK", "https://xhslink.com/m/3eFzFUMrdPK")</f>
        <v>https://xhslink.com/m/3eFzFUMrdPK</v>
      </c>
      <c r="D2878"/>
      <c r="E2878">
        <v>885</v>
      </c>
      <c r="F2878">
        <v>69.9</v>
      </c>
      <c r="G2878"/>
      <c r="H2878">
        <v>300</v>
      </c>
      <c r="I2878"/>
      <c r="J2878"/>
      <c r="K2878" t="inlineStr">
        <is>
          <t>PPT模板</t>
        </is>
      </c>
      <c r="L2878"/>
      <c r="M2878" t="inlineStr">
        <is>
          <t>皮卡素材资料库的店</t>
        </is>
      </c>
      <c r="N2878">
        <v>1091</v>
      </c>
      <c r="O2878">
        <v>4.06</v>
      </c>
      <c r="P2878">
        <v>27000</v>
      </c>
      <c r="Q2878" t="inlineStr">
        <is>
          <t>692454bd28a01200014e0935</t>
        </is>
      </c>
      <c r="R2878" t="inlineStr">
        <is>
          <t>🚫重复</t>
        </is>
      </c>
      <c r="S2878" t="inlineStr">
        <is>
          <t>中小学教辅/教材</t>
        </is>
      </c>
      <c r="T2878" t="inlineStr">
        <is>
          <t>0.81</t>
        </is>
      </c>
      <c r="U2878" s="3">
        <v>46122.728310185186</v>
      </c>
      <c r="V2878"/>
      <c r="W2878" s="3">
        <v>46122</v>
      </c>
      <c r="X2878" t="inlineStr">
        <is>
          <t>04</t>
        </is>
      </c>
      <c r="Y2878" t="inlineStr">
        <is>
          <t>2026-Q2</t>
        </is>
      </c>
    </row>
    <row r="2879" ht="38.25" customHeight="1">
      <c r="A2879" t="inlineStr">
        <is>
          <t>发展汉语【初级口语1】原创PPT，谢绝议价，点加入购物车看详情</t>
        </is>
      </c>
      <c r="B2879" t="inlineStr">
        <is>
          <t>recvgnxJdD2inJ.jpg</t>
        </is>
      </c>
      <c r="C2879" s="2" t="str">
        <f>=HYPERLINK("https://xhslink.com/m/8lW8Y86vZF8", "https://xhslink.com/m/8lW8Y86vZF8")</f>
        <v>https://xhslink.com/m/8lW8Y86vZF8</v>
      </c>
      <c r="D2879"/>
      <c r="E2879">
        <v>562</v>
      </c>
      <c r="F2879">
        <v>399</v>
      </c>
      <c r="G2879"/>
      <c r="H2879">
        <v>100</v>
      </c>
      <c r="I2879"/>
      <c r="J2879"/>
      <c r="K2879" t="inlineStr">
        <is>
          <t>PPT模板</t>
        </is>
      </c>
      <c r="L2879"/>
      <c r="M2879" t="inlineStr">
        <is>
          <t>对外汉语Lee的店</t>
        </is>
      </c>
      <c r="N2879">
        <v>5868</v>
      </c>
      <c r="O2879">
        <v>4.16</v>
      </c>
      <c r="P2879">
        <v>3592</v>
      </c>
      <c r="Q2879" t="inlineStr">
        <is>
          <t>6999b2f7e2c5ca000145718a</t>
        </is>
      </c>
      <c r="R2879"/>
      <c r="S2879" t="inlineStr">
        <is>
          <t>PPT模板</t>
        </is>
      </c>
      <c r="T2879" t="inlineStr">
        <is>
          <t>0.10</t>
        </is>
      </c>
      <c r="U2879" s="3">
        <v>46122.728310185186</v>
      </c>
      <c r="V2879"/>
      <c r="W2879" s="3">
        <v>46122</v>
      </c>
      <c r="X2879" t="inlineStr">
        <is>
          <t>04</t>
        </is>
      </c>
      <c r="Y2879" t="inlineStr">
        <is>
          <t>2026-Q2</t>
        </is>
      </c>
    </row>
    <row r="2880" ht="38.25" customHeight="1">
      <c r="A2880" t="inlineStr">
        <is>
          <t>【限时8.8】幼儿园小班春季开学家长会PPT模板+配套发言稿</t>
        </is>
      </c>
      <c r="B2880" t="inlineStr">
        <is>
          <t>recvgnxJdD9IiH.jpg</t>
        </is>
      </c>
      <c r="C2880" s="2" t="str">
        <f>=HYPERLINK("https://xhslink.com/m/9e9McWGoC4p", "https://xhslink.com/m/9e9McWGoC4p")</f>
        <v>https://xhslink.com/m/9e9McWGoC4p</v>
      </c>
      <c r="D2880"/>
      <c r="E2880">
        <v>519</v>
      </c>
      <c r="F2880">
        <v>48.8</v>
      </c>
      <c r="G2880"/>
      <c r="H2880">
        <v>350</v>
      </c>
      <c r="I2880"/>
      <c r="J2880"/>
      <c r="K2880" t="inlineStr">
        <is>
          <t>PPT模板</t>
        </is>
      </c>
      <c r="L2880"/>
      <c r="M2880" t="inlineStr">
        <is>
          <t>浅灰与白的店</t>
        </is>
      </c>
      <c r="N2880">
        <v>1562</v>
      </c>
      <c r="O2880">
        <v>4.62</v>
      </c>
      <c r="P2880">
        <v>12000</v>
      </c>
      <c r="Q2880" t="inlineStr">
        <is>
          <t>699fb36a094aed00015221a2</t>
        </is>
      </c>
      <c r="R2880" t="inlineStr">
        <is>
          <t>🚫重复</t>
        </is>
      </c>
      <c r="S2880" t="inlineStr">
        <is>
          <t>老师资料</t>
        </is>
      </c>
      <c r="T2880" t="inlineStr">
        <is>
          <t>0.33</t>
        </is>
      </c>
      <c r="U2880" s="3">
        <v>46122.728310185186</v>
      </c>
      <c r="V2880"/>
      <c r="W2880" s="3">
        <v>46122</v>
      </c>
      <c r="X2880" t="inlineStr">
        <is>
          <t>04</t>
        </is>
      </c>
      <c r="Y2880" t="inlineStr">
        <is>
          <t>2026-Q2</t>
        </is>
      </c>
    </row>
    <row r="2881" ht="38.25" customHeight="1">
      <c r="A2881" t="inlineStr">
        <is>
          <t>天星教育 · 【考前50天50题】试题调研26版高中课本基础知识高考押题冲刺</t>
        </is>
      </c>
      <c r="B2881" t="inlineStr">
        <is>
          <t>recvgnxJdD0rsm.jpg</t>
        </is>
      </c>
      <c r="C2881" s="2" t="str">
        <f>=HYPERLINK("https://xhslink.com/m/2eBXC0yAVVT", "https://xhslink.com/m/2eBXC0yAVVT")</f>
        <v>https://xhslink.com/m/2eBXC0yAVVT</v>
      </c>
      <c r="D2881"/>
      <c r="E2881">
        <v>27000</v>
      </c>
      <c r="F2881">
        <v>13.2</v>
      </c>
      <c r="G2881"/>
      <c r="H2881">
        <v>650</v>
      </c>
      <c r="I2881"/>
      <c r="J2881"/>
      <c r="K2881" t="inlineStr">
        <is>
          <t>高考</t>
        </is>
      </c>
      <c r="L2881"/>
      <c r="M2881" t="inlineStr">
        <is>
          <t>天星教育旗舰店</t>
        </is>
      </c>
      <c r="N2881">
        <v>230000</v>
      </c>
      <c r="O2881">
        <v>4.76</v>
      </c>
      <c r="P2881">
        <v>151000</v>
      </c>
      <c r="Q2881" t="inlineStr">
        <is>
          <t>62e892180a79e90001460097</t>
        </is>
      </c>
      <c r="R2881" t="inlineStr">
        <is>
          <t>🚫重复</t>
        </is>
      </c>
      <c r="S2881" t="inlineStr">
        <is>
          <t>高中/高考资料</t>
        </is>
      </c>
      <c r="T2881" t="inlineStr">
        <is>
          <t>0.12</t>
        </is>
      </c>
      <c r="U2881" s="3">
        <v>46122.728310185186</v>
      </c>
      <c r="V2881"/>
      <c r="W2881" s="3">
        <v>46122</v>
      </c>
      <c r="X2881" t="inlineStr">
        <is>
          <t>04</t>
        </is>
      </c>
      <c r="Y2881" t="inlineStr">
        <is>
          <t>2026-Q2</t>
        </is>
      </c>
    </row>
    <row r="2882" ht="38.25" customHeight="1">
      <c r="A2882" t="inlineStr">
        <is>
          <t>天星教育 · 【高考考前精选卷】26版金考卷特快专递第1-7期特刊高三估分攻略</t>
        </is>
      </c>
      <c r="B2882" t="inlineStr">
        <is>
          <t>recvgnxJdD6w9w.jpg</t>
        </is>
      </c>
      <c r="C2882" s="2" t="str">
        <f>=HYPERLINK("https://xhslink.com/m/6yXVForOomK", "https://xhslink.com/m/6yXVForOomK")</f>
        <v>https://xhslink.com/m/6yXVForOomK</v>
      </c>
      <c r="D2882"/>
      <c r="E2882">
        <v>16000</v>
      </c>
      <c r="F2882">
        <v>13.8</v>
      </c>
      <c r="G2882"/>
      <c r="H2882">
        <v>750</v>
      </c>
      <c r="I2882"/>
      <c r="J2882"/>
      <c r="K2882" t="inlineStr">
        <is>
          <t>高考</t>
        </is>
      </c>
      <c r="L2882"/>
      <c r="M2882" t="inlineStr">
        <is>
          <t>天星教育旗舰店</t>
        </is>
      </c>
      <c r="N2882">
        <v>230000</v>
      </c>
      <c r="O2882">
        <v>4.76</v>
      </c>
      <c r="P2882">
        <v>151000</v>
      </c>
      <c r="Q2882" t="inlineStr">
        <is>
          <t>699d69f85be6c100011b00c9</t>
        </is>
      </c>
      <c r="R2882" t="inlineStr">
        <is>
          <t>🚫重复</t>
        </is>
      </c>
      <c r="S2882" t="inlineStr">
        <is>
          <t>高中/高考资料</t>
        </is>
      </c>
      <c r="T2882" t="inlineStr">
        <is>
          <t>0.07</t>
        </is>
      </c>
      <c r="U2882" s="3">
        <v>46122.728310185186</v>
      </c>
      <c r="V2882"/>
      <c r="W2882" s="3">
        <v>46122</v>
      </c>
      <c r="X2882" t="inlineStr">
        <is>
          <t>04</t>
        </is>
      </c>
      <c r="Y2882" t="inlineStr">
        <is>
          <t>2026-Q2</t>
        </is>
      </c>
    </row>
    <row r="2883" ht="38.25" customHeight="1">
      <c r="A2883" t="inlineStr">
        <is>
          <t>2025年高考语文数学英语物理化学历史地理政治真题分类汇编电子版</t>
        </is>
      </c>
      <c r="B2883" t="inlineStr">
        <is>
          <t>recvgnxJdDDGL8.jpg</t>
        </is>
      </c>
      <c r="C2883" s="2" t="str">
        <f>=HYPERLINK("https://xhslink.com/m/6CVe7VX597E", "https://xhslink.com/m/6CVe7VX597E")</f>
        <v>https://xhslink.com/m/6CVe7VX597E</v>
      </c>
      <c r="D2883"/>
      <c r="E2883">
        <v>8158</v>
      </c>
      <c r="F2883">
        <v>35.8</v>
      </c>
      <c r="G2883"/>
      <c r="H2883">
        <v>350</v>
      </c>
      <c r="I2883"/>
      <c r="J2883"/>
      <c r="K2883" t="inlineStr">
        <is>
          <t>高考</t>
        </is>
      </c>
      <c r="L2883"/>
      <c r="M2883" t="inlineStr">
        <is>
          <t>发发的高中资料库的店</t>
        </is>
      </c>
      <c r="N2883">
        <v>17000</v>
      </c>
      <c r="O2883">
        <v>4.49</v>
      </c>
      <c r="P2883">
        <v>57000</v>
      </c>
      <c r="Q2883" t="inlineStr">
        <is>
          <t>678f061e96b36c0001e7844c</t>
        </is>
      </c>
      <c r="R2883" t="inlineStr">
        <is>
          <t>🚫重复</t>
        </is>
      </c>
      <c r="S2883" t="inlineStr">
        <is>
          <t>高中/高考资料</t>
        </is>
      </c>
      <c r="T2883" t="inlineStr">
        <is>
          <t>0.48</t>
        </is>
      </c>
      <c r="U2883" s="3">
        <v>46122.728310185186</v>
      </c>
      <c r="V2883"/>
      <c r="W2883" s="3">
        <v>46122</v>
      </c>
      <c r="X2883" t="inlineStr">
        <is>
          <t>04</t>
        </is>
      </c>
      <c r="Y2883" t="inlineStr">
        <is>
          <t>2026-Q2</t>
        </is>
      </c>
    </row>
    <row r="2884" ht="38.25" customHeight="1">
      <c r="A2884" t="inlineStr">
        <is>
          <t>BECKALL十二节课 · 有史以来2026高中历史思维导图新高考新教材全国通用内容全面详细</t>
        </is>
      </c>
      <c r="B2884" t="inlineStr">
        <is>
          <t>recvgnxJdD8C2B.jpg</t>
        </is>
      </c>
      <c r="C2884" s="2" t="str">
        <f>=HYPERLINK("https://xhslink.com/m/6odXSZJVWSJ", "https://xhslink.com/m/6odXSZJVWSJ")</f>
        <v>https://xhslink.com/m/6odXSZJVWSJ</v>
      </c>
      <c r="D2884"/>
      <c r="E2884">
        <v>7999</v>
      </c>
      <c r="F2884">
        <v>23.9</v>
      </c>
      <c r="G2884"/>
      <c r="H2884">
        <v>200</v>
      </c>
      <c r="I2884"/>
      <c r="J2884"/>
      <c r="K2884" t="inlineStr">
        <is>
          <t>高考</t>
        </is>
      </c>
      <c r="L2884"/>
      <c r="M2884" t="inlineStr">
        <is>
          <t>十二节课旗舰店</t>
        </is>
      </c>
      <c r="N2884">
        <v>9244</v>
      </c>
      <c r="O2884">
        <v>4.45</v>
      </c>
      <c r="P2884">
        <v>23000</v>
      </c>
      <c r="Q2884" t="inlineStr">
        <is>
          <t>64f04e39c6fd5a000194dd01</t>
        </is>
      </c>
      <c r="R2884"/>
      <c r="S2884" t="inlineStr">
        <is>
          <t>高中/高考资料</t>
        </is>
      </c>
      <c r="T2884" t="inlineStr">
        <is>
          <t>0.87</t>
        </is>
      </c>
      <c r="U2884" s="3">
        <v>46122.728310185186</v>
      </c>
      <c r="V2884"/>
      <c r="W2884" s="3">
        <v>46122</v>
      </c>
      <c r="X2884" t="inlineStr">
        <is>
          <t>04</t>
        </is>
      </c>
      <c r="Y2884" t="inlineStr">
        <is>
          <t>2026-Q2</t>
        </is>
      </c>
    </row>
    <row r="2885" ht="38.25" customHeight="1">
      <c r="A2885" t="inlineStr">
        <is>
          <t>【只发电子版】高考读后续写资料</t>
        </is>
      </c>
      <c r="B2885" t="inlineStr">
        <is>
          <t>recvgnxJdDlEJa.jpg</t>
        </is>
      </c>
      <c r="C2885" s="2" t="str">
        <f>=HYPERLINK("https://xhslink.com/m/7TR0WTeDwYr", "https://xhslink.com/m/7TR0WTeDwYr")</f>
        <v>https://xhslink.com/m/7TR0WTeDwYr</v>
      </c>
      <c r="D2885"/>
      <c r="E2885">
        <v>6898</v>
      </c>
      <c r="F2885">
        <v>88</v>
      </c>
      <c r="G2885"/>
      <c r="H2885">
        <v>100</v>
      </c>
      <c r="I2885"/>
      <c r="J2885"/>
      <c r="K2885" t="inlineStr">
        <is>
          <t>高考</t>
        </is>
      </c>
      <c r="L2885"/>
      <c r="M2885" t="inlineStr">
        <is>
          <t>空阶听雨声的店</t>
        </is>
      </c>
      <c r="N2885">
        <v>45000</v>
      </c>
      <c r="O2885">
        <v>4.49</v>
      </c>
      <c r="P2885">
        <v>17000</v>
      </c>
      <c r="Q2885" t="inlineStr">
        <is>
          <t>67ea091ec90d830001d07744</t>
        </is>
      </c>
      <c r="R2885" t="inlineStr">
        <is>
          <t>🚫重复</t>
        </is>
      </c>
      <c r="S2885" t="inlineStr">
        <is>
          <t>高中/高考资料</t>
        </is>
      </c>
      <c r="T2885" t="inlineStr">
        <is>
          <t>0.15</t>
        </is>
      </c>
      <c r="U2885" s="3">
        <v>46122.728310185186</v>
      </c>
      <c r="V2885"/>
      <c r="W2885" s="3">
        <v>46122</v>
      </c>
      <c r="X2885" t="inlineStr">
        <is>
          <t>04</t>
        </is>
      </c>
      <c r="Y2885" t="inlineStr">
        <is>
          <t>2026-Q2</t>
        </is>
      </c>
    </row>
    <row r="2886" ht="38.25" customHeight="1">
      <c r="A2886" t="inlineStr">
        <is>
          <t>高中作文21周仿写训练合集！标题+开头+结尾+主体段+全篇填空式！</t>
        </is>
      </c>
      <c r="B2886" t="inlineStr">
        <is>
          <t>recvgnxJdDGwkN.jpg</t>
        </is>
      </c>
      <c r="C2886" s="2" t="str">
        <f>=HYPERLINK("https://xhslink.com/m/ANBF1AfH56j", "https://xhslink.com/m/ANBF1AfH56j")</f>
        <v>https://xhslink.com/m/ANBF1AfH56j</v>
      </c>
      <c r="D2886"/>
      <c r="E2886">
        <v>2337</v>
      </c>
      <c r="F2886">
        <v>6.9</v>
      </c>
      <c r="G2886"/>
      <c r="H2886">
        <v>200</v>
      </c>
      <c r="I2886"/>
      <c r="J2886"/>
      <c r="K2886" t="inlineStr">
        <is>
          <t>作文</t>
        </is>
      </c>
      <c r="L2886"/>
      <c r="M2886" t="inlineStr">
        <is>
          <t>顾老师的资料库的店</t>
        </is>
      </c>
      <c r="N2886">
        <v>1587</v>
      </c>
      <c r="O2886">
        <v>4.07</v>
      </c>
      <c r="P2886">
        <v>3257</v>
      </c>
      <c r="Q2886" t="inlineStr">
        <is>
          <t>68ce50b855f59b00012f1745</t>
        </is>
      </c>
      <c r="R2886"/>
      <c r="S2886" t="inlineStr">
        <is>
          <t>高中/高考资料</t>
        </is>
      </c>
      <c r="T2886" t="inlineStr">
        <is>
          <t>1.47</t>
        </is>
      </c>
      <c r="U2886" s="3">
        <v>46122.728310185186</v>
      </c>
      <c r="V2886"/>
      <c r="W2886" s="3">
        <v>46122</v>
      </c>
      <c r="X2886" t="inlineStr">
        <is>
          <t>04</t>
        </is>
      </c>
      <c r="Y2886" t="inlineStr">
        <is>
          <t>2026-Q2</t>
        </is>
      </c>
    </row>
    <row r="2887" ht="38.25" customHeight="1">
      <c r="A2887" t="inlineStr">
        <is>
          <t>【2h速通雅思写作7分模板】雅思大小作文只需4页！2026最新版！！</t>
        </is>
      </c>
      <c r="B2887" t="inlineStr">
        <is>
          <t>recvgnxJdD0GXC.jpg</t>
        </is>
      </c>
      <c r="C2887" s="2" t="str">
        <f>=HYPERLINK("https://xhslink.com/m/83sdZG1JoaS", "https://xhslink.com/m/83sdZG1JoaS")</f>
        <v>https://xhslink.com/m/83sdZG1JoaS</v>
      </c>
      <c r="D2887"/>
      <c r="E2887">
        <v>1959</v>
      </c>
      <c r="F2887">
        <v>56</v>
      </c>
      <c r="G2887"/>
      <c r="H2887">
        <v>700</v>
      </c>
      <c r="I2887">
        <v>1000</v>
      </c>
      <c r="J2887"/>
      <c r="K2887" t="inlineStr">
        <is>
          <t>作文</t>
        </is>
      </c>
      <c r="L2887"/>
      <c r="M2887" t="inlineStr">
        <is>
          <t>Mila禾禾学姐的店</t>
        </is>
      </c>
      <c r="N2887">
        <v>11000</v>
      </c>
      <c r="O2887">
        <v>4.45</v>
      </c>
      <c r="P2887">
        <v>1934</v>
      </c>
      <c r="Q2887" t="inlineStr">
        <is>
          <t>68ee17778aa5760001dff677</t>
        </is>
      </c>
      <c r="R2887" t="inlineStr">
        <is>
          <t>🚫重复</t>
        </is>
      </c>
      <c r="S2887" t="inlineStr">
        <is>
          <t>英语资料</t>
        </is>
      </c>
      <c r="T2887" t="inlineStr">
        <is>
          <t>0.18</t>
        </is>
      </c>
      <c r="U2887" s="3">
        <v>46122.728310185186</v>
      </c>
      <c r="V2887"/>
      <c r="W2887" s="3">
        <v>46122</v>
      </c>
      <c r="X2887" t="inlineStr">
        <is>
          <t>04</t>
        </is>
      </c>
      <c r="Y2887" t="inlineStr">
        <is>
          <t>2026-Q2</t>
        </is>
      </c>
    </row>
    <row r="2888" ht="38.25" customHeight="1">
      <c r="A2888" t="inlineStr">
        <is>
          <t>雅思大小作文冲刺6.5分（保命文档）已帮助上千宝子成功上岸！</t>
        </is>
      </c>
      <c r="B2888" t="inlineStr">
        <is>
          <t>__upload_recvgDZ2wjcoMo.jpg</t>
        </is>
      </c>
      <c r="C2888" s="2" t="str">
        <f>=HYPERLINK("https://xhslink.com/m/Aco7ksPiujd", "https://xhslink.com/m/Aco7ksPiujd")</f>
        <v>https://xhslink.com/m/Aco7ksPiujd</v>
      </c>
      <c r="D2888"/>
      <c r="E2888">
        <v>17000</v>
      </c>
      <c r="F2888">
        <v>50</v>
      </c>
      <c r="G2888"/>
      <c r="H2888">
        <v>300</v>
      </c>
      <c r="I2888"/>
      <c r="J2888"/>
      <c r="K2888" t="inlineStr">
        <is>
          <t>作文</t>
        </is>
      </c>
      <c r="L2888"/>
      <c r="M2888" t="inlineStr">
        <is>
          <t>考雅过过过的店</t>
        </is>
      </c>
      <c r="N2888">
        <v>21000</v>
      </c>
      <c r="O2888">
        <v>4.6</v>
      </c>
      <c r="P2888">
        <v>41000</v>
      </c>
      <c r="Q2888" t="inlineStr">
        <is>
          <t>664d9a9304a48a000124dce6</t>
        </is>
      </c>
      <c r="R2888" t="inlineStr">
        <is>
          <t>🚫重复</t>
        </is>
      </c>
      <c r="S2888" t="inlineStr">
        <is>
          <t>英语资料</t>
        </is>
      </c>
      <c r="T2888" t="inlineStr">
        <is>
          <t>0.81</t>
        </is>
      </c>
      <c r="U2888" s="3">
        <v>46125.54001157408</v>
      </c>
      <c r="V2888"/>
      <c r="W2888" s="3">
        <v>46125</v>
      </c>
      <c r="X2888" t="inlineStr">
        <is>
          <t>04</t>
        </is>
      </c>
      <c r="Y2888" t="inlineStr">
        <is>
          <t>2026-Q2</t>
        </is>
      </c>
    </row>
    <row r="2889" ht="38.25" customHeight="1">
      <c r="A2889" t="inlineStr">
        <is>
          <t>4月12日前雅思口语+写作预测-答案版</t>
        </is>
      </c>
      <c r="B2889" t="inlineStr">
        <is>
          <t>__upload_recvgDZ2wjW5J9.jpg</t>
        </is>
      </c>
      <c r="C2889" s="2" t="str">
        <f>=HYPERLINK("https://xhslink.com/m/6YwzVdr1TJr", "https://xhslink.com/m/6YwzVdr1TJr")</f>
        <v>https://xhslink.com/m/6YwzVdr1TJr</v>
      </c>
      <c r="D2889"/>
      <c r="E2889">
        <v>6444</v>
      </c>
      <c r="F2889">
        <v>60</v>
      </c>
      <c r="G2889"/>
      <c r="H2889">
        <v>200</v>
      </c>
      <c r="I2889"/>
      <c r="J2889"/>
      <c r="K2889" t="inlineStr">
        <is>
          <t>作文</t>
        </is>
      </c>
      <c r="L2889"/>
      <c r="M2889" t="inlineStr">
        <is>
          <t>Nancy老师雅思口语的店</t>
        </is>
      </c>
      <c r="N2889">
        <v>28000</v>
      </c>
      <c r="O2889">
        <v>4.26</v>
      </c>
      <c r="P2889">
        <v>32000</v>
      </c>
      <c r="Q2889" t="inlineStr">
        <is>
          <t>677fad53b1ef540001ac1289</t>
        </is>
      </c>
      <c r="R2889" t="inlineStr">
        <is>
          <t>🚫重复</t>
        </is>
      </c>
      <c r="S2889" t="inlineStr">
        <is>
          <t>英语资料</t>
        </is>
      </c>
      <c r="T2889" t="inlineStr">
        <is>
          <t>0.23</t>
        </is>
      </c>
      <c r="U2889" s="3">
        <v>46125.54001157408</v>
      </c>
      <c r="V2889"/>
      <c r="W2889" s="3">
        <v>46125</v>
      </c>
      <c r="X2889" t="inlineStr">
        <is>
          <t>04</t>
        </is>
      </c>
      <c r="Y2889" t="inlineStr">
        <is>
          <t>2026-Q2</t>
        </is>
      </c>
    </row>
    <row r="2890" ht="38.25" customHeight="1">
      <c r="A2890" t="inlineStr">
        <is>
          <t>清华大学出版社 · 语文报金奖作文选(初中卷）</t>
        </is>
      </c>
      <c r="B2890" t="inlineStr">
        <is>
          <t>__upload_recvgDZ2wjzR7t.jpg</t>
        </is>
      </c>
      <c r="C2890" s="2" t="str">
        <f>=HYPERLINK("https://xhslink.com/m/AZi1jd0XvBg", "https://xhslink.com/m/AZi1jd0XvBg")</f>
        <v>https://xhslink.com/m/AZi1jd0XvBg</v>
      </c>
      <c r="D2890"/>
      <c r="E2890">
        <v>5761</v>
      </c>
      <c r="F2890">
        <v>41.88</v>
      </c>
      <c r="G2890"/>
      <c r="H2890">
        <v>100</v>
      </c>
      <c r="I2890"/>
      <c r="J2890"/>
      <c r="K2890" t="inlineStr">
        <is>
          <t>作文</t>
        </is>
      </c>
      <c r="L2890"/>
      <c r="M2890" t="inlineStr">
        <is>
          <t>清华大学出版社的店</t>
        </is>
      </c>
      <c r="N2890">
        <v>455000</v>
      </c>
      <c r="O2890">
        <v>4.47</v>
      </c>
      <c r="P2890">
        <v>312000</v>
      </c>
      <c r="Q2890" t="inlineStr">
        <is>
          <t>68a8311dfba5440001978f8b</t>
        </is>
      </c>
      <c r="R2890" t="inlineStr">
        <is>
          <t>🚫重复</t>
        </is>
      </c>
      <c r="S2890" t="inlineStr">
        <is>
          <t>中小学教辅/教材</t>
        </is>
      </c>
      <c r="T2890" t="inlineStr">
        <is>
          <t>0.01</t>
        </is>
      </c>
      <c r="U2890" s="3">
        <v>46125.54001157408</v>
      </c>
      <c r="V2890"/>
      <c r="W2890" s="3">
        <v>46125</v>
      </c>
      <c r="X2890" t="inlineStr">
        <is>
          <t>04</t>
        </is>
      </c>
      <c r="Y2890" t="inlineStr">
        <is>
          <t>2026-Q2</t>
        </is>
      </c>
    </row>
    <row r="2891" ht="38.25" customHeight="1">
      <c r="A2891" t="inlineStr">
        <is>
          <t>申论一本通 2026国考省考 大作文 模板 冲刺积累</t>
        </is>
      </c>
      <c r="B2891" t="inlineStr">
        <is>
          <t>__upload_recvgDZ2wj1UoB.jpg</t>
        </is>
      </c>
      <c r="C2891" s="2" t="str">
        <f>=HYPERLINK("https://xhslink.com/m/6G2pujMAHm2", "https://xhslink.com/m/6G2pujMAHm2")</f>
        <v>https://xhslink.com/m/6G2pujMAHm2</v>
      </c>
      <c r="D2891"/>
      <c r="E2891">
        <v>5359</v>
      </c>
      <c r="F2891">
        <v>49</v>
      </c>
      <c r="G2891"/>
      <c r="H2891">
        <v>400</v>
      </c>
      <c r="I2891"/>
      <c r="J2891"/>
      <c r="K2891" t="inlineStr">
        <is>
          <t>作文</t>
        </is>
      </c>
      <c r="L2891"/>
      <c r="M2891" t="inlineStr">
        <is>
          <t>夏知的公考笔记的店</t>
        </is>
      </c>
      <c r="N2891">
        <v>80000</v>
      </c>
      <c r="O2891">
        <v>4.76</v>
      </c>
      <c r="P2891">
        <v>17000</v>
      </c>
      <c r="Q2891" t="inlineStr">
        <is>
          <t>6885c8a46d6054000178de05</t>
        </is>
      </c>
      <c r="R2891" t="inlineStr">
        <is>
          <t>🚫重复</t>
        </is>
      </c>
      <c r="S2891" t="inlineStr">
        <is>
          <t>考公资料</t>
        </is>
      </c>
      <c r="T2891" t="inlineStr">
        <is>
          <t>0.07</t>
        </is>
      </c>
      <c r="U2891" s="3">
        <v>46125.54001157408</v>
      </c>
      <c r="V2891"/>
      <c r="W2891" s="3">
        <v>46125</v>
      </c>
      <c r="X2891" t="inlineStr">
        <is>
          <t>04</t>
        </is>
      </c>
      <c r="Y2891" t="inlineStr">
        <is>
          <t>2026-Q2</t>
        </is>
      </c>
    </row>
    <row r="2892" ht="38.25" customHeight="1">
      <c r="A2892" t="inlineStr">
        <is>
          <t>高中作文议论文  纸质版笔记本</t>
        </is>
      </c>
      <c r="B2892" t="inlineStr">
        <is>
          <t>__upload_recvgDZ2wj8Y24.jpg</t>
        </is>
      </c>
      <c r="C2892" s="2" t="str">
        <f>=HYPERLINK("https://xhslink.com/m/6EaaocC8BcZ", "https://xhslink.com/m/6EaaocC8BcZ")</f>
        <v>https://xhslink.com/m/6EaaocC8BcZ</v>
      </c>
      <c r="D2892"/>
      <c r="E2892">
        <v>4505</v>
      </c>
      <c r="F2892">
        <v>129</v>
      </c>
      <c r="G2892"/>
      <c r="H2892">
        <v>200</v>
      </c>
      <c r="I2892"/>
      <c r="J2892"/>
      <c r="K2892" t="inlineStr">
        <is>
          <t>作文</t>
        </is>
      </c>
      <c r="L2892"/>
      <c r="M2892" t="inlineStr">
        <is>
          <t>上上签高中语文的店</t>
        </is>
      </c>
      <c r="N2892">
        <v>22000</v>
      </c>
      <c r="O2892">
        <v>4.54</v>
      </c>
      <c r="P2892">
        <v>34000</v>
      </c>
      <c r="Q2892" t="inlineStr">
        <is>
          <t>67f0a2b2e8f2430001ed0d6e</t>
        </is>
      </c>
      <c r="R2892" t="inlineStr">
        <is>
          <t>🚫重复</t>
        </is>
      </c>
      <c r="S2892" t="inlineStr">
        <is>
          <t>高中/高考资料</t>
        </is>
      </c>
      <c r="T2892" t="inlineStr">
        <is>
          <t>0.20</t>
        </is>
      </c>
      <c r="U2892" s="3">
        <v>46125.54001157408</v>
      </c>
      <c r="V2892"/>
      <c r="W2892" s="3">
        <v>46125</v>
      </c>
      <c r="X2892" t="inlineStr">
        <is>
          <t>04</t>
        </is>
      </c>
      <c r="Y2892" t="inlineStr">
        <is>
          <t>2026-Q2</t>
        </is>
      </c>
    </row>
    <row r="2893" ht="38.25" customHeight="1">
      <c r="A2893" t="inlineStr">
        <is>
          <t>大升级！海燕4月雅思写作训练营！</t>
        </is>
      </c>
      <c r="B2893" t="inlineStr">
        <is>
          <t>__upload_recvgDZ2wjAwyV.jpg</t>
        </is>
      </c>
      <c r="C2893" s="2" t="str">
        <f>=HYPERLINK("https://xhslink.com/m/3qYJFNCTNBp", "https://xhslink.com/m/3qYJFNCTNBp")</f>
        <v>https://xhslink.com/m/3qYJFNCTNBp</v>
      </c>
      <c r="D2893"/>
      <c r="E2893">
        <v>4225</v>
      </c>
      <c r="F2893">
        <v>299</v>
      </c>
      <c r="G2893"/>
      <c r="H2893">
        <v>100</v>
      </c>
      <c r="I2893"/>
      <c r="J2893"/>
      <c r="K2893" t="inlineStr">
        <is>
          <t>作文</t>
        </is>
      </c>
      <c r="L2893"/>
      <c r="M2893" t="inlineStr">
        <is>
          <t>Viella歪的店</t>
        </is>
      </c>
      <c r="N2893">
        <v>187000</v>
      </c>
      <c r="O2893">
        <v>4.26</v>
      </c>
      <c r="P2893">
        <v>26000</v>
      </c>
      <c r="Q2893" t="inlineStr">
        <is>
          <t>6669a19ccd6d1400016719ae</t>
        </is>
      </c>
      <c r="R2893" t="inlineStr">
        <is>
          <t>🚫重复</t>
        </is>
      </c>
      <c r="S2893" t="inlineStr">
        <is>
          <t>英语资料</t>
        </is>
      </c>
      <c r="T2893" t="inlineStr">
        <is>
          <t>0.02</t>
        </is>
      </c>
      <c r="U2893" s="3">
        <v>46125.54001157408</v>
      </c>
      <c r="V2893"/>
      <c r="W2893" s="3">
        <v>46125</v>
      </c>
      <c r="X2893" t="inlineStr">
        <is>
          <t>04</t>
        </is>
      </c>
      <c r="Y2893" t="inlineStr">
        <is>
          <t>2026-Q2</t>
        </is>
      </c>
    </row>
    <row r="2894" ht="38.25" customHeight="1">
      <c r="A2894" t="inlineStr">
        <is>
          <t>(电子版！)面包梨狗主页笔记（作文/非作文部分/手写字帖</t>
        </is>
      </c>
      <c r="B2894" t="inlineStr">
        <is>
          <t>__upload_recvgDZ2wjPcZo.jpg</t>
        </is>
      </c>
      <c r="C2894" s="2" t="str">
        <f>=HYPERLINK("https://xhslink.com/m/7PYwCvHHgCt", "https://xhslink.com/m/7PYwCvHHgCt")</f>
        <v>https://xhslink.com/m/7PYwCvHHgCt</v>
      </c>
      <c r="D2894"/>
      <c r="E2894">
        <v>2838</v>
      </c>
      <c r="F2894">
        <v>28.88</v>
      </c>
      <c r="G2894"/>
      <c r="H2894">
        <v>350</v>
      </c>
      <c r="I2894"/>
      <c r="J2894"/>
      <c r="K2894" t="inlineStr">
        <is>
          <t>作文</t>
        </is>
      </c>
      <c r="L2894"/>
      <c r="M2894" t="inlineStr">
        <is>
          <t>面包梨狗的店</t>
        </is>
      </c>
      <c r="N2894">
        <v>39000</v>
      </c>
      <c r="O2894">
        <v>4.44</v>
      </c>
      <c r="P2894">
        <v>3863</v>
      </c>
      <c r="Q2894" t="inlineStr">
        <is>
          <t>66d0655d912c54000165af50</t>
        </is>
      </c>
      <c r="R2894"/>
      <c r="S2894" t="inlineStr">
        <is>
          <t>中小学教辅/教材</t>
        </is>
      </c>
      <c r="T2894" t="inlineStr">
        <is>
          <t>0.07</t>
        </is>
      </c>
      <c r="U2894" s="3">
        <v>46125.54001157408</v>
      </c>
      <c r="V2894"/>
      <c r="W2894" s="3">
        <v>46125</v>
      </c>
      <c r="X2894" t="inlineStr">
        <is>
          <t>04</t>
        </is>
      </c>
      <c r="Y2894" t="inlineStr">
        <is>
          <t>2026-Q2</t>
        </is>
      </c>
    </row>
    <row r="2895" ht="38.25" customHeight="1">
      <c r="A2895" t="inlineStr">
        <is>
          <t>思知简 · 四段式初中语文阅读理解答题技巧和方法模板书公式法专项训练书</t>
        </is>
      </c>
      <c r="B2895" t="inlineStr">
        <is>
          <t>__upload_recvgDZ2wjTH5d.jpg</t>
        </is>
      </c>
      <c r="C2895" s="2" t="str">
        <f>=HYPERLINK("https://xhslink.com/m/A3ijJ6slU7B", "https://xhslink.com/m/A3ijJ6slU7B")</f>
        <v>https://xhslink.com/m/A3ijJ6slU7B</v>
      </c>
      <c r="D2895"/>
      <c r="E2895">
        <v>2825</v>
      </c>
      <c r="F2895">
        <v>49.8</v>
      </c>
      <c r="G2895"/>
      <c r="H2895">
        <v>150</v>
      </c>
      <c r="I2895"/>
      <c r="J2895"/>
      <c r="K2895" t="inlineStr">
        <is>
          <t>作文</t>
        </is>
      </c>
      <c r="L2895"/>
      <c r="M2895" t="inlineStr">
        <is>
          <t>思知简旗舰店</t>
        </is>
      </c>
      <c r="N2895">
        <v>11000</v>
      </c>
      <c r="O2895">
        <v>4.87</v>
      </c>
      <c r="P2895">
        <v>41000</v>
      </c>
      <c r="Q2895" t="inlineStr">
        <is>
          <t>68dc862bed3b2f0001ec3650</t>
        </is>
      </c>
      <c r="R2895"/>
      <c r="S2895" t="inlineStr">
        <is>
          <t>中小学教辅/教材</t>
        </is>
      </c>
      <c r="T2895" t="inlineStr">
        <is>
          <t>0.26</t>
        </is>
      </c>
      <c r="U2895" s="3">
        <v>46125.54001157408</v>
      </c>
      <c r="V2895"/>
      <c r="W2895" s="3">
        <v>46125</v>
      </c>
      <c r="X2895" t="inlineStr">
        <is>
          <t>04</t>
        </is>
      </c>
      <c r="Y2895" t="inlineStr">
        <is>
          <t>2026-Q2</t>
        </is>
      </c>
    </row>
    <row r="2896" ht="38.25" customHeight="1">
      <c r="A2896" t="inlineStr">
        <is>
          <t>高中议论文写作指南</t>
        </is>
      </c>
      <c r="B2896" t="inlineStr">
        <is>
          <t>__upload_recvgDZ2wj4Mbo.jpg</t>
        </is>
      </c>
      <c r="C2896" s="2" t="str">
        <f>=HYPERLINK("https://xhslink.com/m/A2uEGWZ4u52", "https://xhslink.com/m/A2uEGWZ4u52")</f>
        <v>https://xhslink.com/m/A2uEGWZ4u52</v>
      </c>
      <c r="D2896"/>
      <c r="E2896">
        <v>2753</v>
      </c>
      <c r="F2896">
        <v>129</v>
      </c>
      <c r="G2896"/>
      <c r="H2896">
        <v>250</v>
      </c>
      <c r="I2896"/>
      <c r="J2896"/>
      <c r="K2896" t="inlineStr">
        <is>
          <t>作文</t>
        </is>
      </c>
      <c r="L2896"/>
      <c r="M2896" t="inlineStr">
        <is>
          <t>上上签高中语文的店</t>
        </is>
      </c>
      <c r="N2896">
        <v>22000</v>
      </c>
      <c r="O2896">
        <v>4.54</v>
      </c>
      <c r="P2896">
        <v>34000</v>
      </c>
      <c r="Q2896" t="inlineStr">
        <is>
          <t>6703bcb04cd2890001f426c9</t>
        </is>
      </c>
      <c r="R2896" t="inlineStr">
        <is>
          <t>🚫重复</t>
        </is>
      </c>
      <c r="S2896" t="inlineStr">
        <is>
          <t>高中/高考资料</t>
        </is>
      </c>
      <c r="T2896" t="inlineStr">
        <is>
          <t>0.13</t>
        </is>
      </c>
      <c r="U2896" s="3">
        <v>46125.54001157408</v>
      </c>
      <c r="V2896"/>
      <c r="W2896" s="3">
        <v>46125</v>
      </c>
      <c r="X2896" t="inlineStr">
        <is>
          <t>04</t>
        </is>
      </c>
      <c r="Y2896" t="inlineStr">
        <is>
          <t>2026-Q2</t>
        </is>
      </c>
    </row>
    <row r="2897" ht="38.25" customHeight="1">
      <c r="A2897" t="inlineStr">
        <is>
          <t>2026人民日报时评精读申论素材金句申论规范词作文范文实时更新</t>
        </is>
      </c>
      <c r="B2897" t="inlineStr">
        <is>
          <t>__upload_recvgDZ2wjtuJq.jpg</t>
        </is>
      </c>
      <c r="C2897" s="2" t="str">
        <f>=HYPERLINK("https://xhslink.com/m/1nEBI6bkcNt", "https://xhslink.com/m/1nEBI6bkcNt")</f>
        <v>https://xhslink.com/m/1nEBI6bkcNt</v>
      </c>
      <c r="D2897"/>
      <c r="E2897">
        <v>2720</v>
      </c>
      <c r="F2897">
        <v>99</v>
      </c>
      <c r="G2897"/>
      <c r="H2897">
        <v>100</v>
      </c>
      <c r="I2897"/>
      <c r="J2897"/>
      <c r="K2897" t="inlineStr">
        <is>
          <t>作文</t>
        </is>
      </c>
      <c r="L2897"/>
      <c r="M2897" t="inlineStr">
        <is>
          <t>你好同志，请上岸的店</t>
        </is>
      </c>
      <c r="N2897">
        <v>1451</v>
      </c>
      <c r="O2897">
        <v>4.47</v>
      </c>
      <c r="P2897">
        <v>4155</v>
      </c>
      <c r="Q2897" t="inlineStr">
        <is>
          <t>69c0e28a7c9c8f0001477cc3</t>
        </is>
      </c>
      <c r="R2897"/>
      <c r="S2897" t="inlineStr">
        <is>
          <t>考公资料</t>
        </is>
      </c>
      <c r="T2897" t="inlineStr">
        <is>
          <t>1.87</t>
        </is>
      </c>
      <c r="U2897" s="3">
        <v>46125.54001157408</v>
      </c>
      <c r="V2897"/>
      <c r="W2897" s="3">
        <v>46125</v>
      </c>
      <c r="X2897" t="inlineStr">
        <is>
          <t>04</t>
        </is>
      </c>
      <c r="Y2897" t="inlineStr">
        <is>
          <t>2026-Q2</t>
        </is>
      </c>
    </row>
    <row r="2898" ht="38.25" customHeight="1">
      <c r="A2898" t="inlineStr">
        <is>
          <t>【2h速通雅思写作7分模板】雅思大小作文只需4页！2026最新版！！</t>
        </is>
      </c>
      <c r="B2898" t="inlineStr">
        <is>
          <t>__upload_recvgDZ2wjz3eW.jpg</t>
        </is>
      </c>
      <c r="C2898" s="2" t="str">
        <f>=HYPERLINK("https://xhslink.com/m/1pMdQf3Y7ek", "https://xhslink.com/m/1pMdQf3Y7ek")</f>
        <v>https://xhslink.com/m/1pMdQf3Y7ek</v>
      </c>
      <c r="D2898"/>
      <c r="E2898">
        <v>1994</v>
      </c>
      <c r="F2898">
        <v>63</v>
      </c>
      <c r="G2898"/>
      <c r="H2898">
        <v>700</v>
      </c>
      <c r="I2898"/>
      <c r="J2898"/>
      <c r="K2898" t="inlineStr">
        <is>
          <t>作文</t>
        </is>
      </c>
      <c r="L2898"/>
      <c r="M2898" t="inlineStr">
        <is>
          <t>Mila禾禾学姐的店</t>
        </is>
      </c>
      <c r="N2898">
        <v>11000</v>
      </c>
      <c r="O2898">
        <v>4.11</v>
      </c>
      <c r="P2898">
        <v>2013</v>
      </c>
      <c r="Q2898" t="inlineStr">
        <is>
          <t>68ee17778aa5760001dff67d</t>
        </is>
      </c>
      <c r="R2898" t="inlineStr">
        <is>
          <t>🚫重复</t>
        </is>
      </c>
      <c r="S2898" t="inlineStr">
        <is>
          <t>英语资料</t>
        </is>
      </c>
      <c r="T2898" t="inlineStr">
        <is>
          <t>0.18</t>
        </is>
      </c>
      <c r="U2898" s="3">
        <v>46125.54001157408</v>
      </c>
      <c r="V2898"/>
      <c r="W2898" s="3">
        <v>46125</v>
      </c>
      <c r="X2898" t="inlineStr">
        <is>
          <t>04</t>
        </is>
      </c>
      <c r="Y2898" t="inlineStr">
        <is>
          <t>2026-Q2</t>
        </is>
      </c>
    </row>
    <row r="2899" ht="38.25" customHeight="1">
      <c r="A2899" t="inlineStr">
        <is>
          <t>英语教招作文热点预测150篇•考编英语作文•英语作文</t>
        </is>
      </c>
      <c r="B2899" t="inlineStr">
        <is>
          <t>__upload_recvgDZ2wjcdjJ.jpg</t>
        </is>
      </c>
      <c r="C2899" s="2" t="str">
        <f>=HYPERLINK("https://xhslink.com/m/6RGVX9gWcNR", "https://xhslink.com/m/6RGVX9gWcNR")</f>
        <v>https://xhslink.com/m/6RGVX9gWcNR</v>
      </c>
      <c r="D2899"/>
      <c r="E2899">
        <v>1927</v>
      </c>
      <c r="F2899">
        <v>45</v>
      </c>
      <c r="G2899"/>
      <c r="H2899">
        <v>100</v>
      </c>
      <c r="I2899"/>
      <c r="J2899"/>
      <c r="K2899" t="inlineStr">
        <is>
          <t>作文</t>
        </is>
      </c>
      <c r="L2899"/>
      <c r="M2899" t="inlineStr">
        <is>
          <t>水晶学姐的店</t>
        </is>
      </c>
      <c r="N2899">
        <v>20000</v>
      </c>
      <c r="O2899">
        <v>4.54</v>
      </c>
      <c r="P2899">
        <v>3543</v>
      </c>
      <c r="Q2899" t="inlineStr">
        <is>
          <t>6636ff30f7752c00013c65c1</t>
        </is>
      </c>
      <c r="R2899"/>
      <c r="S2899" t="inlineStr">
        <is>
          <t>英语资料</t>
        </is>
      </c>
      <c r="T2899" t="inlineStr">
        <is>
          <t>0.10</t>
        </is>
      </c>
      <c r="U2899" s="3">
        <v>46125.54001157408</v>
      </c>
      <c r="V2899"/>
      <c r="W2899" s="3">
        <v>46125</v>
      </c>
      <c r="X2899" t="inlineStr">
        <is>
          <t>04</t>
        </is>
      </c>
      <c r="Y2899" t="inlineStr">
        <is>
          <t>2026-Q2</t>
        </is>
      </c>
    </row>
    <row r="2900" ht="38.25" customHeight="1">
      <c r="A2900" t="inlineStr">
        <is>
          <t>高中语文作文素材</t>
        </is>
      </c>
      <c r="B2900" t="inlineStr">
        <is>
          <t>__upload_recvgDZ2wj2xVd.jpg</t>
        </is>
      </c>
      <c r="C2900" s="2" t="str">
        <f>=HYPERLINK("https://xhslink.com/m/2iK9ar5Zun5", "https://xhslink.com/m/2iK9ar5Zun5")</f>
        <v>https://xhslink.com/m/2iK9ar5Zun5</v>
      </c>
      <c r="D2900"/>
      <c r="E2900">
        <v>1770</v>
      </c>
      <c r="F2900">
        <v>4.99</v>
      </c>
      <c r="G2900"/>
      <c r="H2900">
        <v>150</v>
      </c>
      <c r="I2900"/>
      <c r="J2900"/>
      <c r="K2900" t="inlineStr">
        <is>
          <t>作文</t>
        </is>
      </c>
      <c r="L2900"/>
      <c r="M2900" t="inlineStr">
        <is>
          <t>yivancher的店</t>
        </is>
      </c>
      <c r="N2900">
        <v>2943</v>
      </c>
      <c r="O2900">
        <v>4.2</v>
      </c>
      <c r="P2900">
        <v>2516</v>
      </c>
      <c r="Q2900" t="inlineStr">
        <is>
          <t>687ce98be019f200015c877d</t>
        </is>
      </c>
      <c r="R2900"/>
      <c r="S2900" t="inlineStr">
        <is>
          <t>高中/高考资料</t>
        </is>
      </c>
      <c r="T2900" t="inlineStr">
        <is>
          <t>0.60</t>
        </is>
      </c>
      <c r="U2900" s="3">
        <v>46125.54001157408</v>
      </c>
      <c r="V2900"/>
      <c r="W2900" s="3">
        <v>46125</v>
      </c>
      <c r="X2900" t="inlineStr">
        <is>
          <t>04</t>
        </is>
      </c>
      <c r="Y2900" t="inlineStr">
        <is>
          <t>2026-Q2</t>
        </is>
      </c>
    </row>
    <row r="2901" ht="38.25" customHeight="1">
      <c r="A2901" t="inlineStr">
        <is>
          <t>原创1-4月最新雅思口语945词万能模板+邪修作文万能模板全家桶</t>
        </is>
      </c>
      <c r="B2901" t="inlineStr">
        <is>
          <t>__upload_recvgDZ2wjUXnI.jpg</t>
        </is>
      </c>
      <c r="C2901" s="2" t="str">
        <f>=HYPERLINK("https://xhslink.com/m/5EsiyCvsImn", "https://xhslink.com/m/5EsiyCvsImn")</f>
        <v>https://xhslink.com/m/5EsiyCvsImn</v>
      </c>
      <c r="D2901"/>
      <c r="E2901">
        <v>1594</v>
      </c>
      <c r="F2901">
        <v>199.9</v>
      </c>
      <c r="G2901"/>
      <c r="H2901">
        <v>150</v>
      </c>
      <c r="I2901"/>
      <c r="J2901"/>
      <c r="K2901" t="inlineStr">
        <is>
          <t>作文</t>
        </is>
      </c>
      <c r="L2901"/>
      <c r="M2901" t="inlineStr">
        <is>
          <t>魔仙堡在逃卷王的店</t>
        </is>
      </c>
      <c r="N2901">
        <v>1061</v>
      </c>
      <c r="O2901">
        <v>4.17</v>
      </c>
      <c r="P2901">
        <v>1681</v>
      </c>
      <c r="Q2901" t="inlineStr">
        <is>
          <t>68b30e7371b9e2000144f095</t>
        </is>
      </c>
      <c r="R2901" t="inlineStr">
        <is>
          <t>🚫重复</t>
        </is>
      </c>
      <c r="S2901" t="inlineStr">
        <is>
          <t>英语资料</t>
        </is>
      </c>
      <c r="T2901" t="inlineStr">
        <is>
          <t>1.50</t>
        </is>
      </c>
      <c r="U2901" s="3">
        <v>46125.54001157408</v>
      </c>
      <c r="V2901"/>
      <c r="W2901" s="3">
        <v>46125</v>
      </c>
      <c r="X2901" t="inlineStr">
        <is>
          <t>04</t>
        </is>
      </c>
      <c r="Y2901" t="inlineStr">
        <is>
          <t>2026-Q2</t>
        </is>
      </c>
    </row>
    <row r="2902" ht="38.25" customHeight="1">
      <c r="A2902" t="inlineStr">
        <is>
          <t>新版初中语文作文每周仿写训练初一初二初三全国通用电子版资料</t>
        </is>
      </c>
      <c r="B2902" t="inlineStr">
        <is>
          <t>__upload_recvgDZ2wjBiSZ.jpg</t>
        </is>
      </c>
      <c r="C2902" s="2" t="str">
        <f>=HYPERLINK("https://xhslink.com/m/2cNR71hok61", "https://xhslink.com/m/2cNR71hok61")</f>
        <v>https://xhslink.com/m/2cNR71hok61</v>
      </c>
      <c r="D2902"/>
      <c r="E2902">
        <v>1541</v>
      </c>
      <c r="F2902">
        <v>6.9</v>
      </c>
      <c r="G2902"/>
      <c r="H2902">
        <v>650</v>
      </c>
      <c r="I2902">
        <v>1000</v>
      </c>
      <c r="J2902"/>
      <c r="K2902" t="inlineStr">
        <is>
          <t>作文</t>
        </is>
      </c>
      <c r="L2902"/>
      <c r="M2902" t="inlineStr">
        <is>
          <t>爱分享的张老师的店</t>
        </is>
      </c>
      <c r="N2902">
        <v>2140</v>
      </c>
      <c r="O2902">
        <v>4.44</v>
      </c>
      <c r="P2902">
        <v>14000</v>
      </c>
      <c r="Q2902" t="inlineStr">
        <is>
          <t>693682b014f9d800017f186e</t>
        </is>
      </c>
      <c r="R2902" t="inlineStr">
        <is>
          <t>🚫重复</t>
        </is>
      </c>
      <c r="S2902" t="inlineStr">
        <is>
          <t>中小学教辅/教材</t>
        </is>
      </c>
      <c r="T2902" t="inlineStr">
        <is>
          <t>0.72</t>
        </is>
      </c>
      <c r="U2902" s="3">
        <v>46125.54001157408</v>
      </c>
      <c r="V2902"/>
      <c r="W2902" s="3">
        <v>46125</v>
      </c>
      <c r="X2902" t="inlineStr">
        <is>
          <t>04</t>
        </is>
      </c>
      <c r="Y2902" t="inlineStr">
        <is>
          <t>2026-Q2</t>
        </is>
      </c>
    </row>
    <row r="2903" ht="38.25" customHeight="1">
      <c r="A2903" t="inlineStr">
        <is>
          <t>2026版初中作文实战通关讲义：破题立意+写作技法+真题演练</t>
        </is>
      </c>
      <c r="B2903" t="inlineStr">
        <is>
          <t>__upload_recvgDZ2wjrWfC.jpg</t>
        </is>
      </c>
      <c r="C2903" s="2" t="str">
        <f>=HYPERLINK("https://xhslink.com/m/DGTveIu8Qm", "https://xhslink.com/m/DGTveIu8Qm")</f>
        <v>https://xhslink.com/m/DGTveIu8Qm</v>
      </c>
      <c r="D2903"/>
      <c r="E2903">
        <v>1273</v>
      </c>
      <c r="F2903">
        <v>89</v>
      </c>
      <c r="G2903"/>
      <c r="H2903">
        <v>300</v>
      </c>
      <c r="I2903"/>
      <c r="J2903"/>
      <c r="K2903" t="inlineStr">
        <is>
          <t>作文</t>
        </is>
      </c>
      <c r="L2903"/>
      <c r="M2903" t="inlineStr">
        <is>
          <t>满分教研室的店</t>
        </is>
      </c>
      <c r="N2903">
        <v>2644</v>
      </c>
      <c r="O2903">
        <v>4.56</v>
      </c>
      <c r="P2903">
        <v>1374</v>
      </c>
      <c r="Q2903" t="inlineStr">
        <is>
          <t>6950a8f7a3512300015435cf</t>
        </is>
      </c>
      <c r="R2903" t="inlineStr">
        <is>
          <t>🚫重复</t>
        </is>
      </c>
      <c r="S2903" t="inlineStr">
        <is>
          <t>中小学教辅/教材</t>
        </is>
      </c>
      <c r="T2903" t="inlineStr">
        <is>
          <t>0.48</t>
        </is>
      </c>
      <c r="U2903" s="3">
        <v>46125.54001157408</v>
      </c>
      <c r="V2903"/>
      <c r="W2903" s="3">
        <v>46125</v>
      </c>
      <c r="X2903" t="inlineStr">
        <is>
          <t>04</t>
        </is>
      </c>
      <c r="Y2903" t="inlineStr">
        <is>
          <t>2026-Q2</t>
        </is>
      </c>
    </row>
    <row r="2904" ht="38.25" customHeight="1">
      <c r="A2904" t="inlineStr">
        <is>
          <t>意读 · 2026高考作文-时政热点作文高考预测版</t>
        </is>
      </c>
      <c r="B2904" t="inlineStr">
        <is>
          <t>__upload_recvgDZ2wj6uP9.jpg</t>
        </is>
      </c>
      <c r="C2904" s="2" t="str">
        <f>=HYPERLINK("https://xhslink.com/m/3yznRwZ1wKy", "https://xhslink.com/m/3yznRwZ1wKy")</f>
        <v>https://xhslink.com/m/3yznRwZ1wKy</v>
      </c>
      <c r="D2904"/>
      <c r="E2904">
        <v>1210</v>
      </c>
      <c r="F2904">
        <v>56.8</v>
      </c>
      <c r="G2904"/>
      <c r="H2904">
        <v>150</v>
      </c>
      <c r="I2904"/>
      <c r="J2904"/>
      <c r="K2904" t="inlineStr">
        <is>
          <t>作文</t>
        </is>
      </c>
      <c r="L2904"/>
      <c r="M2904" t="inlineStr">
        <is>
          <t>意读旗舰店</t>
        </is>
      </c>
      <c r="N2904">
        <v>1303</v>
      </c>
      <c r="O2904">
        <v>4.43</v>
      </c>
      <c r="P2904">
        <v>3615</v>
      </c>
      <c r="Q2904" t="inlineStr">
        <is>
          <t>69816ed578d8d50001af0742</t>
        </is>
      </c>
      <c r="R2904" t="inlineStr">
        <is>
          <t>🚫重复</t>
        </is>
      </c>
      <c r="S2904" t="inlineStr">
        <is>
          <t>高中/高考资料</t>
        </is>
      </c>
      <c r="T2904" t="inlineStr">
        <is>
          <t>0.93</t>
        </is>
      </c>
      <c r="U2904" s="3">
        <v>46125.54001157408</v>
      </c>
      <c r="V2904"/>
      <c r="W2904" s="3">
        <v>46125</v>
      </c>
      <c r="X2904" t="inlineStr">
        <is>
          <t>04</t>
        </is>
      </c>
      <c r="Y2904" t="inlineStr">
        <is>
          <t>2026-Q2</t>
        </is>
      </c>
    </row>
    <row r="2905" ht="38.25" customHeight="1">
      <c r="A2905" t="inlineStr">
        <is>
          <t>小升初 作文训练 每日10分钟仿写</t>
        </is>
      </c>
      <c r="B2905" t="inlineStr">
        <is>
          <t>__upload_recvgDZ2wjKxBl.jpg</t>
        </is>
      </c>
      <c r="C2905" s="2" t="str">
        <f>=HYPERLINK("https://xhslink.com/m/ATlSRQMlu3s", "https://xhslink.com/m/ATlSRQMlu3s")</f>
        <v>https://xhslink.com/m/ATlSRQMlu3s</v>
      </c>
      <c r="D2905"/>
      <c r="E2905">
        <v>1219</v>
      </c>
      <c r="F2905">
        <v>56.8</v>
      </c>
      <c r="G2905"/>
      <c r="H2905">
        <v>150</v>
      </c>
      <c r="I2905"/>
      <c r="J2905"/>
      <c r="K2905" t="inlineStr">
        <is>
          <t>作文</t>
        </is>
      </c>
      <c r="L2905"/>
      <c r="M2905" t="inlineStr">
        <is>
          <t>小丁老师备课中的店</t>
        </is>
      </c>
      <c r="N2905">
        <v>1524</v>
      </c>
      <c r="O2905">
        <v>4.17</v>
      </c>
      <c r="P2905">
        <v>3667</v>
      </c>
      <c r="Q2905" t="inlineStr">
        <is>
          <t>685a66ca2835930001e18c46</t>
        </is>
      </c>
      <c r="R2905" t="inlineStr">
        <is>
          <t>🚫重复</t>
        </is>
      </c>
      <c r="S2905" t="inlineStr">
        <is>
          <t>中小学教辅/教材</t>
        </is>
      </c>
      <c r="T2905" t="inlineStr">
        <is>
          <t>0.80</t>
        </is>
      </c>
      <c r="U2905" s="3">
        <v>46125.54001157408</v>
      </c>
      <c r="V2905"/>
      <c r="W2905" s="3">
        <v>46125</v>
      </c>
      <c r="X2905" t="inlineStr">
        <is>
          <t>04</t>
        </is>
      </c>
      <c r="Y2905" t="inlineStr">
        <is>
          <t>2026-Q2</t>
        </is>
      </c>
    </row>
    <row r="2906" ht="38.25" customHeight="1">
      <c r="A2906" t="inlineStr">
        <is>
          <t>26综应大作文高分指南-ABCD类预测范文/模板案例金句/公w格式模版</t>
        </is>
      </c>
      <c r="B2906" t="inlineStr">
        <is>
          <t>__upload_recvgDZ2wjXM43.jpg</t>
        </is>
      </c>
      <c r="C2906" s="2" t="str">
        <f>=HYPERLINK("https://xhslink.com/m/5ccj6QLSRtt", "https://xhslink.com/m/5ccj6QLSRtt")</f>
        <v>https://xhslink.com/m/5ccj6QLSRtt</v>
      </c>
      <c r="D2906"/>
      <c r="E2906">
        <v>1188</v>
      </c>
      <c r="F2906">
        <v>39.9</v>
      </c>
      <c r="G2906"/>
      <c r="H2906">
        <v>150</v>
      </c>
      <c r="I2906"/>
      <c r="J2906"/>
      <c r="K2906" t="inlineStr">
        <is>
          <t>作文</t>
        </is>
      </c>
      <c r="L2906"/>
      <c r="M2906" t="inlineStr">
        <is>
          <t>红岸笔谈的店</t>
        </is>
      </c>
      <c r="N2906">
        <v>14000</v>
      </c>
      <c r="O2906">
        <v>4.6</v>
      </c>
      <c r="P2906">
        <v>4513</v>
      </c>
      <c r="Q2906" t="inlineStr">
        <is>
          <t>69be347a0ac79f0001bb525f</t>
        </is>
      </c>
      <c r="R2906"/>
      <c r="S2906" t="inlineStr">
        <is>
          <t>考公资料</t>
        </is>
      </c>
      <c r="T2906" t="inlineStr">
        <is>
          <t>0.08</t>
        </is>
      </c>
      <c r="U2906" s="3">
        <v>46125.54001157408</v>
      </c>
      <c r="V2906"/>
      <c r="W2906" s="3">
        <v>46125</v>
      </c>
      <c r="X2906" t="inlineStr">
        <is>
          <t>04</t>
        </is>
      </c>
      <c r="Y2906" t="inlineStr">
        <is>
          <t>2026-Q2</t>
        </is>
      </c>
    </row>
    <row r="2907" ht="38.25" customHeight="1">
      <c r="A2907" t="inlineStr">
        <is>
          <t>【26春】五年级下册语文作文教学课件|单个9.9，里面没有授课视频</t>
        </is>
      </c>
      <c r="B2907" t="inlineStr">
        <is>
          <t>__upload_recvgDZ2wjnrx0.jpg</t>
        </is>
      </c>
      <c r="C2907" s="2" t="str">
        <f>=HYPERLINK("https://xhslink.com/m/A4M62diwfJZ", "https://xhslink.com/m/A4M62diwfJZ")</f>
        <v>https://xhslink.com/m/A4M62diwfJZ</v>
      </c>
      <c r="D2907"/>
      <c r="E2907">
        <v>1233</v>
      </c>
      <c r="F2907">
        <v>270</v>
      </c>
      <c r="G2907"/>
      <c r="H2907">
        <v>450</v>
      </c>
      <c r="I2907"/>
      <c r="J2907"/>
      <c r="K2907" t="inlineStr">
        <is>
          <t>作文</t>
        </is>
      </c>
      <c r="L2907"/>
      <c r="M2907" t="inlineStr">
        <is>
          <t>吾辈皆是备课人的店</t>
        </is>
      </c>
      <c r="N2907">
        <v>10000</v>
      </c>
      <c r="O2907">
        <v>4.48</v>
      </c>
      <c r="P2907">
        <v>19000</v>
      </c>
      <c r="Q2907" t="inlineStr">
        <is>
          <t>6955e773110a7f0001aa670e</t>
        </is>
      </c>
      <c r="R2907" t="inlineStr">
        <is>
          <t>🚫重复</t>
        </is>
      </c>
      <c r="S2907" t="inlineStr">
        <is>
          <t>中小学教辅/教材</t>
        </is>
      </c>
      <c r="T2907" t="inlineStr">
        <is>
          <t>0.12</t>
        </is>
      </c>
      <c r="U2907" s="3">
        <v>46125.54001157408</v>
      </c>
      <c r="V2907"/>
      <c r="W2907" s="3">
        <v>46125</v>
      </c>
      <c r="X2907" t="inlineStr">
        <is>
          <t>04</t>
        </is>
      </c>
      <c r="Y2907" t="inlineStr">
        <is>
          <t>2026-Q2</t>
        </is>
      </c>
    </row>
    <row r="2908" ht="38.25" customHeight="1">
      <c r="A2908" t="inlineStr">
        <is>
          <t>26春版最新八下母版作文合集</t>
        </is>
      </c>
      <c r="B2908" t="inlineStr">
        <is>
          <t>__upload_recvgDZ2wjqfhR.jpg</t>
        </is>
      </c>
      <c r="C2908" s="2" t="str">
        <f>=HYPERLINK("https://xhslink.com/m/6F9J6nxj3LQ", "https://xhslink.com/m/6F9J6nxj3LQ")</f>
        <v>https://xhslink.com/m/6F9J6nxj3LQ</v>
      </c>
      <c r="D2908"/>
      <c r="E2908">
        <v>1006</v>
      </c>
      <c r="F2908">
        <v>39</v>
      </c>
      <c r="G2908"/>
      <c r="H2908">
        <v>100</v>
      </c>
      <c r="I2908"/>
      <c r="J2908"/>
      <c r="K2908" t="inlineStr">
        <is>
          <t>作文</t>
        </is>
      </c>
      <c r="L2908"/>
      <c r="M2908" t="inlineStr">
        <is>
          <t>大圣老师教作文的店</t>
        </is>
      </c>
      <c r="N2908">
        <v>31000</v>
      </c>
      <c r="O2908">
        <v>4.42</v>
      </c>
      <c r="P2908">
        <v>10000</v>
      </c>
      <c r="Q2908" t="inlineStr">
        <is>
          <t>667789b32fbb540001a30a73</t>
        </is>
      </c>
      <c r="R2908"/>
      <c r="S2908" t="inlineStr">
        <is>
          <t>中小学教辅/教材</t>
        </is>
      </c>
      <c r="T2908" t="inlineStr">
        <is>
          <t>0.03</t>
        </is>
      </c>
      <c r="U2908" s="3">
        <v>46125.54001157408</v>
      </c>
      <c r="V2908"/>
      <c r="W2908" s="3">
        <v>46125</v>
      </c>
      <c r="X2908" t="inlineStr">
        <is>
          <t>04</t>
        </is>
      </c>
      <c r="Y2908" t="inlineStr">
        <is>
          <t>2026-Q2</t>
        </is>
      </c>
    </row>
    <row r="2909" ht="38.25" customHeight="1">
      <c r="A2909" t="inlineStr">
        <is>
          <t>TOPIK小作文30分模版拿走用！</t>
        </is>
      </c>
      <c r="B2909" t="inlineStr">
        <is>
          <t>__upload_recvgDZ2wjUXWq.jpg</t>
        </is>
      </c>
      <c r="C2909" s="2" t="str">
        <f>=HYPERLINK("https://xhslink.com/m/9g0WrMHlIpn", "https://xhslink.com/m/9g0WrMHlIpn")</f>
        <v>https://xhslink.com/m/9g0WrMHlIpn</v>
      </c>
      <c r="D2909"/>
      <c r="E2909">
        <v>1008</v>
      </c>
      <c r="F2909">
        <v>39.9</v>
      </c>
      <c r="G2909"/>
      <c r="H2909">
        <v>150</v>
      </c>
      <c r="I2909"/>
      <c r="J2909"/>
      <c r="K2909" t="inlineStr">
        <is>
          <t>作文</t>
        </is>
      </c>
      <c r="L2909"/>
      <c r="M2909" t="inlineStr">
        <is>
          <t>韩语小梁老师的店</t>
        </is>
      </c>
      <c r="N2909">
        <v>46000</v>
      </c>
      <c r="O2909">
        <v>4.29</v>
      </c>
      <c r="P2909">
        <v>6656</v>
      </c>
      <c r="Q2909" t="inlineStr">
        <is>
          <t>68de37df53446d0001c838f5</t>
        </is>
      </c>
      <c r="R2909"/>
      <c r="S2909" t="inlineStr">
        <is>
          <t>生活成长</t>
        </is>
      </c>
      <c r="T2909" t="inlineStr">
        <is>
          <t>0.02</t>
        </is>
      </c>
      <c r="U2909" s="3">
        <v>46125.54001157408</v>
      </c>
      <c r="V2909"/>
      <c r="W2909" s="3">
        <v>46125</v>
      </c>
      <c r="X2909" t="inlineStr">
        <is>
          <t>04</t>
        </is>
      </c>
      <c r="Y2909" t="inlineStr">
        <is>
          <t>2026-Q2</t>
        </is>
      </c>
    </row>
    <row r="2910" ht="38.25" customHeight="1">
      <c r="A2910" t="inlineStr">
        <is>
          <t>【26春】二年级下册语文同步写话教学课件|单个9.9，没有授课视频</t>
        </is>
      </c>
      <c r="B2910" t="inlineStr">
        <is>
          <t>__upload_recvgDZ2wjjvxo.jpg</t>
        </is>
      </c>
      <c r="C2910" s="2" t="str">
        <f>=HYPERLINK("https://xhslink.com/m/2Hj3RHpNnLW", "https://xhslink.com/m/2Hj3RHpNnLW")</f>
        <v>https://xhslink.com/m/2Hj3RHpNnLW</v>
      </c>
      <c r="D2910"/>
      <c r="E2910">
        <v>1101</v>
      </c>
      <c r="F2910">
        <v>490</v>
      </c>
      <c r="G2910"/>
      <c r="H2910">
        <v>350</v>
      </c>
      <c r="I2910"/>
      <c r="J2910"/>
      <c r="K2910" t="inlineStr">
        <is>
          <t>作文</t>
        </is>
      </c>
      <c r="L2910"/>
      <c r="M2910" t="inlineStr">
        <is>
          <t>吾辈皆是备课人的店</t>
        </is>
      </c>
      <c r="N2910">
        <v>10000</v>
      </c>
      <c r="O2910">
        <v>4.48</v>
      </c>
      <c r="P2910">
        <v>19000</v>
      </c>
      <c r="Q2910" t="inlineStr">
        <is>
          <t>695ba2aebb020d0001b19fe5</t>
        </is>
      </c>
      <c r="R2910" t="inlineStr">
        <is>
          <t>🚫重复</t>
        </is>
      </c>
      <c r="S2910" t="inlineStr">
        <is>
          <t>中小学教辅/教材</t>
        </is>
      </c>
      <c r="T2910" t="inlineStr">
        <is>
          <t>0.11</t>
        </is>
      </c>
      <c r="U2910" s="3">
        <v>46125.54001157408</v>
      </c>
      <c r="V2910"/>
      <c r="W2910" s="3">
        <v>46125</v>
      </c>
      <c r="X2910" t="inlineStr">
        <is>
          <t>04</t>
        </is>
      </c>
      <c r="Y2910" t="inlineStr">
        <is>
          <t>2026-Q2</t>
        </is>
      </c>
    </row>
    <row r="2911" ht="38.25" customHeight="1">
      <c r="A2911" t="inlineStr">
        <is>
          <t>【26春】四年级下册语文教学作文课件|单个9.9，里面没有授课视频</t>
        </is>
      </c>
      <c r="B2911" t="inlineStr">
        <is>
          <t>__upload_recvgDZ2wjHujp.jpg</t>
        </is>
      </c>
      <c r="C2911" s="2" t="str">
        <f>=HYPERLINK("https://xhslink.com/m/8pHRIws5duW", "https://xhslink.com/m/8pHRIws5duW")</f>
        <v>https://xhslink.com/m/8pHRIws5duW</v>
      </c>
      <c r="D2911"/>
      <c r="E2911">
        <v>901</v>
      </c>
      <c r="F2911">
        <v>490</v>
      </c>
      <c r="G2911"/>
      <c r="H2911">
        <v>300</v>
      </c>
      <c r="I2911"/>
      <c r="J2911"/>
      <c r="K2911" t="inlineStr">
        <is>
          <t>作文</t>
        </is>
      </c>
      <c r="L2911"/>
      <c r="M2911" t="inlineStr">
        <is>
          <t>吾辈皆是备课人的店</t>
        </is>
      </c>
      <c r="N2911">
        <v>10000</v>
      </c>
      <c r="O2911">
        <v>4.48</v>
      </c>
      <c r="P2911">
        <v>19000</v>
      </c>
      <c r="Q2911" t="inlineStr">
        <is>
          <t>695551364e15d60001d373d7</t>
        </is>
      </c>
      <c r="R2911" t="inlineStr">
        <is>
          <t>🚫重复</t>
        </is>
      </c>
      <c r="S2911" t="inlineStr">
        <is>
          <t>中小学教辅/教材</t>
        </is>
      </c>
      <c r="T2911" t="inlineStr">
        <is>
          <t>0.09</t>
        </is>
      </c>
      <c r="U2911" s="3">
        <v>46125.54001157408</v>
      </c>
      <c r="V2911"/>
      <c r="W2911" s="3">
        <v>46125</v>
      </c>
      <c r="X2911" t="inlineStr">
        <is>
          <t>04</t>
        </is>
      </c>
      <c r="Y2911" t="inlineStr">
        <is>
          <t>2026-Q2</t>
        </is>
      </c>
    </row>
    <row r="2912" ht="38.25" customHeight="1">
      <c r="A2912" t="inlineStr">
        <is>
          <t>【26春】六年级下册作文语文教学课件|单个9.9，里面没有授课视频</t>
        </is>
      </c>
      <c r="B2912" t="inlineStr">
        <is>
          <t>__upload_recvgDZ2wjjQZM.jpg</t>
        </is>
      </c>
      <c r="C2912" s="2" t="str">
        <f>=HYPERLINK("https://xhslink.com/m/9KfhqG1dFnD", "https://xhslink.com/m/9KfhqG1dFnD")</f>
        <v>https://xhslink.com/m/9KfhqG1dFnD</v>
      </c>
      <c r="D2912"/>
      <c r="E2912">
        <v>894</v>
      </c>
      <c r="F2912">
        <v>490</v>
      </c>
      <c r="G2912"/>
      <c r="H2912">
        <v>300</v>
      </c>
      <c r="I2912"/>
      <c r="J2912"/>
      <c r="K2912" t="inlineStr">
        <is>
          <t>作文</t>
        </is>
      </c>
      <c r="L2912"/>
      <c r="M2912" t="inlineStr">
        <is>
          <t>吾辈皆是备课人的店</t>
        </is>
      </c>
      <c r="N2912">
        <v>10000</v>
      </c>
      <c r="O2912">
        <v>4.48</v>
      </c>
      <c r="P2912">
        <v>19000</v>
      </c>
      <c r="Q2912" t="inlineStr">
        <is>
          <t>695554e9a751dc000191cb0b</t>
        </is>
      </c>
      <c r="R2912" t="inlineStr">
        <is>
          <t>🚫重复</t>
        </is>
      </c>
      <c r="S2912" t="inlineStr">
        <is>
          <t>中小学教辅/教材</t>
        </is>
      </c>
      <c r="T2912" t="inlineStr">
        <is>
          <t>0.09</t>
        </is>
      </c>
      <c r="U2912" s="3">
        <v>46125.54001157408</v>
      </c>
      <c r="V2912"/>
      <c r="W2912" s="3">
        <v>46125</v>
      </c>
      <c r="X2912" t="inlineStr">
        <is>
          <t>04</t>
        </is>
      </c>
      <c r="Y2912" t="inlineStr">
        <is>
          <t>2026-Q2</t>
        </is>
      </c>
    </row>
    <row r="2913" ht="38.25" customHeight="1">
      <c r="A2913" t="inlineStr">
        <is>
          <t>沪教牛津初中写作合集【可编辑word版】【深圳广州沈阳太原可用】</t>
        </is>
      </c>
      <c r="B2913" t="inlineStr">
        <is>
          <t>__upload_recvgDZ2wj03Zz.jpg</t>
        </is>
      </c>
      <c r="C2913" s="2" t="str">
        <f>=HYPERLINK("https://xhslink.com/m/4h4zC69qWJg", "https://xhslink.com/m/4h4zC69qWJg")</f>
        <v>https://xhslink.com/m/4h4zC69qWJg</v>
      </c>
      <c r="D2913"/>
      <c r="E2913">
        <v>752</v>
      </c>
      <c r="F2913">
        <v>133</v>
      </c>
      <c r="G2913"/>
      <c r="H2913">
        <v>100</v>
      </c>
      <c r="I2913"/>
      <c r="J2913"/>
      <c r="K2913" t="inlineStr">
        <is>
          <t>作文</t>
        </is>
      </c>
      <c r="L2913"/>
      <c r="M2913" t="inlineStr">
        <is>
          <t>海狸好厉害的店</t>
        </is>
      </c>
      <c r="N2913">
        <v>1105</v>
      </c>
      <c r="O2913">
        <v>4.49</v>
      </c>
      <c r="P2913">
        <v>1179</v>
      </c>
      <c r="Q2913" t="inlineStr">
        <is>
          <t>681e22412af33000016a7750</t>
        </is>
      </c>
      <c r="R2913"/>
      <c r="S2913" t="inlineStr">
        <is>
          <t>中小学教辅/教材</t>
        </is>
      </c>
      <c r="T2913" t="inlineStr">
        <is>
          <t>0.68</t>
        </is>
      </c>
      <c r="U2913" s="3">
        <v>46125.54001157408</v>
      </c>
      <c r="V2913"/>
      <c r="W2913" s="3">
        <v>46125</v>
      </c>
      <c r="X2913" t="inlineStr">
        <is>
          <t>04</t>
        </is>
      </c>
      <c r="Y2913" t="inlineStr">
        <is>
          <t>2026-Q2</t>
        </is>
      </c>
    </row>
    <row r="2914" ht="38.25" customHeight="1">
      <c r="A2914" t="inlineStr">
        <is>
          <t>新外研七下全册作文课件＋作文纸</t>
        </is>
      </c>
      <c r="B2914" t="inlineStr">
        <is>
          <t>__upload_recvgDZ2wjjNGe.jpg</t>
        </is>
      </c>
      <c r="C2914" s="2" t="str">
        <f>=HYPERLINK("https://xhslink.com/m/5W0VCD9b648", "https://xhslink.com/m/5W0VCD9b648")</f>
        <v>https://xhslink.com/m/5W0VCD9b648</v>
      </c>
      <c r="D2914"/>
      <c r="E2914">
        <v>693</v>
      </c>
      <c r="F2914">
        <v>45</v>
      </c>
      <c r="G2914"/>
      <c r="H2914">
        <v>100</v>
      </c>
      <c r="I2914"/>
      <c r="J2914"/>
      <c r="K2914" t="inlineStr">
        <is>
          <t>作文</t>
        </is>
      </c>
      <c r="L2914"/>
      <c r="M2914" t="inlineStr">
        <is>
          <t>快乐教书匠的店</t>
        </is>
      </c>
      <c r="N2914">
        <v>1774</v>
      </c>
      <c r="O2914">
        <v>4.06</v>
      </c>
      <c r="P2914">
        <v>5451</v>
      </c>
      <c r="Q2914" t="inlineStr">
        <is>
          <t>67e7f503bf527d00010afb42</t>
        </is>
      </c>
      <c r="R2914"/>
      <c r="S2914" t="inlineStr">
        <is>
          <t>中小学教辅/教材</t>
        </is>
      </c>
      <c r="T2914" t="inlineStr">
        <is>
          <t>0.39</t>
        </is>
      </c>
      <c r="U2914" s="3">
        <v>46125.54001157408</v>
      </c>
      <c r="V2914"/>
      <c r="W2914" s="3">
        <v>46125</v>
      </c>
      <c r="X2914" t="inlineStr">
        <is>
          <t>04</t>
        </is>
      </c>
      <c r="Y2914" t="inlineStr">
        <is>
          <t>2026-Q2</t>
        </is>
      </c>
    </row>
    <row r="2915" ht="38.25" customHeight="1">
      <c r="A2915" t="inlineStr">
        <is>
          <t>2026年4月19日前雅思口语+写作预测</t>
        </is>
      </c>
      <c r="B2915" t="inlineStr">
        <is>
          <t>__upload_recvgDZ2wjpRiP.jpg</t>
        </is>
      </c>
      <c r="C2915" s="2" t="str">
        <f>=HYPERLINK("https://xhslink.com/m/2dATMVlNkGV", "https://xhslink.com/m/2dATMVlNkGV")</f>
        <v>https://xhslink.com/m/2dATMVlNkGV</v>
      </c>
      <c r="D2915"/>
      <c r="E2915">
        <v>469</v>
      </c>
      <c r="F2915">
        <v>60</v>
      </c>
      <c r="G2915"/>
      <c r="H2915">
        <v>100</v>
      </c>
      <c r="I2915"/>
      <c r="J2915"/>
      <c r="K2915" t="inlineStr">
        <is>
          <t>作文</t>
        </is>
      </c>
      <c r="L2915"/>
      <c r="M2915" t="inlineStr">
        <is>
          <t>Nancy老师雅思口语的店</t>
        </is>
      </c>
      <c r="N2915">
        <v>28000</v>
      </c>
      <c r="O2915">
        <v>4.26</v>
      </c>
      <c r="P2915">
        <v>32000</v>
      </c>
      <c r="Q2915" t="inlineStr">
        <is>
          <t>694a5d756a3f3f0001627443</t>
        </is>
      </c>
      <c r="R2915" t="inlineStr">
        <is>
          <t>🚫重复</t>
        </is>
      </c>
      <c r="S2915" t="inlineStr">
        <is>
          <t>英语资料</t>
        </is>
      </c>
      <c r="T2915" t="inlineStr">
        <is>
          <t>0.02</t>
        </is>
      </c>
      <c r="U2915" s="3">
        <v>46125.54001157408</v>
      </c>
      <c r="V2915"/>
      <c r="W2915" s="3">
        <v>46125</v>
      </c>
      <c r="X2915" t="inlineStr">
        <is>
          <t>04</t>
        </is>
      </c>
      <c r="Y2915" t="inlineStr">
        <is>
          <t>2026-Q2</t>
        </is>
      </c>
    </row>
    <row r="2916" ht="38.25" customHeight="1">
      <c r="A2916" t="inlineStr">
        <is>
          <t>【3年级下册】校内同步单元作文课件（2026年更新版）</t>
        </is>
      </c>
      <c r="B2916" t="inlineStr">
        <is>
          <t>__upload_recvgDZ2wjbAMd.jpg</t>
        </is>
      </c>
      <c r="C2916" s="2" t="str">
        <f>=HYPERLINK("https://xhslink.com/m/3kqg4Z34N5c", "https://xhslink.com/m/3kqg4Z34N5c")</f>
        <v>https://xhslink.com/m/3kqg4Z34N5c</v>
      </c>
      <c r="D2916"/>
      <c r="E2916">
        <v>409</v>
      </c>
      <c r="F2916">
        <v>490</v>
      </c>
      <c r="G2916"/>
      <c r="H2916">
        <v>200</v>
      </c>
      <c r="I2916"/>
      <c r="J2916"/>
      <c r="K2916" t="inlineStr">
        <is>
          <t>作文</t>
        </is>
      </c>
      <c r="L2916"/>
      <c r="M2916" t="inlineStr">
        <is>
          <t>罗意老师的店</t>
        </is>
      </c>
      <c r="N2916">
        <v>26000</v>
      </c>
      <c r="O2916">
        <v>4.41</v>
      </c>
      <c r="P2916">
        <v>3581</v>
      </c>
      <c r="Q2916" t="inlineStr">
        <is>
          <t>695b59a4a751dc000114ba21</t>
        </is>
      </c>
      <c r="R2916" t="inlineStr">
        <is>
          <t>🚫重复</t>
        </is>
      </c>
      <c r="S2916" t="inlineStr">
        <is>
          <t>中小学教辅/教材</t>
        </is>
      </c>
      <c r="T2916" t="inlineStr">
        <is>
          <t>0.02</t>
        </is>
      </c>
      <c r="U2916" s="3">
        <v>46125.54001157408</v>
      </c>
      <c r="V2916"/>
      <c r="W2916" s="3">
        <v>46125</v>
      </c>
      <c r="X2916" t="inlineStr">
        <is>
          <t>04</t>
        </is>
      </c>
      <c r="Y2916" t="inlineStr">
        <is>
          <t>2026-Q2</t>
        </is>
      </c>
    </row>
    <row r="2917" ht="38.25" customHeight="1">
      <c r="A2917" t="inlineStr">
        <is>
          <t>26年1-4月原创雅思囗语素材p1+p2+p3（接地气生活化素材）</t>
        </is>
      </c>
      <c r="B2917" t="inlineStr">
        <is>
          <t>__upload_recvgDZ2wjAOT7.jpg</t>
        </is>
      </c>
      <c r="C2917" s="2" t="str">
        <f>=HYPERLINK("https://xhslink.com/m/AYVWLR58LPf", "https://xhslink.com/m/AYVWLR58LPf")</f>
        <v>https://xhslink.com/m/AYVWLR58LPf</v>
      </c>
      <c r="D2917"/>
      <c r="E2917">
        <v>22000</v>
      </c>
      <c r="F2917">
        <v>119</v>
      </c>
      <c r="G2917"/>
      <c r="H2917">
        <v>800</v>
      </c>
      <c r="I2917"/>
      <c r="J2917"/>
      <c r="K2917" t="inlineStr">
        <is>
          <t>素材</t>
        </is>
      </c>
      <c r="L2917"/>
      <c r="M2917" t="inlineStr">
        <is>
          <t>考雅过过过的店</t>
        </is>
      </c>
      <c r="N2917">
        <v>21000</v>
      </c>
      <c r="O2917">
        <v>4.6</v>
      </c>
      <c r="P2917">
        <v>41000</v>
      </c>
      <c r="Q2917" t="inlineStr">
        <is>
          <t>69bcb288e6196b0001cd49d5</t>
        </is>
      </c>
      <c r="R2917" t="inlineStr">
        <is>
          <t>🚫重复</t>
        </is>
      </c>
      <c r="S2917" t="inlineStr">
        <is>
          <t>英语资料</t>
        </is>
      </c>
      <c r="T2917" t="inlineStr">
        <is>
          <t>1.05</t>
        </is>
      </c>
      <c r="U2917" s="3">
        <v>46125.54001157408</v>
      </c>
      <c r="V2917"/>
      <c r="W2917" s="3">
        <v>46125</v>
      </c>
      <c r="X2917" t="inlineStr">
        <is>
          <t>04</t>
        </is>
      </c>
      <c r="Y2917" t="inlineStr">
        <is>
          <t>2026-Q2</t>
        </is>
      </c>
    </row>
    <row r="2918" ht="38.25" customHeight="1">
      <c r="A2918" t="inlineStr">
        <is>
          <t>「白开自制」仿真画材</t>
        </is>
      </c>
      <c r="B2918" t="inlineStr">
        <is>
          <t>__upload_recvgDZ2wjvepB.jpg</t>
        </is>
      </c>
      <c r="C2918" s="2" t="str">
        <f>=HYPERLINK("https://xhslink.com/m/8sfkKS4AM5T", "https://xhslink.com/m/8sfkKS4AM5T")</f>
        <v>https://xhslink.com/m/8sfkKS4AM5T</v>
      </c>
      <c r="D2918"/>
      <c r="E2918">
        <v>5771</v>
      </c>
      <c r="F2918">
        <v>15</v>
      </c>
      <c r="G2918"/>
      <c r="H2918">
        <v>100</v>
      </c>
      <c r="I2918"/>
      <c r="J2918"/>
      <c r="K2918" t="inlineStr">
        <is>
          <t>素材</t>
        </is>
      </c>
      <c r="L2918"/>
      <c r="M2918" t="inlineStr">
        <is>
          <t>白开的店</t>
        </is>
      </c>
      <c r="N2918">
        <v>30000</v>
      </c>
      <c r="O2918">
        <v>4.49</v>
      </c>
      <c r="P2918">
        <v>22000</v>
      </c>
      <c r="Q2918" t="inlineStr">
        <is>
          <t>681f3cff7f3a7d0001a0426e</t>
        </is>
      </c>
      <c r="R2918" t="inlineStr">
        <is>
          <t>🚫重复</t>
        </is>
      </c>
      <c r="S2918" t="inlineStr">
        <is>
          <t>设计素材</t>
        </is>
      </c>
      <c r="T2918" t="inlineStr">
        <is>
          <t>0.19</t>
        </is>
      </c>
      <c r="U2918" s="3">
        <v>46125.54001157408</v>
      </c>
      <c r="V2918"/>
      <c r="W2918" s="3">
        <v>46125</v>
      </c>
      <c r="X2918" t="inlineStr">
        <is>
          <t>04</t>
        </is>
      </c>
      <c r="Y2918" t="inlineStr">
        <is>
          <t>2026-Q2</t>
        </is>
      </c>
    </row>
    <row r="2919" ht="38.25" customHeight="1">
      <c r="A2919" t="inlineStr">
        <is>
          <t>2026中高考任选适用2025/2026热点考点素材押题作文</t>
        </is>
      </c>
      <c r="B2919" t="inlineStr">
        <is>
          <t>__upload_recvgDZ2wjcPCI.jpg</t>
        </is>
      </c>
      <c r="C2919" s="2" t="str">
        <f>=HYPERLINK("https://xhslink.com/m/9IeOgQ9xCg", "https://xhslink.com/m/9IeOgQ9xCg")</f>
        <v>https://xhslink.com/m/9IeOgQ9xCg</v>
      </c>
      <c r="D2919"/>
      <c r="E2919">
        <v>4703</v>
      </c>
      <c r="F2919">
        <v>69</v>
      </c>
      <c r="G2919"/>
      <c r="H2919">
        <v>650</v>
      </c>
      <c r="I2919">
        <v>1000</v>
      </c>
      <c r="J2919"/>
      <c r="K2919" t="inlineStr">
        <is>
          <t>素材</t>
        </is>
      </c>
      <c r="L2919"/>
      <c r="M2919" t="inlineStr">
        <is>
          <t>张学姐的店</t>
        </is>
      </c>
      <c r="N2919">
        <v>6233</v>
      </c>
      <c r="O2919">
        <v>4.54</v>
      </c>
      <c r="P2919">
        <v>15000</v>
      </c>
      <c r="Q2919" t="inlineStr">
        <is>
          <t>692e24df46e53000016bd17b</t>
        </is>
      </c>
      <c r="R2919" t="inlineStr">
        <is>
          <t>🚫重复</t>
        </is>
      </c>
      <c r="S2919" t="inlineStr">
        <is>
          <t>中小学教辅/教材</t>
        </is>
      </c>
      <c r="T2919" t="inlineStr">
        <is>
          <t>0.75</t>
        </is>
      </c>
      <c r="U2919" s="3">
        <v>46125.54001157408</v>
      </c>
      <c r="V2919"/>
      <c r="W2919" s="3">
        <v>46125</v>
      </c>
      <c r="X2919" t="inlineStr">
        <is>
          <t>04</t>
        </is>
      </c>
      <c r="Y2919" t="inlineStr">
        <is>
          <t>2026-Q2</t>
        </is>
      </c>
    </row>
    <row r="2920" ht="38.25" customHeight="1">
      <c r="A2920" t="inlineStr">
        <is>
          <t>陌墨 · 二号手帐素材 贴纸胶带素材纸</t>
        </is>
      </c>
      <c r="B2920" t="inlineStr">
        <is>
          <t>__upload_recvgDZ2wjoQ4o.jpg</t>
        </is>
      </c>
      <c r="C2920" s="2" t="str">
        <f>=HYPERLINK("https://xhslink.com/m/68QQi5kbq34", "https://xhslink.com/m/68QQi5kbq34")</f>
        <v>https://xhslink.com/m/68QQi5kbq34</v>
      </c>
      <c r="D2920"/>
      <c r="E2920">
        <v>4524</v>
      </c>
      <c r="F2920">
        <v>51.5</v>
      </c>
      <c r="G2920"/>
      <c r="H2920">
        <v>100</v>
      </c>
      <c r="I2920"/>
      <c r="J2920"/>
      <c r="K2920" t="inlineStr">
        <is>
          <t>素材</t>
        </is>
      </c>
      <c r="L2920"/>
      <c r="M2920" t="inlineStr">
        <is>
          <t>陌墨旗舰店</t>
        </is>
      </c>
      <c r="N2920">
        <v>46000</v>
      </c>
      <c r="O2920">
        <v>4.55</v>
      </c>
      <c r="P2920">
        <v>111000</v>
      </c>
      <c r="Q2920" t="inlineStr">
        <is>
          <t>66faa97e4cd2890001c72807</t>
        </is>
      </c>
      <c r="R2920"/>
      <c r="S2920" t="inlineStr">
        <is>
          <t>设计素材</t>
        </is>
      </c>
      <c r="T2920" t="inlineStr">
        <is>
          <t>0.10</t>
        </is>
      </c>
      <c r="U2920" s="3">
        <v>46125.54001157408</v>
      </c>
      <c r="V2920"/>
      <c r="W2920" s="3">
        <v>46125</v>
      </c>
      <c r="X2920" t="inlineStr">
        <is>
          <t>04</t>
        </is>
      </c>
      <c r="Y2920" t="inlineStr">
        <is>
          <t>2026-Q2</t>
        </is>
      </c>
    </row>
    <row r="2921" ht="38.25" customHeight="1">
      <c r="A2921" t="inlineStr">
        <is>
          <t>113+48支双色边框字素图案装饰procreate笔刷可商用ins日韩系素材</t>
        </is>
      </c>
      <c r="B2921" t="inlineStr">
        <is>
          <t>__upload_recvgDZ2wjUVTx.jpg</t>
        </is>
      </c>
      <c r="C2921" s="2" t="str">
        <f>=HYPERLINK("https://xhslink.com/m/3Zo2D9M0PwE", "https://xhslink.com/m/3Zo2D9M0PwE")</f>
        <v>https://xhslink.com/m/3Zo2D9M0PwE</v>
      </c>
      <c r="D2921"/>
      <c r="E2921">
        <v>4565</v>
      </c>
      <c r="F2921">
        <v>12.98</v>
      </c>
      <c r="G2921"/>
      <c r="H2921">
        <v>250</v>
      </c>
      <c r="I2921"/>
      <c r="J2921"/>
      <c r="K2921" t="inlineStr">
        <is>
          <t>素材</t>
        </is>
      </c>
      <c r="L2921"/>
      <c r="M2921" t="inlineStr">
        <is>
          <t>白日梦搜集专员的店</t>
        </is>
      </c>
      <c r="N2921">
        <v>11000</v>
      </c>
      <c r="O2921">
        <v>4.56</v>
      </c>
      <c r="P2921">
        <v>23000</v>
      </c>
      <c r="Q2921" t="inlineStr">
        <is>
          <t>682061c738a9a60001b38256</t>
        </is>
      </c>
      <c r="R2921" t="inlineStr">
        <is>
          <t>🚫重复</t>
        </is>
      </c>
      <c r="S2921" t="inlineStr">
        <is>
          <t>设计素材</t>
        </is>
      </c>
      <c r="T2921" t="inlineStr">
        <is>
          <t>0.41</t>
        </is>
      </c>
      <c r="U2921" s="3">
        <v>46125.54001157408</v>
      </c>
      <c r="V2921"/>
      <c r="W2921" s="3">
        <v>46125</v>
      </c>
      <c r="X2921" t="inlineStr">
        <is>
          <t>04</t>
        </is>
      </c>
      <c r="Y2921" t="inlineStr">
        <is>
          <t>2026-Q2</t>
        </is>
      </c>
    </row>
    <row r="2922" ht="38.25" customHeight="1">
      <c r="A2922" t="inlineStr">
        <is>
          <t>019丨300款可商用纸片票根相机边框警戒线免扣素材ai源文件(可选)</t>
        </is>
      </c>
      <c r="B2922" t="inlineStr">
        <is>
          <t>__upload_recvgDZ2wjvcAX.jpg</t>
        </is>
      </c>
      <c r="C2922" s="2" t="str">
        <f>=HYPERLINK("https://xhslink.com/m/3qAJUAwJ94U", "https://xhslink.com/m/3qAJUAwJ94U")</f>
        <v>https://xhslink.com/m/3qAJUAwJ94U</v>
      </c>
      <c r="D2922"/>
      <c r="E2922">
        <v>3139</v>
      </c>
      <c r="F2922">
        <v>9.9</v>
      </c>
      <c r="G2922"/>
      <c r="H2922">
        <v>100</v>
      </c>
      <c r="I2922"/>
      <c r="J2922"/>
      <c r="K2922" t="inlineStr">
        <is>
          <t>素材</t>
        </is>
      </c>
      <c r="L2922"/>
      <c r="M2922" t="inlineStr">
        <is>
          <t>大汤姆叔叔的店</t>
        </is>
      </c>
      <c r="N2922">
        <v>16000</v>
      </c>
      <c r="O2922">
        <v>4.64</v>
      </c>
      <c r="P2922">
        <v>28000</v>
      </c>
      <c r="Q2922" t="inlineStr">
        <is>
          <t>681a25cb9d9194000103751f</t>
        </is>
      </c>
      <c r="R2922" t="inlineStr">
        <is>
          <t>🚫重复</t>
        </is>
      </c>
      <c r="S2922" t="inlineStr">
        <is>
          <t>设计素材</t>
        </is>
      </c>
      <c r="T2922" t="inlineStr">
        <is>
          <t>0.20</t>
        </is>
      </c>
      <c r="U2922" s="3">
        <v>46125.54001157408</v>
      </c>
      <c r="V2922"/>
      <c r="W2922" s="3">
        <v>46125</v>
      </c>
      <c r="X2922" t="inlineStr">
        <is>
          <t>04</t>
        </is>
      </c>
      <c r="Y2922" t="inlineStr">
        <is>
          <t>2026-Q2</t>
        </is>
      </c>
    </row>
    <row r="2923" ht="38.25" customHeight="1">
      <c r="A2923" t="inlineStr">
        <is>
          <t>公务员 事业单位 结构化面试 素材 2026国考 省考 晨读 逐字稿</t>
        </is>
      </c>
      <c r="B2923" t="inlineStr">
        <is>
          <t>__upload_recvgDZ2wjy052.jpg</t>
        </is>
      </c>
      <c r="C2923" s="2" t="str">
        <f>=HYPERLINK("https://xhslink.com/m/4hvlopt40JN", "https://xhslink.com/m/4hvlopt40JN")</f>
        <v>https://xhslink.com/m/4hvlopt40JN</v>
      </c>
      <c r="D2923"/>
      <c r="E2923">
        <v>2849</v>
      </c>
      <c r="F2923">
        <v>59</v>
      </c>
      <c r="G2923"/>
      <c r="H2923">
        <v>150</v>
      </c>
      <c r="I2923">
        <v>1000</v>
      </c>
      <c r="J2923"/>
      <c r="K2923" t="inlineStr">
        <is>
          <t>素材</t>
        </is>
      </c>
      <c r="L2923"/>
      <c r="M2923" t="inlineStr">
        <is>
          <t>夏知的公考笔记的店</t>
        </is>
      </c>
      <c r="N2923">
        <v>80000</v>
      </c>
      <c r="O2923">
        <v>4.76</v>
      </c>
      <c r="P2923">
        <v>17000</v>
      </c>
      <c r="Q2923" t="inlineStr">
        <is>
          <t>673562827beba10001ebd400</t>
        </is>
      </c>
      <c r="R2923" t="inlineStr">
        <is>
          <t>🚫重复</t>
        </is>
      </c>
      <c r="S2923" t="inlineStr">
        <is>
          <t>考公资料</t>
        </is>
      </c>
      <c r="T2923" t="inlineStr">
        <is>
          <t>0.04</t>
        </is>
      </c>
      <c r="U2923" s="3">
        <v>46125.54001157408</v>
      </c>
      <c r="V2923"/>
      <c r="W2923" s="3">
        <v>46125</v>
      </c>
      <c r="X2923" t="inlineStr">
        <is>
          <t>04</t>
        </is>
      </c>
      <c r="Y2923" t="inlineStr">
        <is>
          <t>2026-Q2</t>
        </is>
      </c>
    </row>
    <row r="2924" ht="38.25" customHeight="1">
      <c r="A2924" t="inlineStr">
        <is>
          <t>语言区『春天主题』幼儿园区域材料可打印电子素材</t>
        </is>
      </c>
      <c r="B2924" t="inlineStr">
        <is>
          <t>__upload_recvgDZ2wjqZLz.jpg</t>
        </is>
      </c>
      <c r="C2924" s="2" t="str">
        <f>=HYPERLINK("https://xhslink.com/m/4lAyhXk8evi", "https://xhslink.com/m/4lAyhXk8evi")</f>
        <v>https://xhslink.com/m/4lAyhXk8evi</v>
      </c>
      <c r="D2924"/>
      <c r="E2924">
        <v>842</v>
      </c>
      <c r="F2924">
        <v>48.99</v>
      </c>
      <c r="G2924"/>
      <c r="H2924">
        <v>450</v>
      </c>
      <c r="I2924"/>
      <c r="J2924"/>
      <c r="K2924" t="inlineStr">
        <is>
          <t>素材</t>
        </is>
      </c>
      <c r="L2924"/>
      <c r="M2924" t="inlineStr">
        <is>
          <t>不熟的布丁的店</t>
        </is>
      </c>
      <c r="N2924">
        <v>1638</v>
      </c>
      <c r="O2924">
        <v>4.57</v>
      </c>
      <c r="P2924">
        <v>4512</v>
      </c>
      <c r="Q2924" t="inlineStr">
        <is>
          <t>69a5666a4b97810001726b02</t>
        </is>
      </c>
      <c r="R2924"/>
      <c r="S2924" t="inlineStr">
        <is>
          <t>幼教资料</t>
        </is>
      </c>
      <c r="T2924" t="inlineStr">
        <is>
          <t>0.51</t>
        </is>
      </c>
      <c r="U2924" s="3">
        <v>46125.54001157408</v>
      </c>
      <c r="V2924"/>
      <c r="W2924" s="3">
        <v>46125</v>
      </c>
      <c r="X2924" t="inlineStr">
        <is>
          <t>04</t>
        </is>
      </c>
      <c r="Y2924" t="inlineStr">
        <is>
          <t>2026-Q2</t>
        </is>
      </c>
    </row>
    <row r="2925" ht="38.25" customHeight="1">
      <c r="A2925" t="inlineStr">
        <is>
          <t>辣子星可爱新款手帐人物贴纸 女孩diy拼贴素材 手机电脑贴画</t>
        </is>
      </c>
      <c r="B2925" t="inlineStr">
        <is>
          <t>__upload_recvgDZ2wjakNU.jpg</t>
        </is>
      </c>
      <c r="C2925" s="2" t="str">
        <f>=HYPERLINK("https://xhslink.com/m/4rO4L8k4Xt5", "https://xhslink.com/m/4rO4L8k4Xt5")</f>
        <v>https://xhslink.com/m/4rO4L8k4Xt5</v>
      </c>
      <c r="D2925"/>
      <c r="E2925">
        <v>484</v>
      </c>
      <c r="F2925">
        <v>49.5</v>
      </c>
      <c r="G2925"/>
      <c r="H2925">
        <v>100</v>
      </c>
      <c r="I2925"/>
      <c r="J2925"/>
      <c r="K2925" t="inlineStr">
        <is>
          <t>素材</t>
        </is>
      </c>
      <c r="L2925"/>
      <c r="M2925" t="inlineStr">
        <is>
          <t>辣子星文化用品的店</t>
        </is>
      </c>
      <c r="N2925">
        <v>22000</v>
      </c>
      <c r="O2925">
        <v>4.65</v>
      </c>
      <c r="P2925">
        <v>32000</v>
      </c>
      <c r="Q2925" t="inlineStr">
        <is>
          <t>696b466919260d00011e41eb</t>
        </is>
      </c>
      <c r="R2925"/>
      <c r="S2925" t="inlineStr">
        <is>
          <t>设计素材</t>
        </is>
      </c>
      <c r="T2925" t="inlineStr">
        <is>
          <t>0.02</t>
        </is>
      </c>
      <c r="U2925" s="3">
        <v>46125.54001157408</v>
      </c>
      <c r="V2925"/>
      <c r="W2925" s="3">
        <v>46125</v>
      </c>
      <c r="X2925" t="inlineStr">
        <is>
          <t>04</t>
        </is>
      </c>
      <c r="Y2925" t="inlineStr">
        <is>
          <t>2026-Q2</t>
        </is>
      </c>
    </row>
    <row r="2926" ht="38.25" customHeight="1">
      <c r="A2926" t="inlineStr">
        <is>
          <t>HaruLand直播自选｜手帐素材分装开框自选</t>
        </is>
      </c>
      <c r="B2926" t="inlineStr">
        <is>
          <t>__upload_recvgDZ2wjF8rq.jpg</t>
        </is>
      </c>
      <c r="C2926" s="2" t="str">
        <f>=HYPERLINK("https://xhslink.com/m/9w8yq8WPIHt", "https://xhslink.com/m/9w8yq8WPIHt")</f>
        <v>https://xhslink.com/m/9w8yq8WPIHt</v>
      </c>
      <c r="D2926"/>
      <c r="E2926">
        <v>398</v>
      </c>
      <c r="F2926">
        <v>48.8</v>
      </c>
      <c r="G2926"/>
      <c r="H2926">
        <v>150</v>
      </c>
      <c r="I2926"/>
      <c r="J2926"/>
      <c r="K2926" t="inlineStr">
        <is>
          <t>素材</t>
        </is>
      </c>
      <c r="L2926"/>
      <c r="M2926" t="inlineStr">
        <is>
          <t>HaruLand手帐集合店的店</t>
        </is>
      </c>
      <c r="N2926">
        <v>9058</v>
      </c>
      <c r="O2926">
        <v>4.66</v>
      </c>
      <c r="P2926">
        <v>437</v>
      </c>
      <c r="Q2926" t="inlineStr">
        <is>
          <t>695e6f9b385a740001e43852</t>
        </is>
      </c>
      <c r="R2926"/>
      <c r="S2926" t="inlineStr">
        <is>
          <t>无匹配类别</t>
        </is>
      </c>
      <c r="T2926" t="inlineStr">
        <is>
          <t>0.04</t>
        </is>
      </c>
      <c r="U2926" s="3">
        <v>46125.54001157408</v>
      </c>
      <c r="V2926"/>
      <c r="W2926" s="3">
        <v>46125</v>
      </c>
      <c r="X2926" t="inlineStr">
        <is>
          <t>04</t>
        </is>
      </c>
      <c r="Y2926" t="inlineStr">
        <is>
          <t>2026-Q2</t>
        </is>
      </c>
    </row>
    <row r="2927" ht="38.25" customHeight="1">
      <c r="A2927" t="inlineStr">
        <is>
          <t>爱光遇弹琴，光遇联琴模板/15键辅助练琴工具模板/50000+首歌曲</t>
        </is>
      </c>
      <c r="B2927" t="inlineStr">
        <is>
          <t>__upload_recvgDZ2wjRxTJ.jpg</t>
        </is>
      </c>
      <c r="C2927" s="2" t="str">
        <f>=HYPERLINK("https://xhslink.com/m/8nLQ16ZXxMM", "https://xhslink.com/m/8nLQ16ZXxMM")</f>
        <v>https://xhslink.com/m/8nLQ16ZXxMM</v>
      </c>
      <c r="D2927"/>
      <c r="E2927">
        <v>14000</v>
      </c>
      <c r="F2927">
        <v>128</v>
      </c>
      <c r="G2927"/>
      <c r="H2927">
        <v>250</v>
      </c>
      <c r="I2927">
        <v>1000</v>
      </c>
      <c r="J2927"/>
      <c r="K2927" t="inlineStr">
        <is>
          <t>模板</t>
        </is>
      </c>
      <c r="L2927" t="inlineStr">
        <is>
          <t>🔥低粉爆款</t>
        </is>
      </c>
      <c r="M2927" t="inlineStr">
        <is>
          <t>爱光遇弹琴的店</t>
        </is>
      </c>
      <c r="N2927">
        <v>2560</v>
      </c>
      <c r="O2927">
        <v>4.13</v>
      </c>
      <c r="P2927">
        <v>14000</v>
      </c>
      <c r="Q2927" t="inlineStr">
        <is>
          <t>6752fa02bdb5900001adfe5a</t>
        </is>
      </c>
      <c r="R2927" t="inlineStr">
        <is>
          <t>🚫重复</t>
        </is>
      </c>
      <c r="S2927" t="inlineStr">
        <is>
          <t>无匹配类别</t>
        </is>
      </c>
      <c r="T2927" t="inlineStr">
        <is>
          <t>5.47</t>
        </is>
      </c>
      <c r="U2927" s="3">
        <v>46125.54001157408</v>
      </c>
      <c r="V2927"/>
      <c r="W2927" s="3">
        <v>46125</v>
      </c>
      <c r="X2927" t="inlineStr">
        <is>
          <t>04</t>
        </is>
      </c>
      <c r="Y2927" t="inlineStr">
        <is>
          <t>2026-Q2</t>
        </is>
      </c>
    </row>
    <row r="2928" ht="38.25" customHeight="1">
      <c r="A2928" t="inlineStr">
        <is>
          <t>雅思写作冲7分速成模板+高分语料库  （预售，后涨价为299）</t>
        </is>
      </c>
      <c r="B2928" t="inlineStr">
        <is>
          <t>__upload_recvgDZ2wjZRip.jpg</t>
        </is>
      </c>
      <c r="C2928" s="2" t="str">
        <f>=HYPERLINK("https://xhslink.com/m/2ugLnUMai0z", "https://xhslink.com/m/2ugLnUMai0z")</f>
        <v>https://xhslink.com/m/2ugLnUMai0z</v>
      </c>
      <c r="D2928"/>
      <c r="E2928">
        <v>5091</v>
      </c>
      <c r="F2928">
        <v>1799</v>
      </c>
      <c r="G2928"/>
      <c r="H2928">
        <v>400</v>
      </c>
      <c r="I2928"/>
      <c r="J2928"/>
      <c r="K2928" t="inlineStr">
        <is>
          <t>模板</t>
        </is>
      </c>
      <c r="L2928"/>
      <c r="M2928" t="inlineStr">
        <is>
          <t>Claire澳洲学姐（雅思口语9分）的店</t>
        </is>
      </c>
      <c r="N2928">
        <v>46000</v>
      </c>
      <c r="O2928">
        <v>4.61</v>
      </c>
      <c r="P2928">
        <v>24000</v>
      </c>
      <c r="Q2928" t="inlineStr">
        <is>
          <t>69ba79b2ff00dc000139de16</t>
        </is>
      </c>
      <c r="R2928" t="inlineStr">
        <is>
          <t>🚫重复</t>
        </is>
      </c>
      <c r="S2928" t="inlineStr">
        <is>
          <t>英语资料</t>
        </is>
      </c>
      <c r="T2928" t="inlineStr">
        <is>
          <t>0.11</t>
        </is>
      </c>
      <c r="U2928" s="3">
        <v>46125.54001157408</v>
      </c>
      <c r="V2928"/>
      <c r="W2928" s="3">
        <v>46125</v>
      </c>
      <c r="X2928" t="inlineStr">
        <is>
          <t>04</t>
        </is>
      </c>
      <c r="Y2928" t="inlineStr">
        <is>
          <t>2026-Q2</t>
        </is>
      </c>
    </row>
    <row r="2929" ht="38.25" customHeight="1">
      <c r="A2929" t="inlineStr">
        <is>
          <t>【汐汐牌】美梦随身听（模板源文件）（不是接稿！）</t>
        </is>
      </c>
      <c r="B2929" t="inlineStr">
        <is>
          <t>__upload_recvgDZ2wjZcMI.jpg</t>
        </is>
      </c>
      <c r="C2929" s="2" t="str">
        <f>=HYPERLINK("https://xhslink.com/m/9mp2rm61gb6", "https://xhslink.com/m/9mp2rm61gb6")</f>
        <v>https://xhslink.com/m/9mp2rm61gb6</v>
      </c>
      <c r="D2929"/>
      <c r="E2929">
        <v>3579</v>
      </c>
      <c r="F2929">
        <v>8</v>
      </c>
      <c r="G2929"/>
      <c r="H2929">
        <v>250</v>
      </c>
      <c r="I2929">
        <v>2000</v>
      </c>
      <c r="J2929"/>
      <c r="K2929" t="inlineStr">
        <is>
          <t>模板</t>
        </is>
      </c>
      <c r="L2929"/>
      <c r="M2929" t="inlineStr">
        <is>
          <t>汐汐子不接稿只卖模板的店</t>
        </is>
      </c>
      <c r="N2929">
        <v>8919</v>
      </c>
      <c r="O2929">
        <v>4.53</v>
      </c>
      <c r="P2929">
        <v>16000</v>
      </c>
      <c r="Q2929" t="inlineStr">
        <is>
          <t>69568c2e4e15d60001ec2156</t>
        </is>
      </c>
      <c r="R2929" t="inlineStr">
        <is>
          <t>🚫重复</t>
        </is>
      </c>
      <c r="S2929" t="inlineStr">
        <is>
          <t>设计素材</t>
        </is>
      </c>
      <c r="T2929" t="inlineStr">
        <is>
          <t>0.40</t>
        </is>
      </c>
      <c r="U2929" s="3">
        <v>46125.54001157408</v>
      </c>
      <c r="V2929"/>
      <c r="W2929" s="3">
        <v>46125</v>
      </c>
      <c r="X2929" t="inlineStr">
        <is>
          <t>04</t>
        </is>
      </c>
      <c r="Y2929" t="inlineStr">
        <is>
          <t>2026-Q2</t>
        </is>
      </c>
    </row>
    <row r="2930" ht="38.25" customHeight="1">
      <c r="A2930" t="inlineStr">
        <is>
          <t>秒发货_非遗民族文化PPT模板可编辑 默认百度网盘 FY001-FY100</t>
        </is>
      </c>
      <c r="B2930" t="inlineStr">
        <is>
          <t>__upload_recvgDZ2wjFX5e.jpg</t>
        </is>
      </c>
      <c r="C2930" s="2" t="str">
        <f>=HYPERLINK("https://xhslink.com/m/1DTSvbH25Uo", "https://xhslink.com/m/1DTSvbH25Uo")</f>
        <v>https://xhslink.com/m/1DTSvbH25Uo</v>
      </c>
      <c r="D2930"/>
      <c r="E2930">
        <v>1940</v>
      </c>
      <c r="F2930">
        <v>49</v>
      </c>
      <c r="G2930"/>
      <c r="H2930">
        <v>150</v>
      </c>
      <c r="I2930"/>
      <c r="J2930"/>
      <c r="K2930" t="inlineStr">
        <is>
          <t>模板</t>
        </is>
      </c>
      <c r="L2930"/>
      <c r="M2930" t="inlineStr">
        <is>
          <t>时光旅行PPT的店</t>
        </is>
      </c>
      <c r="N2930">
        <v>1135</v>
      </c>
      <c r="O2930">
        <v>4.26</v>
      </c>
      <c r="P2930">
        <v>9739</v>
      </c>
      <c r="Q2930" t="inlineStr">
        <is>
          <t>694cf6ef6fadb700011954b9</t>
        </is>
      </c>
      <c r="R2930"/>
      <c r="S2930" t="inlineStr">
        <is>
          <t>PPT模板</t>
        </is>
      </c>
      <c r="T2930" t="inlineStr">
        <is>
          <t>1.71</t>
        </is>
      </c>
      <c r="U2930" s="3">
        <v>46125.54001157408</v>
      </c>
      <c r="V2930"/>
      <c r="W2930" s="3">
        <v>46125</v>
      </c>
      <c r="X2930" t="inlineStr">
        <is>
          <t>04</t>
        </is>
      </c>
      <c r="Y2930" t="inlineStr">
        <is>
          <t>2026-Q2</t>
        </is>
      </c>
    </row>
    <row r="2931" ht="38.25" customHeight="1">
      <c r="A2931" t="inlineStr">
        <is>
          <t>黑白波点无属美工set l 饭圈美工 美工素材 无属性边框 模板分享</t>
        </is>
      </c>
      <c r="B2931" t="inlineStr">
        <is>
          <t>__upload_recvgDZ2wjyKG3.jpg</t>
        </is>
      </c>
      <c r="C2931" s="2" t="str">
        <f>=HYPERLINK("https://xhslink.com/m/cHDnUvhcvn", "https://xhslink.com/m/cHDnUvhcvn")</f>
        <v>https://xhslink.com/m/cHDnUvhcvn</v>
      </c>
      <c r="D2931"/>
      <c r="E2931">
        <v>1922</v>
      </c>
      <c r="F2931">
        <v>520</v>
      </c>
      <c r="G2931"/>
      <c r="H2931">
        <v>200</v>
      </c>
      <c r="I2931"/>
      <c r="J2931"/>
      <c r="K2931" t="inlineStr">
        <is>
          <t>模板</t>
        </is>
      </c>
      <c r="L2931"/>
      <c r="M2931" t="inlineStr">
        <is>
          <t>恋馒小厨的店</t>
        </is>
      </c>
      <c r="N2931">
        <v>8792</v>
      </c>
      <c r="O2931">
        <v>4.57</v>
      </c>
      <c r="P2931">
        <v>19000</v>
      </c>
      <c r="Q2931" t="inlineStr">
        <is>
          <t>693bbaab266b950001335132</t>
        </is>
      </c>
      <c r="R2931" t="inlineStr">
        <is>
          <t>🚫重复</t>
        </is>
      </c>
      <c r="S2931" t="inlineStr">
        <is>
          <t>设计素材</t>
        </is>
      </c>
      <c r="T2931" t="inlineStr">
        <is>
          <t>0.22</t>
        </is>
      </c>
      <c r="U2931" s="3">
        <v>46125.54001157408</v>
      </c>
      <c r="V2931"/>
      <c r="W2931" s="3">
        <v>46125</v>
      </c>
      <c r="X2931" t="inlineStr">
        <is>
          <t>04</t>
        </is>
      </c>
      <c r="Y2931" t="inlineStr">
        <is>
          <t>2026-Q2</t>
        </is>
      </c>
    </row>
    <row r="2932" ht="38.25" customHeight="1">
      <c r="A2932" t="inlineStr">
        <is>
          <t>（模板出售）变身蚊子·内含五只模板·旺财牌</t>
        </is>
      </c>
      <c r="B2932" t="inlineStr">
        <is>
          <t>__upload_recvgDZ2wjejjy.jpg</t>
        </is>
      </c>
      <c r="C2932" s="2" t="str">
        <f>=HYPERLINK("https://xhslink.com/m/4TmUjoFLrEh", "https://xhslink.com/m/4TmUjoFLrEh")</f>
        <v>https://xhslink.com/m/4TmUjoFLrEh</v>
      </c>
      <c r="D2932"/>
      <c r="E2932">
        <v>1647</v>
      </c>
      <c r="F2932">
        <v>2.4</v>
      </c>
      <c r="G2932"/>
      <c r="H2932">
        <v>100</v>
      </c>
      <c r="I2932"/>
      <c r="J2932"/>
      <c r="K2932" t="inlineStr">
        <is>
          <t>模板</t>
        </is>
      </c>
      <c r="L2932"/>
      <c r="M2932" t="inlineStr">
        <is>
          <t>旺财财团CEO【有任何问题请找群管理员】的店</t>
        </is>
      </c>
      <c r="N2932">
        <v>7538</v>
      </c>
      <c r="O2932">
        <v>4.37</v>
      </c>
      <c r="P2932">
        <v>12000</v>
      </c>
      <c r="Q2932" t="inlineStr">
        <is>
          <t>690dff005c4f1900010fc312</t>
        </is>
      </c>
      <c r="R2932" t="inlineStr">
        <is>
          <t>🚫重复</t>
        </is>
      </c>
      <c r="S2932" t="inlineStr">
        <is>
          <t>设计素材</t>
        </is>
      </c>
      <c r="T2932" t="inlineStr">
        <is>
          <t>0.22</t>
        </is>
      </c>
      <c r="U2932" s="3">
        <v>46125.54001157408</v>
      </c>
      <c r="V2932"/>
      <c r="W2932" s="3">
        <v>46125</v>
      </c>
      <c r="X2932" t="inlineStr">
        <is>
          <t>04</t>
        </is>
      </c>
      <c r="Y2932" t="inlineStr">
        <is>
          <t>2026-Q2</t>
        </is>
      </c>
    </row>
    <row r="2933" ht="38.25" customHeight="1">
      <c r="A2933" t="inlineStr">
        <is>
          <t>原创1-4月最新雅思口语945词万能模板+邪修作文万能模板全家桶</t>
        </is>
      </c>
      <c r="B2933" t="inlineStr">
        <is>
          <t>__upload_recvgDZ2wjbak8.jpg</t>
        </is>
      </c>
      <c r="C2933" s="2" t="str">
        <f>=HYPERLINK("https://xhslink.com/m/6hL0edg9WOj", "https://xhslink.com/m/6hL0edg9WOj")</f>
        <v>https://xhslink.com/m/6hL0edg9WOj</v>
      </c>
      <c r="D2933"/>
      <c r="E2933">
        <v>1600</v>
      </c>
      <c r="F2933">
        <v>89.9</v>
      </c>
      <c r="G2933"/>
      <c r="H2933">
        <v>150</v>
      </c>
      <c r="I2933"/>
      <c r="J2933"/>
      <c r="K2933" t="inlineStr">
        <is>
          <t>模板</t>
        </is>
      </c>
      <c r="L2933"/>
      <c r="M2933" t="inlineStr">
        <is>
          <t>魔仙堡在逃卷王的店</t>
        </is>
      </c>
      <c r="N2933">
        <v>1061</v>
      </c>
      <c r="O2933">
        <v>4.17</v>
      </c>
      <c r="P2933">
        <v>1681</v>
      </c>
      <c r="Q2933" t="inlineStr">
        <is>
          <t>67f25282b2c30c00019c4d40</t>
        </is>
      </c>
      <c r="R2933" t="inlineStr">
        <is>
          <t>🚫重复</t>
        </is>
      </c>
      <c r="S2933" t="inlineStr">
        <is>
          <t>英语资料</t>
        </is>
      </c>
      <c r="T2933" t="inlineStr">
        <is>
          <t>1.51</t>
        </is>
      </c>
      <c r="U2933" s="3">
        <v>46125.54001157408</v>
      </c>
      <c r="V2933"/>
      <c r="W2933" s="3">
        <v>46125</v>
      </c>
      <c r="X2933" t="inlineStr">
        <is>
          <t>04</t>
        </is>
      </c>
      <c r="Y2933" t="inlineStr">
        <is>
          <t>2026-Q2</t>
        </is>
      </c>
    </row>
    <row r="2934" ht="38.25" customHeight="1">
      <c r="A2934" t="inlineStr">
        <is>
          <t>模板出商)情人节双人互动模板贴贴oc双人模板情侣-烂南牌模板</t>
        </is>
      </c>
      <c r="B2934" t="inlineStr">
        <is>
          <t>__upload_recvgDZ2wjqRX3.jpg</t>
        </is>
      </c>
      <c r="C2934" s="2" t="str">
        <f>=HYPERLINK("https://xhslink.com/m/6NIVCnVskvx", "https://xhslink.com/m/6NIVCnVskvx")</f>
        <v>https://xhslink.com/m/6NIVCnVskvx</v>
      </c>
      <c r="D2934"/>
      <c r="E2934">
        <v>1602</v>
      </c>
      <c r="F2934">
        <v>2.97</v>
      </c>
      <c r="G2934"/>
      <c r="H2934">
        <v>900</v>
      </c>
      <c r="I2934"/>
      <c r="J2934"/>
      <c r="K2934" t="inlineStr">
        <is>
          <t>模板</t>
        </is>
      </c>
      <c r="L2934"/>
      <c r="M2934" t="inlineStr">
        <is>
          <t>阿南o的店</t>
        </is>
      </c>
      <c r="N2934">
        <v>7257</v>
      </c>
      <c r="O2934">
        <v>4.54</v>
      </c>
      <c r="P2934">
        <v>11000</v>
      </c>
      <c r="Q2934" t="inlineStr">
        <is>
          <t>699014025f567d00011f0277</t>
        </is>
      </c>
      <c r="R2934"/>
      <c r="S2934" t="inlineStr">
        <is>
          <t>设计素材</t>
        </is>
      </c>
      <c r="T2934" t="inlineStr">
        <is>
          <t>0.22</t>
        </is>
      </c>
      <c r="U2934" s="3">
        <v>46125.54001157408</v>
      </c>
      <c r="V2934"/>
      <c r="W2934" s="3">
        <v>46125</v>
      </c>
      <c r="X2934" t="inlineStr">
        <is>
          <t>04</t>
        </is>
      </c>
      <c r="Y2934" t="inlineStr">
        <is>
          <t>2026-Q2</t>
        </is>
      </c>
    </row>
    <row r="2935" ht="38.25" customHeight="1">
      <c r="A2935" t="inlineStr">
        <is>
          <t>枯枯仙作品集模板汇总（一个规格对应一份模板）</t>
        </is>
      </c>
      <c r="B2935" t="inlineStr">
        <is>
          <t>__upload_recvgDZ2wjcMBf.jpg</t>
        </is>
      </c>
      <c r="C2935" s="2" t="str">
        <f>=HYPERLINK("https://xhslink.com/m/78UFlduVugL", "https://xhslink.com/m/78UFlduVugL")</f>
        <v>https://xhslink.com/m/78UFlduVugL</v>
      </c>
      <c r="D2935"/>
      <c r="E2935">
        <v>1263</v>
      </c>
      <c r="F2935">
        <v>199.99</v>
      </c>
      <c r="G2935"/>
      <c r="H2935">
        <v>150</v>
      </c>
      <c r="I2935"/>
      <c r="J2935"/>
      <c r="K2935" t="inlineStr">
        <is>
          <t>模板</t>
        </is>
      </c>
      <c r="L2935"/>
      <c r="M2935" t="inlineStr">
        <is>
          <t>枯枯仙的店</t>
        </is>
      </c>
      <c r="N2935">
        <v>17000</v>
      </c>
      <c r="O2935">
        <v>4.09</v>
      </c>
      <c r="P2935">
        <v>6423</v>
      </c>
      <c r="Q2935" t="inlineStr">
        <is>
          <t>6667d16ccd6d140001593041</t>
        </is>
      </c>
      <c r="R2935" t="inlineStr">
        <is>
          <t>🚫重复</t>
        </is>
      </c>
      <c r="S2935" t="inlineStr">
        <is>
          <t>设计素材</t>
        </is>
      </c>
      <c r="T2935" t="inlineStr">
        <is>
          <t>0.07</t>
        </is>
      </c>
      <c r="U2935" s="3">
        <v>46125.54001157408</v>
      </c>
      <c r="V2935"/>
      <c r="W2935" s="3">
        <v>46125</v>
      </c>
      <c r="X2935" t="inlineStr">
        <is>
          <t>04</t>
        </is>
      </c>
      <c r="Y2935" t="inlineStr">
        <is>
          <t>2026-Q2</t>
        </is>
      </c>
    </row>
    <row r="2936" ht="38.25" customHeight="1">
      <c r="A2936" t="inlineStr">
        <is>
          <t>ABCD 全套配图 共计99张PPT底版 多配色 可编辑 技术路线图 原创</t>
        </is>
      </c>
      <c r="B2936" t="inlineStr">
        <is>
          <t>__upload_recvgDZ2wj0co8.jpg</t>
        </is>
      </c>
      <c r="C2936" s="2" t="str">
        <f>=HYPERLINK("https://xhslink.com/m/2C8sd3CkqEV", "https://xhslink.com/m/2C8sd3CkqEV")</f>
        <v>https://xhslink.com/m/2C8sd3CkqEV</v>
      </c>
      <c r="D2936"/>
      <c r="E2936">
        <v>1185</v>
      </c>
      <c r="F2936">
        <v>59.99</v>
      </c>
      <c r="G2936"/>
      <c r="H2936">
        <v>150</v>
      </c>
      <c r="I2936"/>
      <c r="J2936"/>
      <c r="K2936" t="inlineStr">
        <is>
          <t>模板</t>
        </is>
      </c>
      <c r="L2936"/>
      <c r="M2936" t="inlineStr">
        <is>
          <t>优白图文的店</t>
        </is>
      </c>
      <c r="N2936">
        <v>1623</v>
      </c>
      <c r="O2936">
        <v>4.2</v>
      </c>
      <c r="P2936">
        <v>4051</v>
      </c>
      <c r="Q2936" t="inlineStr">
        <is>
          <t>67d6ca21e15c9100013543a6</t>
        </is>
      </c>
      <c r="R2936" t="inlineStr">
        <is>
          <t>🚫重复</t>
        </is>
      </c>
      <c r="S2936" t="inlineStr">
        <is>
          <t>PPT模板</t>
        </is>
      </c>
      <c r="T2936" t="inlineStr">
        <is>
          <t>0.73</t>
        </is>
      </c>
      <c r="U2936" s="3">
        <v>46125.54001157408</v>
      </c>
      <c r="V2936"/>
      <c r="W2936" s="3">
        <v>46125</v>
      </c>
      <c r="X2936" t="inlineStr">
        <is>
          <t>04</t>
        </is>
      </c>
      <c r="Y2936" t="inlineStr">
        <is>
          <t>2026-Q2</t>
        </is>
      </c>
    </row>
    <row r="2937" ht="38.25" customHeight="1">
      <c r="A2937" t="inlineStr">
        <is>
          <t>结构化面试万能话术 素材 模版时政热点题目电子版最新App押题库</t>
        </is>
      </c>
      <c r="B2937" t="inlineStr">
        <is>
          <t>__upload_recvgDZ2wjOQx7.jpg</t>
        </is>
      </c>
      <c r="C2937" s="2" t="str">
        <f>=HYPERLINK("https://xhslink.com/m/5q3FOEifcPX", "https://xhslink.com/m/5q3FOEifcPX")</f>
        <v>https://xhslink.com/m/5q3FOEifcPX</v>
      </c>
      <c r="D2937"/>
      <c r="E2937">
        <v>740</v>
      </c>
      <c r="F2937">
        <v>129</v>
      </c>
      <c r="G2937"/>
      <c r="H2937">
        <v>100</v>
      </c>
      <c r="I2937"/>
      <c r="J2937"/>
      <c r="K2937" t="inlineStr">
        <is>
          <t>模板</t>
        </is>
      </c>
      <c r="L2937"/>
      <c r="M2937" t="inlineStr">
        <is>
          <t>大萝卜卜卜的店</t>
        </is>
      </c>
      <c r="N2937">
        <v>1111</v>
      </c>
      <c r="O2937">
        <v>4.5</v>
      </c>
      <c r="P2937">
        <v>12000</v>
      </c>
      <c r="Q2937" t="inlineStr">
        <is>
          <t>6937a5ff83efdb0001f8da19</t>
        </is>
      </c>
      <c r="R2937" t="inlineStr">
        <is>
          <t>🚫重复</t>
        </is>
      </c>
      <c r="S2937" t="inlineStr">
        <is>
          <t>求职面试/职场</t>
        </is>
      </c>
      <c r="T2937" t="inlineStr">
        <is>
          <t>0.67</t>
        </is>
      </c>
      <c r="U2937" s="3">
        <v>46125.54001157408</v>
      </c>
      <c r="V2937"/>
      <c r="W2937" s="3">
        <v>46125</v>
      </c>
      <c r="X2937" t="inlineStr">
        <is>
          <t>04</t>
        </is>
      </c>
      <c r="Y2937" t="inlineStr">
        <is>
          <t>2026-Q2</t>
        </is>
      </c>
    </row>
    <row r="2938" ht="38.25" customHeight="1">
      <c r="A2938" t="inlineStr">
        <is>
          <t>头像约稿模板大头白菜价人设定制动漫卡通同人q版日系手绘可爱风</t>
        </is>
      </c>
      <c r="B2938" t="inlineStr">
        <is>
          <t>__upload_recvgDZ2wj9GxO.jpg</t>
        </is>
      </c>
      <c r="C2938" s="2" t="str">
        <f>=HYPERLINK("https://xhslink.com/m/5Oh2176DTqQ", "https://xhslink.com/m/5Oh2176DTqQ")</f>
        <v>https://xhslink.com/m/5Oh2176DTqQ</v>
      </c>
      <c r="D2938"/>
      <c r="E2938">
        <v>715</v>
      </c>
      <c r="F2938">
        <v>72.8</v>
      </c>
      <c r="G2938"/>
      <c r="H2938">
        <v>350</v>
      </c>
      <c r="I2938"/>
      <c r="J2938"/>
      <c r="K2938" t="inlineStr">
        <is>
          <t>模板</t>
        </is>
      </c>
      <c r="L2938"/>
      <c r="M2938" t="inlineStr">
        <is>
          <t>致力于王者点赞的店</t>
        </is>
      </c>
      <c r="N2938">
        <v>489</v>
      </c>
      <c r="O2938">
        <v>4.1</v>
      </c>
      <c r="P2938">
        <v>2534</v>
      </c>
      <c r="Q2938" t="inlineStr">
        <is>
          <t>693a2f514d53380001f45dfc</t>
        </is>
      </c>
      <c r="R2938"/>
      <c r="S2938" t="inlineStr">
        <is>
          <t>头像壁纸</t>
        </is>
      </c>
      <c r="T2938" t="inlineStr">
        <is>
          <t>1.46</t>
        </is>
      </c>
      <c r="U2938" s="3">
        <v>46125.54001157408</v>
      </c>
      <c r="V2938"/>
      <c r="W2938" s="3">
        <v>46125</v>
      </c>
      <c r="X2938" t="inlineStr">
        <is>
          <t>04</t>
        </is>
      </c>
      <c r="Y2938" t="inlineStr">
        <is>
          <t>2026-Q2</t>
        </is>
      </c>
    </row>
    <row r="2939" ht="38.25" customHeight="1">
      <c r="A2939" t="inlineStr">
        <is>
          <t>九分学长 · 雅思写作7分速达（模板+带练），有效期90天</t>
        </is>
      </c>
      <c r="B2939" t="inlineStr">
        <is>
          <t>__upload_recvgDZ2wj4Y2k.jpg</t>
        </is>
      </c>
      <c r="C2939" s="2" t="str">
        <f>=HYPERLINK("https://xhslink.com/m/APO4tBGbYGf", "https://xhslink.com/m/APO4tBGbYGf")</f>
        <v>https://xhslink.com/m/APO4tBGbYGf</v>
      </c>
      <c r="D2939"/>
      <c r="E2939">
        <v>682</v>
      </c>
      <c r="F2939">
        <v>399</v>
      </c>
      <c r="G2939"/>
      <c r="H2939">
        <v>100</v>
      </c>
      <c r="I2939"/>
      <c r="J2939"/>
      <c r="K2939" t="inlineStr">
        <is>
          <t>模板</t>
        </is>
      </c>
      <c r="L2939"/>
      <c r="M2939" t="inlineStr">
        <is>
          <t>九分学长的店</t>
        </is>
      </c>
      <c r="N2939">
        <v>13000</v>
      </c>
      <c r="O2939">
        <v>4.45</v>
      </c>
      <c r="P2939">
        <v>2165</v>
      </c>
      <c r="Q2939" t="inlineStr">
        <is>
          <t>662dcbe4c6bc7e00016c1494</t>
        </is>
      </c>
      <c r="R2939"/>
      <c r="S2939" t="inlineStr">
        <is>
          <t>英语资料</t>
        </is>
      </c>
      <c r="T2939" t="inlineStr">
        <is>
          <t>0.05</t>
        </is>
      </c>
      <c r="U2939" s="3">
        <v>46125.54001157408</v>
      </c>
      <c r="V2939"/>
      <c r="W2939" s="3">
        <v>46125</v>
      </c>
      <c r="X2939" t="inlineStr">
        <is>
          <t>04</t>
        </is>
      </c>
      <c r="Y2939" t="inlineStr">
        <is>
          <t>2026-Q2</t>
        </is>
      </c>
    </row>
    <row r="2940" ht="38.25" customHeight="1">
      <c r="A2940" t="inlineStr">
        <is>
          <t>（模板出商使）古风眼睛条·如絮·旺财牌</t>
        </is>
      </c>
      <c r="B2940" t="inlineStr">
        <is>
          <t>__upload_recvgDZ2wjxopx.jpg</t>
        </is>
      </c>
      <c r="C2940" s="2" t="str">
        <f>=HYPERLINK("https://xhslink.com/m/5PeRpFF2eyh", "https://xhslink.com/m/5PeRpFF2eyh")</f>
        <v>https://xhslink.com/m/5PeRpFF2eyh</v>
      </c>
      <c r="D2940"/>
      <c r="E2940">
        <v>594</v>
      </c>
      <c r="F2940">
        <v>6</v>
      </c>
      <c r="G2940"/>
      <c r="H2940">
        <v>100</v>
      </c>
      <c r="I2940"/>
      <c r="J2940"/>
      <c r="K2940" t="inlineStr">
        <is>
          <t>模板</t>
        </is>
      </c>
      <c r="L2940"/>
      <c r="M2940" t="inlineStr">
        <is>
          <t>旺财财团CEO【有任何问题请找群管理员】的店</t>
        </is>
      </c>
      <c r="N2940">
        <v>7538</v>
      </c>
      <c r="O2940">
        <v>4.37</v>
      </c>
      <c r="P2940">
        <v>12000</v>
      </c>
      <c r="Q2940" t="inlineStr">
        <is>
          <t>68e462e0c753610001aa7ff6</t>
        </is>
      </c>
      <c r="R2940" t="inlineStr">
        <is>
          <t>🚫重复</t>
        </is>
      </c>
      <c r="S2940" t="inlineStr">
        <is>
          <t>设计素材</t>
        </is>
      </c>
      <c r="T2940" t="inlineStr">
        <is>
          <t>0.08</t>
        </is>
      </c>
      <c r="U2940" s="3">
        <v>46125.54001157408</v>
      </c>
      <c r="V2940"/>
      <c r="W2940" s="3">
        <v>46125</v>
      </c>
      <c r="X2940" t="inlineStr">
        <is>
          <t>04</t>
        </is>
      </c>
      <c r="Y2940" t="inlineStr">
        <is>
          <t>2026-Q2</t>
        </is>
      </c>
    </row>
    <row r="2941" ht="38.25" customHeight="1">
      <c r="A2941" t="inlineStr">
        <is>
          <t>悦读京华 · 【易慧】少年学AI看这本就够了 不容错过深入浅出</t>
        </is>
      </c>
      <c r="B2941" t="inlineStr">
        <is>
          <t>__upload_recvgDZ2wj0Cb4.jpg</t>
        </is>
      </c>
      <c r="C2941" s="2" t="str">
        <f>=HYPERLINK("https://xhslink.com/m/AnT1q5GTNlz", "https://xhslink.com/m/AnT1q5GTNlz")</f>
        <v>https://xhslink.com/m/AnT1q5GTNlz</v>
      </c>
      <c r="D2941"/>
      <c r="E2941">
        <v>3362</v>
      </c>
      <c r="F2941">
        <v>1099</v>
      </c>
      <c r="G2941"/>
      <c r="H2941">
        <v>150</v>
      </c>
      <c r="I2941"/>
      <c r="J2941"/>
      <c r="K2941" t="inlineStr">
        <is>
          <t>AI</t>
        </is>
      </c>
      <c r="L2941" t="inlineStr">
        <is>
          <t>🔥低粉爆款</t>
        </is>
      </c>
      <c r="M2941" t="inlineStr">
        <is>
          <t>悦读京华图书旗舰店</t>
        </is>
      </c>
      <c r="N2941">
        <v>149</v>
      </c>
      <c r="O2941">
        <v>4.5</v>
      </c>
      <c r="P2941">
        <v>11000</v>
      </c>
      <c r="Q2941" t="inlineStr">
        <is>
          <t>6859f38e48753b0001ce8b16</t>
        </is>
      </c>
      <c r="R2941" t="inlineStr">
        <is>
          <t>🚫重复</t>
        </is>
      </c>
      <c r="S2941" t="inlineStr">
        <is>
          <t>AI</t>
        </is>
      </c>
      <c r="T2941" t="inlineStr">
        <is>
          <t>22.56</t>
        </is>
      </c>
      <c r="U2941" s="3">
        <v>46125.54001157408</v>
      </c>
      <c r="V2941"/>
      <c r="W2941" s="3">
        <v>46125</v>
      </c>
      <c r="X2941" t="inlineStr">
        <is>
          <t>04</t>
        </is>
      </c>
      <c r="Y2941" t="inlineStr">
        <is>
          <t>2026-Q2</t>
        </is>
      </c>
    </row>
    <row r="2942" ht="38.25" customHeight="1">
      <c r="A2942" t="inlineStr">
        <is>
          <t>Gal 图片AI编程工具5.0丨自动发货</t>
        </is>
      </c>
      <c r="B2942" t="inlineStr">
        <is>
          <t>__upload_recvgDZ2wjnEET.jpg</t>
        </is>
      </c>
      <c r="C2942" s="2" t="str">
        <f>=HYPERLINK("https://xhslink.com/m/4GaupbifaiM", "https://xhslink.com/m/4GaupbifaiM")</f>
        <v>https://xhslink.com/m/4GaupbifaiM</v>
      </c>
      <c r="D2942"/>
      <c r="E2942">
        <v>789</v>
      </c>
      <c r="F2942">
        <v>15</v>
      </c>
      <c r="G2942"/>
      <c r="H2942">
        <v>500</v>
      </c>
      <c r="I2942"/>
      <c r="J2942"/>
      <c r="K2942" t="inlineStr">
        <is>
          <t>AI</t>
        </is>
      </c>
      <c r="L2942"/>
      <c r="M2942" t="inlineStr">
        <is>
          <t>和光星野的世界的店</t>
        </is>
      </c>
      <c r="N2942">
        <v>322</v>
      </c>
      <c r="O2942">
        <v>4.1</v>
      </c>
      <c r="P2942">
        <v>1670</v>
      </c>
      <c r="Q2942" t="inlineStr">
        <is>
          <t>69ae8ac714149e0001c6cb80</t>
        </is>
      </c>
      <c r="R2942"/>
      <c r="S2942" t="inlineStr">
        <is>
          <t>AI</t>
        </is>
      </c>
      <c r="T2942" t="inlineStr">
        <is>
          <t>2.45</t>
        </is>
      </c>
      <c r="U2942" s="3">
        <v>46125.54001157408</v>
      </c>
      <c r="V2942"/>
      <c r="W2942" s="3">
        <v>46125</v>
      </c>
      <c r="X2942" t="inlineStr">
        <is>
          <t>04</t>
        </is>
      </c>
      <c r="Y2942" t="inlineStr">
        <is>
          <t>2026-Q2</t>
        </is>
      </c>
    </row>
    <row r="2943" ht="38.25" customHeight="1">
      <c r="A2943" t="inlineStr">
        <is>
          <t>DOU DOU SHU WU · 2026新版小豆同学秒记政史地物化生语数英高中答题模板知识点复习</t>
        </is>
      </c>
      <c r="B2943" t="inlineStr">
        <is>
          <t>__upload_recvgMpCq65B1n.jpg</t>
        </is>
      </c>
      <c r="C2943" s="2" t="str">
        <f>=HYPERLINK("https://xhslink.com/m/7TuIq1ZcJqt", "https://xhslink.com/m/7TuIq1ZcJqt")</f>
        <v>https://xhslink.com/m/7TuIq1ZcJqt</v>
      </c>
      <c r="D2943"/>
      <c r="E2943">
        <v>7976</v>
      </c>
      <c r="F2943">
        <v>159.8</v>
      </c>
      <c r="G2943"/>
      <c r="H2943">
        <v>900</v>
      </c>
      <c r="I2943"/>
      <c r="J2943">
        <v>100</v>
      </c>
      <c r="K2943" t="inlineStr">
        <is>
          <t>小学资料</t>
        </is>
      </c>
      <c r="L2943"/>
      <c r="M2943" t="inlineStr">
        <is>
          <t>豆豆书屋图书旗舰店</t>
        </is>
      </c>
      <c r="N2943">
        <v>6060</v>
      </c>
      <c r="O2943">
        <v>4.72</v>
      </c>
      <c r="P2943">
        <v>18000</v>
      </c>
      <c r="Q2943" t="inlineStr">
        <is>
          <t>69211134dbfbf50001e669b4</t>
        </is>
      </c>
      <c r="R2943" t="inlineStr">
        <is>
          <t>🚫重复</t>
        </is>
      </c>
      <c r="S2943" t="inlineStr">
        <is>
          <t>高中/高考资料</t>
        </is>
      </c>
      <c r="T2943" t="inlineStr">
        <is>
          <t>1.32</t>
        </is>
      </c>
      <c r="U2943" s="3">
        <v>46126.981527777774</v>
      </c>
      <c r="V2943"/>
      <c r="W2943" s="3">
        <v>46126</v>
      </c>
      <c r="X2943" t="inlineStr">
        <is>
          <t>04</t>
        </is>
      </c>
      <c r="Y2943" t="inlineStr">
        <is>
          <t>2026-Q2</t>
        </is>
      </c>
    </row>
    <row r="2944" ht="38.25" customHeight="1">
      <c r="A2944" t="inlineStr">
        <is>
          <t>人音版小学音乐教学设计含配套课件｜1-6年级｜新课标核心素养</t>
        </is>
      </c>
      <c r="B2944" t="inlineStr">
        <is>
          <t>__upload_recvgMpD4XoXFE.jpg</t>
        </is>
      </c>
      <c r="C2944" s="2" t="str">
        <f>=HYPERLINK("https://xhslink.com/m/3S5y4MG5EVg", "https://xhslink.com/m/3S5y4MG5EVg")</f>
        <v>https://xhslink.com/m/3S5y4MG5EVg</v>
      </c>
      <c r="D2944"/>
      <c r="E2944">
        <v>4978</v>
      </c>
      <c r="F2944">
        <v>156.8</v>
      </c>
      <c r="G2944"/>
      <c r="H2944">
        <v>450</v>
      </c>
      <c r="I2944"/>
      <c r="J2944"/>
      <c r="K2944" t="inlineStr">
        <is>
          <t>小学资料</t>
        </is>
      </c>
      <c r="L2944"/>
      <c r="M2944" t="inlineStr">
        <is>
          <t>星云-以诚相待的店</t>
        </is>
      </c>
      <c r="N2944">
        <v>14000</v>
      </c>
      <c r="O2944">
        <v>4.49</v>
      </c>
      <c r="P2944">
        <v>54000</v>
      </c>
      <c r="Q2944" t="inlineStr">
        <is>
          <t>660ac2dda9f6ca0001f505f0</t>
        </is>
      </c>
      <c r="R2944"/>
      <c r="S2944" t="inlineStr">
        <is>
          <t>中小学教辅/教材</t>
        </is>
      </c>
      <c r="T2944" t="inlineStr">
        <is>
          <t>0.36</t>
        </is>
      </c>
      <c r="U2944" s="3">
        <v>46126.9815625</v>
      </c>
      <c r="V2944"/>
      <c r="W2944" s="3">
        <v>46126</v>
      </c>
      <c r="X2944" t="inlineStr">
        <is>
          <t>04</t>
        </is>
      </c>
      <c r="Y2944" t="inlineStr">
        <is>
          <t>2026-Q2</t>
        </is>
      </c>
    </row>
    <row r="2945" ht="38.25" customHeight="1">
      <c r="A2945" t="inlineStr">
        <is>
          <t>小学语文课文必背闯关+晨读晚默表</t>
        </is>
      </c>
      <c r="B2945" t="inlineStr">
        <is>
          <t>__upload_recvgMpD4XUktK.jpg</t>
        </is>
      </c>
      <c r="C2945" s="2" t="str">
        <f>=HYPERLINK("https://xhslink.com/m/2gMj2OGsaDA", "https://xhslink.com/m/2gMj2OGsaDA")</f>
        <v>https://xhslink.com/m/2gMj2OGsaDA</v>
      </c>
      <c r="D2945"/>
      <c r="E2945">
        <v>4144</v>
      </c>
      <c r="F2945">
        <v>4.9</v>
      </c>
      <c r="G2945"/>
      <c r="H2945">
        <v>350</v>
      </c>
      <c r="I2945">
        <v>3000</v>
      </c>
      <c r="J2945"/>
      <c r="K2945" t="inlineStr">
        <is>
          <t>小学资料</t>
        </is>
      </c>
      <c r="L2945"/>
      <c r="M2945" t="inlineStr">
        <is>
          <t>月月老师呀的店</t>
        </is>
      </c>
      <c r="N2945">
        <v>3264</v>
      </c>
      <c r="O2945">
        <v>4.44</v>
      </c>
      <c r="P2945">
        <v>19000</v>
      </c>
      <c r="Q2945" t="inlineStr">
        <is>
          <t>69643c9fe25fce0001a00ad0</t>
        </is>
      </c>
      <c r="R2945" t="inlineStr">
        <is>
          <t>🚫重复</t>
        </is>
      </c>
      <c r="S2945" t="inlineStr">
        <is>
          <t>中小学教辅/教材</t>
        </is>
      </c>
      <c r="T2945" t="inlineStr">
        <is>
          <t>1.27</t>
        </is>
      </c>
      <c r="U2945" s="3">
        <v>46126.9815625</v>
      </c>
      <c r="V2945"/>
      <c r="W2945" s="3">
        <v>46126</v>
      </c>
      <c r="X2945" t="inlineStr">
        <is>
          <t>04</t>
        </is>
      </c>
      <c r="Y2945" t="inlineStr">
        <is>
          <t>2026-Q2</t>
        </is>
      </c>
    </row>
    <row r="2946" ht="38.25" customHeight="1">
      <c r="A2946" t="inlineStr">
        <is>
          <t>2026年最新小学语文面试、评职称情境任务群无生试讲稿和配套教案</t>
        </is>
      </c>
      <c r="B2946" t="inlineStr">
        <is>
          <t>__upload_recvgMpD4XxEK7.jpg</t>
        </is>
      </c>
      <c r="C2946" s="2" t="str">
        <f>=HYPERLINK("https://xhslink.com/m/9XZtU92R1dh", "https://xhslink.com/m/9XZtU92R1dh")</f>
        <v>https://xhslink.com/m/9XZtU92R1dh</v>
      </c>
      <c r="D2946"/>
      <c r="E2946">
        <v>3468</v>
      </c>
      <c r="F2946">
        <v>278</v>
      </c>
      <c r="G2946"/>
      <c r="H2946">
        <v>150</v>
      </c>
      <c r="I2946"/>
      <c r="J2946"/>
      <c r="K2946" t="inlineStr">
        <is>
          <t>小学资料</t>
        </is>
      </c>
      <c r="L2946"/>
      <c r="M2946" t="inlineStr">
        <is>
          <t>刘画画老师的店</t>
        </is>
      </c>
      <c r="N2946">
        <v>20000</v>
      </c>
      <c r="O2946">
        <v>4.59</v>
      </c>
      <c r="P2946">
        <v>38000</v>
      </c>
      <c r="Q2946" t="inlineStr">
        <is>
          <t>698704a3f0c48400018b0f25</t>
        </is>
      </c>
      <c r="R2946"/>
      <c r="S2946" t="inlineStr">
        <is>
          <t>中小学教辅/教材</t>
        </is>
      </c>
      <c r="T2946" t="inlineStr">
        <is>
          <t>0.17</t>
        </is>
      </c>
      <c r="U2946" s="3">
        <v>46126.9815625</v>
      </c>
      <c r="V2946"/>
      <c r="W2946" s="3">
        <v>46126</v>
      </c>
      <c r="X2946" t="inlineStr">
        <is>
          <t>04</t>
        </is>
      </c>
      <c r="Y2946" t="inlineStr">
        <is>
          <t>2026-Q2</t>
        </is>
      </c>
    </row>
    <row r="2947" ht="38.25" customHeight="1">
      <c r="A2947" t="inlineStr">
        <is>
          <t>数学核心考点-电子资料|面向家长及教师</t>
        </is>
      </c>
      <c r="B2947" t="inlineStr">
        <is>
          <t>__upload_recvgMpD4XA7Oh.jpg</t>
        </is>
      </c>
      <c r="C2947" s="2" t="str">
        <f>=HYPERLINK("https://xhslink.com/m/49oYmZq3NwJ", "https://xhslink.com/m/49oYmZq3NwJ")</f>
        <v>https://xhslink.com/m/49oYmZq3NwJ</v>
      </c>
      <c r="D2947"/>
      <c r="E2947">
        <v>2951</v>
      </c>
      <c r="F2947">
        <v>199</v>
      </c>
      <c r="G2947"/>
      <c r="H2947">
        <v>100</v>
      </c>
      <c r="I2947"/>
      <c r="J2947"/>
      <c r="K2947" t="inlineStr">
        <is>
          <t>小学资料</t>
        </is>
      </c>
      <c r="L2947"/>
      <c r="M2947" t="inlineStr">
        <is>
          <t>周老师一思维数学方法的店</t>
        </is>
      </c>
      <c r="N2947">
        <v>5800</v>
      </c>
      <c r="O2947">
        <v>4.44</v>
      </c>
      <c r="P2947">
        <v>3094</v>
      </c>
      <c r="Q2947" t="inlineStr">
        <is>
          <t>677b8418365be4000103c56d</t>
        </is>
      </c>
      <c r="R2947"/>
      <c r="S2947" t="inlineStr">
        <is>
          <t>中小学教辅/教材</t>
        </is>
      </c>
      <c r="T2947" t="inlineStr">
        <is>
          <t>0.51</t>
        </is>
      </c>
      <c r="U2947" s="3">
        <v>46126.9815625</v>
      </c>
      <c r="V2947"/>
      <c r="W2947" s="3">
        <v>46126</v>
      </c>
      <c r="X2947" t="inlineStr">
        <is>
          <t>04</t>
        </is>
      </c>
      <c r="Y2947" t="inlineStr">
        <is>
          <t>2026-Q2</t>
        </is>
      </c>
    </row>
    <row r="2948" ht="38.25" customHeight="1">
      <c r="A2948" t="inlineStr">
        <is>
          <t>意林 · 2026/25年少年版杂志订阅（全年24本）中小学课外阅读写作提升</t>
        </is>
      </c>
      <c r="B2948" t="inlineStr">
        <is>
          <t>__upload_recvgMpD4XZHq5.jpg</t>
        </is>
      </c>
      <c r="C2948" s="2" t="str">
        <f>=HYPERLINK("https://xhslink.com/m/AR69p6ibZNB", "https://xhslink.com/m/AR69p6ibZNB")</f>
        <v>https://xhslink.com/m/AR69p6ibZNB</v>
      </c>
      <c r="D2948"/>
      <c r="E2948">
        <v>2358</v>
      </c>
      <c r="F2948">
        <v>238</v>
      </c>
      <c r="G2948"/>
      <c r="H2948">
        <v>200</v>
      </c>
      <c r="I2948"/>
      <c r="J2948"/>
      <c r="K2948" t="inlineStr">
        <is>
          <t>小学资料</t>
        </is>
      </c>
      <c r="L2948"/>
      <c r="M2948" t="inlineStr">
        <is>
          <t>意林旗舰店</t>
        </is>
      </c>
      <c r="N2948">
        <v>225000</v>
      </c>
      <c r="O2948">
        <v>4.67</v>
      </c>
      <c r="P2948">
        <v>107000</v>
      </c>
      <c r="Q2948" t="inlineStr">
        <is>
          <t>684fd72c801a240001f37ed6</t>
        </is>
      </c>
      <c r="R2948" t="inlineStr">
        <is>
          <t>🚫重复</t>
        </is>
      </c>
      <c r="S2948" t="inlineStr">
        <is>
          <t>中小学教辅/教材</t>
        </is>
      </c>
      <c r="T2948" t="inlineStr">
        <is>
          <t>0.01</t>
        </is>
      </c>
      <c r="U2948" s="3">
        <v>46126.9815625</v>
      </c>
      <c r="V2948"/>
      <c r="W2948" s="3">
        <v>46126</v>
      </c>
      <c r="X2948" t="inlineStr">
        <is>
          <t>04</t>
        </is>
      </c>
      <c r="Y2948" t="inlineStr">
        <is>
          <t>2026-Q2</t>
        </is>
      </c>
    </row>
    <row r="2949" ht="38.25" customHeight="1">
      <c r="A2949" t="inlineStr">
        <is>
          <t>小学科学三四五六年级知识点|教科版上下册全</t>
        </is>
      </c>
      <c r="B2949" t="inlineStr">
        <is>
          <t>__upload_recvgMpD4XBe6h.jpg</t>
        </is>
      </c>
      <c r="C2949" s="2" t="str">
        <f>=HYPERLINK("https://xhslink.com/m/9TGWsKYW5tq", "https://xhslink.com/m/9TGWsKYW5tq")</f>
        <v>https://xhslink.com/m/9TGWsKYW5tq</v>
      </c>
      <c r="D2949"/>
      <c r="E2949">
        <v>1963</v>
      </c>
      <c r="F2949">
        <v>99</v>
      </c>
      <c r="G2949"/>
      <c r="H2949">
        <v>100</v>
      </c>
      <c r="I2949"/>
      <c r="J2949"/>
      <c r="K2949" t="inlineStr">
        <is>
          <t>小学资料</t>
        </is>
      </c>
      <c r="L2949"/>
      <c r="M2949" t="inlineStr">
        <is>
          <t>小学科学W老师的店</t>
        </is>
      </c>
      <c r="N2949">
        <v>5601</v>
      </c>
      <c r="O2949">
        <v>4.11</v>
      </c>
      <c r="P2949">
        <v>13000</v>
      </c>
      <c r="Q2949" t="inlineStr">
        <is>
          <t>67b353abc3cf0a0001bb70b1</t>
        </is>
      </c>
      <c r="R2949" t="inlineStr">
        <is>
          <t>🚫重复</t>
        </is>
      </c>
      <c r="S2949" t="inlineStr">
        <is>
          <t>中小学教辅/教材</t>
        </is>
      </c>
      <c r="T2949" t="inlineStr">
        <is>
          <t>0.35</t>
        </is>
      </c>
      <c r="U2949" s="3">
        <v>46126.9815625</v>
      </c>
      <c r="V2949"/>
      <c r="W2949" s="3">
        <v>46126</v>
      </c>
      <c r="X2949" t="inlineStr">
        <is>
          <t>04</t>
        </is>
      </c>
      <c r="Y2949" t="inlineStr">
        <is>
          <t>2026-Q2</t>
        </is>
      </c>
    </row>
    <row r="2950" ht="38.25" customHeight="1">
      <c r="A2950" t="inlineStr">
        <is>
          <t>21世纪英语报二十一世纪英文报学生英语报纸25-26年小学初中高中</t>
        </is>
      </c>
      <c r="B2950" t="inlineStr">
        <is>
          <t>__upload_recvgMpD4Xpd5E.jpg</t>
        </is>
      </c>
      <c r="C2950" s="2" t="str">
        <f>=HYPERLINK("https://xhslink.com/m/822buTIqJrW", "https://xhslink.com/m/822buTIqJrW")</f>
        <v>https://xhslink.com/m/822buTIqJrW</v>
      </c>
      <c r="D2950"/>
      <c r="E2950">
        <v>1536</v>
      </c>
      <c r="F2950">
        <v>220</v>
      </c>
      <c r="G2950"/>
      <c r="H2950">
        <v>100</v>
      </c>
      <c r="I2950"/>
      <c r="J2950"/>
      <c r="K2950" t="inlineStr">
        <is>
          <t>小学资料</t>
        </is>
      </c>
      <c r="L2950"/>
      <c r="M2950" t="inlineStr">
        <is>
          <t>牧狼人杂志旗舰店</t>
        </is>
      </c>
      <c r="N2950">
        <v>17000</v>
      </c>
      <c r="O2950">
        <v>4.74</v>
      </c>
      <c r="P2950">
        <v>41000</v>
      </c>
      <c r="Q2950" t="inlineStr">
        <is>
          <t>695dd658bb020d0001f0cf39</t>
        </is>
      </c>
      <c r="R2950" t="inlineStr">
        <is>
          <t>🚫重复</t>
        </is>
      </c>
      <c r="S2950" t="inlineStr">
        <is>
          <t>英语资料</t>
        </is>
      </c>
      <c r="T2950" t="inlineStr">
        <is>
          <t>0.09</t>
        </is>
      </c>
      <c r="U2950" s="3">
        <v>46126.9815625</v>
      </c>
      <c r="V2950"/>
      <c r="W2950" s="3">
        <v>46126</v>
      </c>
      <c r="X2950" t="inlineStr">
        <is>
          <t>04</t>
        </is>
      </c>
      <c r="Y2950" t="inlineStr">
        <is>
          <t>2026-Q2</t>
        </is>
      </c>
    </row>
    <row r="2951" ht="38.25" customHeight="1">
      <c r="A2951" t="inlineStr">
        <is>
          <t>五下第二单元【全】 |大单元 任务群</t>
        </is>
      </c>
      <c r="B2951" t="inlineStr">
        <is>
          <t>__upload_recvgMpD4XB653.jpg</t>
        </is>
      </c>
      <c r="C2951" s="2" t="str">
        <f>=HYPERLINK("https://xhslink.com/m/3wP6j6QSqbn", "https://xhslink.com/m/3wP6j6QSqbn")</f>
        <v>https://xhslink.com/m/3wP6j6QSqbn</v>
      </c>
      <c r="D2951"/>
      <c r="E2951">
        <v>1269</v>
      </c>
      <c r="F2951">
        <v>299</v>
      </c>
      <c r="G2951"/>
      <c r="H2951">
        <v>1000</v>
      </c>
      <c r="I2951"/>
      <c r="J2951"/>
      <c r="K2951" t="inlineStr">
        <is>
          <t>小学资料</t>
        </is>
      </c>
      <c r="L2951"/>
      <c r="M2951" t="inlineStr">
        <is>
          <t>教语文的小巧匠儿的店</t>
        </is>
      </c>
      <c r="N2951">
        <v>7755</v>
      </c>
      <c r="O2951">
        <v>4.58</v>
      </c>
      <c r="P2951">
        <v>7826</v>
      </c>
      <c r="Q2951" t="inlineStr">
        <is>
          <t>699eb3b74d1dca000179ddf9</t>
        </is>
      </c>
      <c r="R2951" t="inlineStr">
        <is>
          <t>🚫重复</t>
        </is>
      </c>
      <c r="S2951" t="inlineStr">
        <is>
          <t>中小学教辅/教材</t>
        </is>
      </c>
      <c r="T2951" t="inlineStr">
        <is>
          <t>0.16</t>
        </is>
      </c>
      <c r="U2951" s="3">
        <v>46126.9815625</v>
      </c>
      <c r="V2951"/>
      <c r="W2951" s="3">
        <v>46126</v>
      </c>
      <c r="X2951" t="inlineStr">
        <is>
          <t>04</t>
        </is>
      </c>
      <c r="Y2951" t="inlineStr">
        <is>
          <t>2026-Q2</t>
        </is>
      </c>
    </row>
    <row r="2952" ht="38.25" customHeight="1">
      <c r="A2952" t="inlineStr">
        <is>
          <t>外研版英语板书设计3-4年级（电子资料发百度网盘）</t>
        </is>
      </c>
      <c r="B2952" t="inlineStr">
        <is>
          <t>__upload_recvgMpD4Xxcul.jpg</t>
        </is>
      </c>
      <c r="C2952" s="2" t="str">
        <f>=HYPERLINK("https://xhslink.com/m/7xYHbdf1OBc", "https://xhslink.com/m/7xYHbdf1OBc")</f>
        <v>https://xhslink.com/m/7xYHbdf1OBc</v>
      </c>
      <c r="D2952"/>
      <c r="E2952">
        <v>1156</v>
      </c>
      <c r="F2952">
        <v>168</v>
      </c>
      <c r="G2952"/>
      <c r="H2952">
        <v>200</v>
      </c>
      <c r="I2952"/>
      <c r="J2952"/>
      <c r="K2952" t="inlineStr">
        <is>
          <t>小学资料</t>
        </is>
      </c>
      <c r="L2952"/>
      <c r="M2952" t="inlineStr">
        <is>
          <t>小吴老师教英语的店</t>
        </is>
      </c>
      <c r="N2952">
        <v>8987</v>
      </c>
      <c r="O2952">
        <v>4.46</v>
      </c>
      <c r="P2952">
        <v>15000</v>
      </c>
      <c r="Q2952" t="inlineStr">
        <is>
          <t>690ad12ce379430001e55754</t>
        </is>
      </c>
      <c r="R2952" t="inlineStr">
        <is>
          <t>🚫重复</t>
        </is>
      </c>
      <c r="S2952" t="inlineStr">
        <is>
          <t>中小学教辅/教材</t>
        </is>
      </c>
      <c r="T2952" t="inlineStr">
        <is>
          <t>0.13</t>
        </is>
      </c>
      <c r="U2952" s="3">
        <v>46126.9815625</v>
      </c>
      <c r="V2952"/>
      <c r="W2952" s="3">
        <v>46126</v>
      </c>
      <c r="X2952" t="inlineStr">
        <is>
          <t>04</t>
        </is>
      </c>
      <c r="Y2952" t="inlineStr">
        <is>
          <t>2026-Q2</t>
        </is>
      </c>
    </row>
    <row r="2953" ht="38.25" customHeight="1">
      <c r="A2953" t="inlineStr">
        <is>
          <t>小学各种社团资源（目前100＋社团延时课，并持续更新）电子资料</t>
        </is>
      </c>
      <c r="B2953" t="inlineStr">
        <is>
          <t>__upload_recvgMpD4X8uCp.jpg</t>
        </is>
      </c>
      <c r="C2953" s="2" t="str">
        <f>=HYPERLINK("https://xhslink.com/m/46aLFeUIyla", "https://xhslink.com/m/46aLFeUIyla")</f>
        <v>https://xhslink.com/m/46aLFeUIyla</v>
      </c>
      <c r="D2953"/>
      <c r="E2953">
        <v>1135</v>
      </c>
      <c r="F2953">
        <v>99.9</v>
      </c>
      <c r="G2953"/>
      <c r="H2953">
        <v>100</v>
      </c>
      <c r="I2953"/>
      <c r="J2953"/>
      <c r="K2953" t="inlineStr">
        <is>
          <t>小学资料</t>
        </is>
      </c>
      <c r="L2953"/>
      <c r="M2953" t="inlineStr">
        <is>
          <t>小夏是人民教师的店</t>
        </is>
      </c>
      <c r="N2953">
        <v>1551</v>
      </c>
      <c r="O2953">
        <v>4.16</v>
      </c>
      <c r="P2953">
        <v>1983</v>
      </c>
      <c r="Q2953" t="inlineStr">
        <is>
          <t>699d18b006f9da000198e61b</t>
        </is>
      </c>
      <c r="R2953"/>
      <c r="S2953" t="inlineStr">
        <is>
          <t>中小学教辅/教材</t>
        </is>
      </c>
      <c r="T2953" t="inlineStr">
        <is>
          <t>0.73</t>
        </is>
      </c>
      <c r="U2953" s="3">
        <v>46126.9815625</v>
      </c>
      <c r="V2953"/>
      <c r="W2953" s="3">
        <v>46126</v>
      </c>
      <c r="X2953" t="inlineStr">
        <is>
          <t>04</t>
        </is>
      </c>
      <c r="Y2953" t="inlineStr">
        <is>
          <t>2026-Q2</t>
        </is>
      </c>
    </row>
    <row r="2954" ht="38.25" customHeight="1">
      <c r="A2954" t="inlineStr">
        <is>
          <t>【教师专用】三年级语文下册课件｜教案</t>
        </is>
      </c>
      <c r="B2954" t="inlineStr">
        <is>
          <t>__upload_recvgMpD4X6Wy4.jpg</t>
        </is>
      </c>
      <c r="C2954" s="2" t="str">
        <f>=HYPERLINK("https://xhslink.com/m/AofVbrPBYTA", "https://xhslink.com/m/AofVbrPBYTA")</f>
        <v>https://xhslink.com/m/AofVbrPBYTA</v>
      </c>
      <c r="D2954"/>
      <c r="E2954">
        <v>1131</v>
      </c>
      <c r="F2954">
        <v>129</v>
      </c>
      <c r="G2954"/>
      <c r="H2954">
        <v>250</v>
      </c>
      <c r="I2954"/>
      <c r="J2954"/>
      <c r="K2954" t="inlineStr">
        <is>
          <t>小学资料</t>
        </is>
      </c>
      <c r="L2954"/>
      <c r="M2954" t="inlineStr">
        <is>
          <t>小禾禾语文🔥的店</t>
        </is>
      </c>
      <c r="N2954">
        <v>1114</v>
      </c>
      <c r="O2954">
        <v>4.47</v>
      </c>
      <c r="P2954">
        <v>4042</v>
      </c>
      <c r="Q2954" t="inlineStr">
        <is>
          <t>67ad5f7643e42a0001d83583</t>
        </is>
      </c>
      <c r="R2954"/>
      <c r="S2954" t="inlineStr">
        <is>
          <t>中小学教辅/教材</t>
        </is>
      </c>
      <c r="T2954" t="inlineStr">
        <is>
          <t>1.02</t>
        </is>
      </c>
      <c r="U2954" s="3">
        <v>46126.9815625</v>
      </c>
      <c r="V2954"/>
      <c r="W2954" s="3">
        <v>46126</v>
      </c>
      <c r="X2954" t="inlineStr">
        <is>
          <t>04</t>
        </is>
      </c>
      <c r="Y2954" t="inlineStr">
        <is>
          <t>2026-Q2</t>
        </is>
      </c>
    </row>
    <row r="2955" ht="38.25" customHeight="1">
      <c r="A2955" t="inlineStr">
        <is>
          <t>26年春|人教版小学数学课件一二三四五六年级上下册核心素养教案</t>
        </is>
      </c>
      <c r="B2955" t="inlineStr">
        <is>
          <t>__upload_recvgMpD4XIBRV.jpg</t>
        </is>
      </c>
      <c r="C2955" s="2" t="str">
        <f>=HYPERLINK("https://xhslink.com/m/7xAR7dIM8Gr", "https://xhslink.com/m/7xAR7dIM8Gr")</f>
        <v>https://xhslink.com/m/7xAR7dIM8Gr</v>
      </c>
      <c r="D2955"/>
      <c r="E2955">
        <v>1019</v>
      </c>
      <c r="F2955">
        <v>98.8</v>
      </c>
      <c r="G2955"/>
      <c r="H2955">
        <v>150</v>
      </c>
      <c r="I2955"/>
      <c r="J2955"/>
      <c r="K2955" t="inlineStr">
        <is>
          <t>小学资料</t>
        </is>
      </c>
      <c r="L2955"/>
      <c r="M2955" t="inlineStr">
        <is>
          <t>新起点-新征途的店</t>
        </is>
      </c>
      <c r="N2955">
        <v>3409</v>
      </c>
      <c r="O2955">
        <v>4.5</v>
      </c>
      <c r="P2955">
        <v>9981</v>
      </c>
      <c r="Q2955" t="inlineStr">
        <is>
          <t>67836191f1397f001507ade5</t>
        </is>
      </c>
      <c r="R2955"/>
      <c r="S2955" t="inlineStr">
        <is>
          <t>中小学教辅/教材</t>
        </is>
      </c>
      <c r="T2955" t="inlineStr">
        <is>
          <t>0.30</t>
        </is>
      </c>
      <c r="U2955" s="3">
        <v>46126.9815625</v>
      </c>
      <c r="V2955"/>
      <c r="W2955" s="3">
        <v>46126</v>
      </c>
      <c r="X2955" t="inlineStr">
        <is>
          <t>04</t>
        </is>
      </c>
      <c r="Y2955" t="inlineStr">
        <is>
          <t>2026-Q2</t>
        </is>
      </c>
    </row>
    <row r="2956" ht="38.25" customHeight="1">
      <c r="A2956" t="inlineStr">
        <is>
          <t>小学3-6年级语文园地高频考点汇总（电子版，1-8单元）</t>
        </is>
      </c>
      <c r="B2956" t="inlineStr">
        <is>
          <t>__upload_recvgMpD4XeBRT.jpg</t>
        </is>
      </c>
      <c r="C2956" s="2" t="str">
        <f>=HYPERLINK("https://xhslink.com/m/AqSUxiNRkyQ", "https://xhslink.com/m/AqSUxiNRkyQ")</f>
        <v>https://xhslink.com/m/AqSUxiNRkyQ</v>
      </c>
      <c r="D2956"/>
      <c r="E2956">
        <v>1004</v>
      </c>
      <c r="F2956">
        <v>5.9</v>
      </c>
      <c r="G2956"/>
      <c r="H2956">
        <v>200</v>
      </c>
      <c r="I2956"/>
      <c r="J2956"/>
      <c r="K2956" t="inlineStr">
        <is>
          <t>小学资料</t>
        </is>
      </c>
      <c r="L2956"/>
      <c r="M2956" t="inlineStr">
        <is>
          <t>月月老师呀的店</t>
        </is>
      </c>
      <c r="N2956">
        <v>3264</v>
      </c>
      <c r="O2956">
        <v>4.44</v>
      </c>
      <c r="P2956">
        <v>19000</v>
      </c>
      <c r="Q2956" t="inlineStr">
        <is>
          <t>69852c286d22e7000148d298</t>
        </is>
      </c>
      <c r="R2956" t="inlineStr">
        <is>
          <t>🚫重复</t>
        </is>
      </c>
      <c r="S2956" t="inlineStr">
        <is>
          <t>中小学教辅/教材</t>
        </is>
      </c>
      <c r="T2956" t="inlineStr">
        <is>
          <t>0.31</t>
        </is>
      </c>
      <c r="U2956" s="3">
        <v>46126.9815625</v>
      </c>
      <c r="V2956"/>
      <c r="W2956" s="3">
        <v>46126</v>
      </c>
      <c r="X2956" t="inlineStr">
        <is>
          <t>04</t>
        </is>
      </c>
      <c r="Y2956" t="inlineStr">
        <is>
          <t>2026-Q2</t>
        </is>
      </c>
    </row>
    <row r="2957" ht="38.25" customHeight="1">
      <c r="A2957" t="inlineStr">
        <is>
          <t>预售 二年级下册 人美新教材课件/教案/逐字稿</t>
        </is>
      </c>
      <c r="B2957" t="inlineStr">
        <is>
          <t>__upload_recvgMpD4XIKu9.jpg</t>
        </is>
      </c>
      <c r="C2957" s="2" t="str">
        <f>=HYPERLINK("https://xhslink.com/m/9Dl8csTobCv", "https://xhslink.com/m/9Dl8csTobCv")</f>
        <v>https://xhslink.com/m/9Dl8csTobCv</v>
      </c>
      <c r="D2957"/>
      <c r="E2957">
        <v>958</v>
      </c>
      <c r="F2957">
        <v>195</v>
      </c>
      <c r="G2957"/>
      <c r="H2957">
        <v>100</v>
      </c>
      <c r="I2957"/>
      <c r="J2957"/>
      <c r="K2957" t="inlineStr">
        <is>
          <t>小学资料</t>
        </is>
      </c>
      <c r="L2957"/>
      <c r="M2957" t="inlineStr">
        <is>
          <t>格洛丽娅的店</t>
        </is>
      </c>
      <c r="N2957">
        <v>1667</v>
      </c>
      <c r="O2957">
        <v>4.22</v>
      </c>
      <c r="P2957">
        <v>3935</v>
      </c>
      <c r="Q2957" t="inlineStr">
        <is>
          <t>6989f5788dc4b30001d496a2</t>
        </is>
      </c>
      <c r="R2957"/>
      <c r="S2957" t="inlineStr">
        <is>
          <t>中小学教辅/教材</t>
        </is>
      </c>
      <c r="T2957" t="inlineStr">
        <is>
          <t>0.57</t>
        </is>
      </c>
      <c r="U2957" s="3">
        <v>46126.9815625</v>
      </c>
      <c r="V2957"/>
      <c r="W2957" s="3">
        <v>46126</v>
      </c>
      <c r="X2957" t="inlineStr">
        <is>
          <t>04</t>
        </is>
      </c>
      <c r="Y2957" t="inlineStr">
        <is>
          <t>2026-Q2</t>
        </is>
      </c>
    </row>
    <row r="2958" ht="38.25" customHeight="1">
      <c r="A2958" t="inlineStr">
        <is>
          <t>2026新版三年级下册任务群课件+教案</t>
        </is>
      </c>
      <c r="B2958" t="inlineStr">
        <is>
          <t>__upload_recvgMpD4XBaid.jpg</t>
        </is>
      </c>
      <c r="C2958" s="2" t="str">
        <f>=HYPERLINK("https://xhslink.com/m/27xIeJ5ClfY", "https://xhslink.com/m/27xIeJ5ClfY")</f>
        <v>https://xhslink.com/m/27xIeJ5ClfY</v>
      </c>
      <c r="D2958"/>
      <c r="E2958">
        <v>837</v>
      </c>
      <c r="F2958">
        <v>129</v>
      </c>
      <c r="G2958"/>
      <c r="H2958">
        <v>400</v>
      </c>
      <c r="I2958"/>
      <c r="J2958"/>
      <c r="K2958" t="inlineStr">
        <is>
          <t>小学资料</t>
        </is>
      </c>
      <c r="L2958"/>
      <c r="M2958" t="inlineStr">
        <is>
          <t>曼曼老师呀的店</t>
        </is>
      </c>
      <c r="N2958">
        <v>2076</v>
      </c>
      <c r="O2958">
        <v>4.54</v>
      </c>
      <c r="P2958">
        <v>3558</v>
      </c>
      <c r="Q2958" t="inlineStr">
        <is>
          <t>699c962de49faa000177e10b</t>
        </is>
      </c>
      <c r="R2958" t="inlineStr">
        <is>
          <t>🚫重复</t>
        </is>
      </c>
      <c r="S2958" t="inlineStr">
        <is>
          <t>中小学教辅/教材</t>
        </is>
      </c>
      <c r="T2958" t="inlineStr">
        <is>
          <t>0.40</t>
        </is>
      </c>
      <c r="U2958" s="3">
        <v>46126.9815625</v>
      </c>
      <c r="V2958"/>
      <c r="W2958" s="3">
        <v>46126</v>
      </c>
      <c r="X2958" t="inlineStr">
        <is>
          <t>04</t>
        </is>
      </c>
      <c r="Y2958" t="inlineStr">
        <is>
          <t>2026-Q2</t>
        </is>
      </c>
    </row>
    <row r="2959" ht="38.25" customHeight="1">
      <c r="A2959" t="inlineStr">
        <is>
          <t>原创2026年春版五年级下册语文自制课件</t>
        </is>
      </c>
      <c r="B2959" t="inlineStr">
        <is>
          <t>__upload_recvgMpD4X471e.jpg</t>
        </is>
      </c>
      <c r="C2959" s="2" t="str">
        <f>=HYPERLINK("https://xhslink.com/m/3WbTnVJxtUE", "https://xhslink.com/m/3WbTnVJxtUE")</f>
        <v>https://xhslink.com/m/3WbTnVJxtUE</v>
      </c>
      <c r="D2959"/>
      <c r="E2959">
        <v>784</v>
      </c>
      <c r="F2959">
        <v>128</v>
      </c>
      <c r="G2959"/>
      <c r="H2959">
        <v>400</v>
      </c>
      <c r="I2959"/>
      <c r="J2959"/>
      <c r="K2959" t="inlineStr">
        <is>
          <t>小学资料</t>
        </is>
      </c>
      <c r="L2959"/>
      <c r="M2959" t="inlineStr">
        <is>
          <t>姜姜的书房的店</t>
        </is>
      </c>
      <c r="N2959">
        <v>1446</v>
      </c>
      <c r="O2959">
        <v>4.61</v>
      </c>
      <c r="P2959">
        <v>1043</v>
      </c>
      <c r="Q2959" t="inlineStr">
        <is>
          <t>699fe2aac9f5da00019b93c6</t>
        </is>
      </c>
      <c r="R2959"/>
      <c r="S2959" t="inlineStr">
        <is>
          <t>中小学教辅/教材</t>
        </is>
      </c>
      <c r="T2959" t="inlineStr">
        <is>
          <t>0.54</t>
        </is>
      </c>
      <c r="U2959" s="3">
        <v>46126.9815625</v>
      </c>
      <c r="V2959"/>
      <c r="W2959" s="3">
        <v>46126</v>
      </c>
      <c r="X2959" t="inlineStr">
        <is>
          <t>04</t>
        </is>
      </c>
      <c r="Y2959" t="inlineStr">
        <is>
          <t>2026-Q2</t>
        </is>
      </c>
    </row>
    <row r="2960" ht="38.25" customHeight="1">
      <c r="A2960" t="inlineStr">
        <is>
          <t>178、人教版二年级下册数学应用题专项练习【 含答案】</t>
        </is>
      </c>
      <c r="B2960" t="inlineStr">
        <is>
          <t>__upload_recvgMpD4XF85J.jpg</t>
        </is>
      </c>
      <c r="C2960" s="2" t="str">
        <f>=HYPERLINK("https://xhslink.com/m/6SEp9XKYNps", "https://xhslink.com/m/6SEp9XKYNps")</f>
        <v>https://xhslink.com/m/6SEp9XKYNps</v>
      </c>
      <c r="D2960"/>
      <c r="E2960">
        <v>653</v>
      </c>
      <c r="F2960">
        <v>4.9</v>
      </c>
      <c r="G2960"/>
      <c r="H2960">
        <v>200</v>
      </c>
      <c r="I2960"/>
      <c r="J2960"/>
      <c r="K2960" t="inlineStr">
        <is>
          <t>小学资料</t>
        </is>
      </c>
      <c r="L2960"/>
      <c r="M2960" t="inlineStr">
        <is>
          <t>颢瑱二年级的店</t>
        </is>
      </c>
      <c r="N2960">
        <v>1995</v>
      </c>
      <c r="O2960">
        <v>4.51</v>
      </c>
      <c r="P2960">
        <v>10000</v>
      </c>
      <c r="Q2960" t="inlineStr">
        <is>
          <t>6984b24b8dc4b300015a0bc5</t>
        </is>
      </c>
      <c r="R2960"/>
      <c r="S2960" t="inlineStr">
        <is>
          <t>中小学教辅/教材</t>
        </is>
      </c>
      <c r="T2960" t="inlineStr">
        <is>
          <t>0.33</t>
        </is>
      </c>
      <c r="U2960" s="3">
        <v>46126.9815625</v>
      </c>
      <c r="V2960"/>
      <c r="W2960" s="3">
        <v>46126</v>
      </c>
      <c r="X2960" t="inlineStr">
        <is>
          <t>04</t>
        </is>
      </c>
      <c r="Y2960" t="inlineStr">
        <is>
          <t>2026-Q2</t>
        </is>
      </c>
    </row>
    <row r="2961" ht="38.25" customHeight="1">
      <c r="A2961" t="inlineStr">
        <is>
          <t>四下第三单元【全】 |大单元 任务群</t>
        </is>
      </c>
      <c r="B2961" t="inlineStr">
        <is>
          <t>__upload_recvgMpD4XPnLj.jpg</t>
        </is>
      </c>
      <c r="C2961" s="2" t="str">
        <f>=HYPERLINK("https://xhslink.com/m/1j3t7dmx773", "https://xhslink.com/m/1j3t7dmx773")</f>
        <v>https://xhslink.com/m/1j3t7dmx773</v>
      </c>
      <c r="D2961"/>
      <c r="E2961">
        <v>592</v>
      </c>
      <c r="F2961">
        <v>299</v>
      </c>
      <c r="G2961"/>
      <c r="H2961">
        <v>100</v>
      </c>
      <c r="I2961"/>
      <c r="J2961"/>
      <c r="K2961" t="inlineStr">
        <is>
          <t>小学资料</t>
        </is>
      </c>
      <c r="L2961"/>
      <c r="M2961" t="inlineStr">
        <is>
          <t>教语文的小巧匠儿的店</t>
        </is>
      </c>
      <c r="N2961">
        <v>7755</v>
      </c>
      <c r="O2961">
        <v>4.58</v>
      </c>
      <c r="P2961">
        <v>7826</v>
      </c>
      <c r="Q2961" t="inlineStr">
        <is>
          <t>69a16b606b5a83000182c6a1</t>
        </is>
      </c>
      <c r="R2961" t="inlineStr">
        <is>
          <t>🚫重复</t>
        </is>
      </c>
      <c r="S2961" t="inlineStr">
        <is>
          <t>中小学教辅/教材</t>
        </is>
      </c>
      <c r="T2961" t="inlineStr">
        <is>
          <t>0.08</t>
        </is>
      </c>
      <c r="U2961" s="3">
        <v>46126.9815625</v>
      </c>
      <c r="V2961"/>
      <c r="W2961" s="3">
        <v>46126</v>
      </c>
      <c r="X2961" t="inlineStr">
        <is>
          <t>04</t>
        </is>
      </c>
      <c r="Y2961" t="inlineStr">
        <is>
          <t>2026-Q2</t>
        </is>
      </c>
    </row>
    <row r="2962" ht="38.25" customHeight="1">
      <c r="A2962" t="inlineStr">
        <is>
          <t>【全套】装修预算表＋风格效果图＋避坑手册＋报价模板</t>
        </is>
      </c>
      <c r="B2962" t="inlineStr">
        <is>
          <t>__upload_recvgROIstFqrG.jpg</t>
        </is>
      </c>
      <c r="C2962" s="2" t="str">
        <f>=HYPERLINK("https://xhslink.com/m/48mGEfqYG9k", "https://xhslink.com/m/48mGEfqYG9k")</f>
        <v>https://xhslink.com/m/48mGEfqYG9k</v>
      </c>
      <c r="D2962"/>
      <c r="E2962">
        <v>1772</v>
      </c>
      <c r="F2962">
        <v>28.9</v>
      </c>
      <c r="G2962"/>
      <c r="H2962">
        <v>150</v>
      </c>
      <c r="I2962"/>
      <c r="J2962"/>
      <c r="K2962" t="inlineStr">
        <is>
          <t>装修</t>
        </is>
      </c>
      <c r="L2962"/>
      <c r="M2962" t="inlineStr">
        <is>
          <t>虎爸(入住啦)的店</t>
        </is>
      </c>
      <c r="N2962">
        <v>2181</v>
      </c>
      <c r="O2962">
        <v>4.25</v>
      </c>
      <c r="P2962">
        <v>8481</v>
      </c>
      <c r="Q2962" t="inlineStr">
        <is>
          <t>6879ceb3e019f2000120f734</t>
        </is>
      </c>
      <c r="R2962" t="inlineStr">
        <is>
          <t>🚫重复</t>
        </is>
      </c>
      <c r="S2962" t="inlineStr">
        <is>
          <t>生活成长</t>
        </is>
      </c>
      <c r="T2962" t="inlineStr">
        <is>
          <t>0.81</t>
        </is>
      </c>
      <c r="U2962" s="3">
        <v>46127.90590277778</v>
      </c>
      <c r="V2962"/>
      <c r="W2962" s="3">
        <v>46127</v>
      </c>
      <c r="X2962" t="inlineStr">
        <is>
          <t>04</t>
        </is>
      </c>
      <c r="Y2962" t="inlineStr">
        <is>
          <t>2026-Q2</t>
        </is>
      </c>
    </row>
    <row r="2963" ht="38.25" customHeight="1">
      <c r="A2963" t="inlineStr">
        <is>
          <t>2026最新室内装修设计效果图现代简约轻奢中古风中式法美欧风格集</t>
        </is>
      </c>
      <c r="B2963" t="inlineStr">
        <is>
          <t>__upload_recvgRONEASo9q.jpg</t>
        </is>
      </c>
      <c r="C2963" s="2" t="str">
        <f>=HYPERLINK("https://xhslink.com/m/7kSxgQZrqAM", "https://xhslink.com/m/7kSxgQZrqAM")</f>
        <v>https://xhslink.com/m/7kSxgQZrqAM</v>
      </c>
      <c r="D2963"/>
      <c r="E2963">
        <v>823</v>
      </c>
      <c r="F2963">
        <v>19.9</v>
      </c>
      <c r="G2963"/>
      <c r="H2963">
        <v>100</v>
      </c>
      <c r="I2963"/>
      <c r="J2963"/>
      <c r="K2963" t="inlineStr">
        <is>
          <t>装修</t>
        </is>
      </c>
      <c r="L2963"/>
      <c r="M2963" t="inlineStr">
        <is>
          <t>艺哼素材站的店</t>
        </is>
      </c>
      <c r="N2963">
        <v>1385</v>
      </c>
      <c r="O2963">
        <v>4.13</v>
      </c>
      <c r="P2963">
        <v>897</v>
      </c>
      <c r="Q2963" t="inlineStr">
        <is>
          <t>68ba47138c33170001046771</t>
        </is>
      </c>
      <c r="R2963"/>
      <c r="S2963" t="inlineStr">
        <is>
          <t>设计素材</t>
        </is>
      </c>
      <c r="T2963" t="inlineStr">
        <is>
          <t>0.59</t>
        </is>
      </c>
      <c r="U2963" s="3">
        <v>46127.90613425926</v>
      </c>
      <c r="V2963"/>
      <c r="W2963" s="3">
        <v>46127</v>
      </c>
      <c r="X2963" t="inlineStr">
        <is>
          <t>04</t>
        </is>
      </c>
      <c r="Y2963" t="inlineStr">
        <is>
          <t>2026-Q2</t>
        </is>
      </c>
    </row>
    <row r="2964" ht="38.25" customHeight="1">
      <c r="A2964" t="inlineStr">
        <is>
          <t>装修工长编写｜装修全套资料，含避坑指南、预算清单。装修全流程</t>
        </is>
      </c>
      <c r="B2964" t="inlineStr">
        <is>
          <t>__upload_recvgROOY1gRsK.jpg</t>
        </is>
      </c>
      <c r="C2964" s="2" t="str">
        <f>=HYPERLINK("https://xhslink.com/m/53BJU3V7Rz6", "https://xhslink.com/m/53BJU3V7Rz6")</f>
        <v>https://xhslink.com/m/53BJU3V7Rz6</v>
      </c>
      <c r="D2964"/>
      <c r="E2964">
        <v>594</v>
      </c>
      <c r="F2964">
        <v>19.9</v>
      </c>
      <c r="G2964"/>
      <c r="H2964">
        <v>150</v>
      </c>
      <c r="I2964"/>
      <c r="J2964"/>
      <c r="K2964" t="inlineStr">
        <is>
          <t>装修</t>
        </is>
      </c>
      <c r="L2964"/>
      <c r="M2964" t="inlineStr">
        <is>
          <t>七天假装修攻略的店</t>
        </is>
      </c>
      <c r="N2964">
        <v>34000</v>
      </c>
      <c r="O2964">
        <v>4.14</v>
      </c>
      <c r="P2964">
        <v>594</v>
      </c>
      <c r="Q2964" t="inlineStr">
        <is>
          <t>69154359f168b90001bd0874</t>
        </is>
      </c>
      <c r="R2964"/>
      <c r="S2964" t="inlineStr">
        <is>
          <t>无匹配类别</t>
        </is>
      </c>
      <c r="T2964" t="inlineStr">
        <is>
          <t>0.02</t>
        </is>
      </c>
      <c r="U2964" s="3">
        <v>46127.90619212963</v>
      </c>
      <c r="V2964"/>
      <c r="W2964" s="3">
        <v>46127</v>
      </c>
      <c r="X2964" t="inlineStr">
        <is>
          <t>04</t>
        </is>
      </c>
      <c r="Y2964" t="inlineStr">
        <is>
          <t>2026-Q2</t>
        </is>
      </c>
    </row>
    <row r="2965" ht="38.25" customHeight="1">
      <c r="A2965" t="inlineStr">
        <is>
          <t>宝宝辅食跟我做0-3岁宝宝辅食书辅食营养餐做法 婴儿辅食宝宝脾胃</t>
        </is>
      </c>
      <c r="B2965" t="inlineStr">
        <is>
          <t>__upload_recvgRORR66slc.jpg</t>
        </is>
      </c>
      <c r="C2965" s="2" t="str">
        <f>=HYPERLINK("https://xhslink.com/m/2ufSFjJdtUI", "https://xhslink.com/m/2ufSFjJdtUI")</f>
        <v>https://xhslink.com/m/2ufSFjJdtUI</v>
      </c>
      <c r="D2965"/>
      <c r="E2965">
        <v>16000</v>
      </c>
      <c r="F2965">
        <v>209.9</v>
      </c>
      <c r="G2965"/>
      <c r="H2965">
        <v>100</v>
      </c>
      <c r="I2965"/>
      <c r="J2965"/>
      <c r="K2965" t="inlineStr">
        <is>
          <t>幼儿资料</t>
        </is>
      </c>
      <c r="L2965" t="inlineStr">
        <is>
          <t>🔥低粉爆款</t>
        </is>
      </c>
      <c r="M2965" t="inlineStr">
        <is>
          <t>Yx轌侥臻选育儿的店</t>
        </is>
      </c>
      <c r="N2965">
        <v>375</v>
      </c>
      <c r="O2965">
        <v>4.5</v>
      </c>
      <c r="P2965">
        <v>21000</v>
      </c>
      <c r="Q2965" t="inlineStr">
        <is>
          <t>66fbfffb75e23c000135dce5</t>
        </is>
      </c>
      <c r="R2965" t="inlineStr">
        <is>
          <t>🚫重复</t>
        </is>
      </c>
      <c r="S2965" t="inlineStr">
        <is>
          <t>无匹配类别</t>
        </is>
      </c>
      <c r="T2965" t="inlineStr">
        <is>
          <t>42.67</t>
        </is>
      </c>
      <c r="U2965" s="3">
        <v>46127.906319444446</v>
      </c>
      <c r="V2965"/>
      <c r="W2965" s="3">
        <v>46127</v>
      </c>
      <c r="X2965" t="inlineStr">
        <is>
          <t>04</t>
        </is>
      </c>
      <c r="Y2965" t="inlineStr">
        <is>
          <t>2026-Q2</t>
        </is>
      </c>
    </row>
    <row r="2966" ht="38.25" customHeight="1">
      <c r="A2966" t="inlineStr">
        <is>
          <t>【出版社直发】彩虹糖幼儿英语启蒙绘本 新东方 2-4-6岁</t>
        </is>
      </c>
      <c r="B2966" t="inlineStr">
        <is>
          <t>__upload_recvgRORR6YuOj.jpg</t>
        </is>
      </c>
      <c r="C2966" s="2" t="str">
        <f>=HYPERLINK("https://xhslink.com/m/6Lx4OeLv7Py", "https://xhslink.com/m/6Lx4OeLv7Py")</f>
        <v>https://xhslink.com/m/6Lx4OeLv7Py</v>
      </c>
      <c r="D2966"/>
      <c r="E2966">
        <v>5068</v>
      </c>
      <c r="F2966">
        <v>299</v>
      </c>
      <c r="G2966"/>
      <c r="H2966">
        <v>300</v>
      </c>
      <c r="I2966"/>
      <c r="J2966"/>
      <c r="K2966" t="inlineStr">
        <is>
          <t>幼儿资料</t>
        </is>
      </c>
      <c r="L2966"/>
      <c r="M2966" t="inlineStr">
        <is>
          <t>小宇的书屋的店</t>
        </is>
      </c>
      <c r="N2966">
        <v>52000</v>
      </c>
      <c r="O2966">
        <v>4.62</v>
      </c>
      <c r="P2966">
        <v>491000</v>
      </c>
      <c r="Q2966" t="inlineStr">
        <is>
          <t>6892b2c7f9d7c80001969a19</t>
        </is>
      </c>
      <c r="R2966"/>
      <c r="S2966" t="inlineStr">
        <is>
          <t>幼教资料</t>
        </is>
      </c>
      <c r="T2966" t="inlineStr">
        <is>
          <t>0.10</t>
        </is>
      </c>
      <c r="U2966" s="3">
        <v>46127.906319444446</v>
      </c>
      <c r="V2966"/>
      <c r="W2966" s="3">
        <v>46127</v>
      </c>
      <c r="X2966" t="inlineStr">
        <is>
          <t>04</t>
        </is>
      </c>
      <c r="Y2966" t="inlineStr">
        <is>
          <t>2026-Q2</t>
        </is>
      </c>
    </row>
    <row r="2967" ht="38.25" customHeight="1">
      <c r="A2967" t="inlineStr">
        <is>
          <t>幼小衔接教材幼升小大班学前班练习册语言数学汉字拼音看图专注力</t>
        </is>
      </c>
      <c r="B2967" t="inlineStr">
        <is>
          <t>__upload_recvgRORR6u9Vb.jpg</t>
        </is>
      </c>
      <c r="C2967" s="2" t="str">
        <f>=HYPERLINK("https://xhslink.com/m/1qrIUGCYEnX", "https://xhslink.com/m/1qrIUGCYEnX")</f>
        <v>https://xhslink.com/m/1qrIUGCYEnX</v>
      </c>
      <c r="D2967"/>
      <c r="E2967">
        <v>4183</v>
      </c>
      <c r="F2967">
        <v>79.9</v>
      </c>
      <c r="G2967"/>
      <c r="H2967">
        <v>200</v>
      </c>
      <c r="I2967"/>
      <c r="J2967"/>
      <c r="K2967" t="inlineStr">
        <is>
          <t>幼儿资料</t>
        </is>
      </c>
      <c r="L2967" t="inlineStr">
        <is>
          <t>🔥低粉爆款</t>
        </is>
      </c>
      <c r="M2967" t="inlineStr">
        <is>
          <t>FZ育人图书店的店</t>
        </is>
      </c>
      <c r="N2967">
        <v>1067</v>
      </c>
      <c r="O2967">
        <v>4.44</v>
      </c>
      <c r="P2967">
        <v>13000</v>
      </c>
      <c r="Q2967" t="inlineStr">
        <is>
          <t>665e6e9cc417b30001b93a25</t>
        </is>
      </c>
      <c r="R2967"/>
      <c r="S2967" t="inlineStr">
        <is>
          <t>中小学教辅/教材</t>
        </is>
      </c>
      <c r="T2967" t="inlineStr">
        <is>
          <t>3.92</t>
        </is>
      </c>
      <c r="U2967" s="3">
        <v>46127.906319444446</v>
      </c>
      <c r="V2967"/>
      <c r="W2967" s="3">
        <v>46127</v>
      </c>
      <c r="X2967" t="inlineStr">
        <is>
          <t>04</t>
        </is>
      </c>
      <c r="Y2967" t="inlineStr">
        <is>
          <t>2026-Q2</t>
        </is>
      </c>
    </row>
    <row r="2968" ht="38.25" customHeight="1">
      <c r="A2968" t="inlineStr">
        <is>
          <t>幼儿园大中小班语言区视听素材（素材可打印，配套音频 电子材料</t>
        </is>
      </c>
      <c r="B2968" t="inlineStr">
        <is>
          <t>__upload_recvgRORR6bn6q.jpg</t>
        </is>
      </c>
      <c r="C2968" s="2" t="str">
        <f>=HYPERLINK("https://xhslink.com/m/4iwrpwOaGDV", "https://xhslink.com/m/4iwrpwOaGDV")</f>
        <v>https://xhslink.com/m/4iwrpwOaGDV</v>
      </c>
      <c r="D2968"/>
      <c r="E2968">
        <v>4204</v>
      </c>
      <c r="F2968">
        <v>99.9</v>
      </c>
      <c r="G2968"/>
      <c r="H2968">
        <v>100</v>
      </c>
      <c r="I2968"/>
      <c r="J2968"/>
      <c r="K2968" t="inlineStr">
        <is>
          <t>幼儿资料</t>
        </is>
      </c>
      <c r="L2968"/>
      <c r="M2968" t="inlineStr">
        <is>
          <t>美羊羊iu的店</t>
        </is>
      </c>
      <c r="N2968">
        <v>4965</v>
      </c>
      <c r="O2968">
        <v>4.17</v>
      </c>
      <c r="P2968">
        <v>8677</v>
      </c>
      <c r="Q2968" t="inlineStr">
        <is>
          <t>671afc0ffe8531000117c6ec</t>
        </is>
      </c>
      <c r="R2968" t="inlineStr">
        <is>
          <t>🚫重复</t>
        </is>
      </c>
      <c r="S2968" t="inlineStr">
        <is>
          <t>幼教资料</t>
        </is>
      </c>
      <c r="T2968" t="inlineStr">
        <is>
          <t>0.85</t>
        </is>
      </c>
      <c r="U2968" s="3">
        <v>46127.906319444446</v>
      </c>
      <c r="V2968"/>
      <c r="W2968" s="3">
        <v>46127</v>
      </c>
      <c r="X2968" t="inlineStr">
        <is>
          <t>04</t>
        </is>
      </c>
      <c r="Y2968" t="inlineStr">
        <is>
          <t>2026-Q2</t>
        </is>
      </c>
    </row>
    <row r="2969" ht="38.25" customHeight="1">
      <c r="A2969" t="inlineStr">
        <is>
          <t>2026幼儿中大小班小学热门舞蹈剧目视频音乐排练资料包</t>
        </is>
      </c>
      <c r="B2969" t="inlineStr">
        <is>
          <t>__upload_recvgRORR6r4S2.jpg</t>
        </is>
      </c>
      <c r="C2969" s="2" t="str">
        <f>=HYPERLINK("https://xhslink.com/m/7g0LzBlyKxb", "https://xhslink.com/m/7g0LzBlyKxb")</f>
        <v>https://xhslink.com/m/7g0LzBlyKxb</v>
      </c>
      <c r="D2969"/>
      <c r="E2969">
        <v>2937</v>
      </c>
      <c r="F2969">
        <v>89.9</v>
      </c>
      <c r="G2969"/>
      <c r="H2969">
        <v>100</v>
      </c>
      <c r="I2969"/>
      <c r="J2969"/>
      <c r="K2969" t="inlineStr">
        <is>
          <t>幼儿资料</t>
        </is>
      </c>
      <c r="L2969"/>
      <c r="M2969" t="inlineStr">
        <is>
          <t>嘻嘻老师的店</t>
        </is>
      </c>
      <c r="N2969">
        <v>4832</v>
      </c>
      <c r="O2969">
        <v>4.28</v>
      </c>
      <c r="P2969">
        <v>3012</v>
      </c>
      <c r="Q2969" t="inlineStr">
        <is>
          <t>67584a5e6e529e0001fa5424</t>
        </is>
      </c>
      <c r="R2969"/>
      <c r="S2969" t="inlineStr">
        <is>
          <t>幼教资料</t>
        </is>
      </c>
      <c r="T2969" t="inlineStr">
        <is>
          <t>0.61</t>
        </is>
      </c>
      <c r="U2969" s="3">
        <v>46127.906319444446</v>
      </c>
      <c r="V2969"/>
      <c r="W2969" s="3">
        <v>46127</v>
      </c>
      <c r="X2969" t="inlineStr">
        <is>
          <t>04</t>
        </is>
      </c>
      <c r="Y2969" t="inlineStr">
        <is>
          <t>2026-Q2</t>
        </is>
      </c>
    </row>
    <row r="2970" ht="38.25" customHeight="1">
      <c r="A2970" t="inlineStr">
        <is>
          <t>幼儿园植物角观察记录A4电子图</t>
        </is>
      </c>
      <c r="B2970" t="inlineStr">
        <is>
          <t>__upload_recvgRORR6UCk2.jpg</t>
        </is>
      </c>
      <c r="C2970" s="2" t="str">
        <f>=HYPERLINK("https://xhslink.com/m/46CmnmDa6vS", "https://xhslink.com/m/46CmnmDa6vS")</f>
        <v>https://xhslink.com/m/46CmnmDa6vS</v>
      </c>
      <c r="D2970"/>
      <c r="E2970">
        <v>3142</v>
      </c>
      <c r="F2970">
        <v>99</v>
      </c>
      <c r="G2970"/>
      <c r="H2970">
        <v>300</v>
      </c>
      <c r="I2970"/>
      <c r="J2970"/>
      <c r="K2970" t="inlineStr">
        <is>
          <t>幼儿资料</t>
        </is>
      </c>
      <c r="L2970"/>
      <c r="M2970" t="inlineStr">
        <is>
          <t>幼教雪球儿的店</t>
        </is>
      </c>
      <c r="N2970">
        <v>24000</v>
      </c>
      <c r="O2970">
        <v>4.39</v>
      </c>
      <c r="P2970">
        <v>43000</v>
      </c>
      <c r="Q2970" t="inlineStr">
        <is>
          <t>690b753884cf42000192f3a1</t>
        </is>
      </c>
      <c r="R2970" t="inlineStr">
        <is>
          <t>🚫重复</t>
        </is>
      </c>
      <c r="S2970" t="inlineStr">
        <is>
          <t>幼教资料</t>
        </is>
      </c>
      <c r="T2970" t="inlineStr">
        <is>
          <t>0.13</t>
        </is>
      </c>
      <c r="U2970" s="3">
        <v>46127.906319444446</v>
      </c>
      <c r="V2970"/>
      <c r="W2970" s="3">
        <v>46127</v>
      </c>
      <c r="X2970" t="inlineStr">
        <is>
          <t>04</t>
        </is>
      </c>
      <c r="Y2970" t="inlineStr">
        <is>
          <t>2026-Q2</t>
        </is>
      </c>
    </row>
    <row r="2971" ht="38.25" customHeight="1">
      <c r="A2971" t="inlineStr">
        <is>
          <t>幼儿园语言图书区A4电子图片</t>
        </is>
      </c>
      <c r="B2971" t="inlineStr">
        <is>
          <t>__upload_recvgRORR6aPPn.jpg</t>
        </is>
      </c>
      <c r="C2971" s="2" t="str">
        <f>=HYPERLINK("https://xhslink.com/m/87FSpk5PV6u", "https://xhslink.com/m/87FSpk5PV6u")</f>
        <v>https://xhslink.com/m/87FSpk5PV6u</v>
      </c>
      <c r="D2971"/>
      <c r="E2971">
        <v>2905</v>
      </c>
      <c r="F2971">
        <v>99</v>
      </c>
      <c r="G2971"/>
      <c r="H2971">
        <v>100</v>
      </c>
      <c r="I2971"/>
      <c r="J2971"/>
      <c r="K2971" t="inlineStr">
        <is>
          <t>幼儿资料</t>
        </is>
      </c>
      <c r="L2971"/>
      <c r="M2971" t="inlineStr">
        <is>
          <t>幼教雪球儿的店</t>
        </is>
      </c>
      <c r="N2971">
        <v>24000</v>
      </c>
      <c r="O2971">
        <v>4.39</v>
      </c>
      <c r="P2971">
        <v>43000</v>
      </c>
      <c r="Q2971" t="inlineStr">
        <is>
          <t>690b683bb96b160001bb2e1a</t>
        </is>
      </c>
      <c r="R2971" t="inlineStr">
        <is>
          <t>🚫重复</t>
        </is>
      </c>
      <c r="S2971" t="inlineStr">
        <is>
          <t>幼教资料</t>
        </is>
      </c>
      <c r="T2971" t="inlineStr">
        <is>
          <t>0.12</t>
        </is>
      </c>
      <c r="U2971" s="3">
        <v>46127.906319444446</v>
      </c>
      <c r="V2971"/>
      <c r="W2971" s="3">
        <v>46127</v>
      </c>
      <c r="X2971" t="inlineStr">
        <is>
          <t>04</t>
        </is>
      </c>
      <c r="Y2971" t="inlineStr">
        <is>
          <t>2026-Q2</t>
        </is>
      </c>
    </row>
    <row r="2972" ht="38.25" customHeight="1">
      <c r="A2972" t="inlineStr">
        <is>
          <t>3-12岁儿童原版娃路线启蒙资料</t>
        </is>
      </c>
      <c r="B2972" t="inlineStr">
        <is>
          <t>__upload_recvgRORR6ZZKg.jpg</t>
        </is>
      </c>
      <c r="C2972" s="2" t="str">
        <f>=HYPERLINK("https://xhslink.com/m/8JvRLHpZ1dS", "https://xhslink.com/m/8JvRLHpZ1dS")</f>
        <v>https://xhslink.com/m/8JvRLHpZ1dS</v>
      </c>
      <c r="D2972"/>
      <c r="E2972">
        <v>2860</v>
      </c>
      <c r="F2972">
        <v>99</v>
      </c>
      <c r="G2972"/>
      <c r="H2972">
        <v>200</v>
      </c>
      <c r="I2972"/>
      <c r="J2972"/>
      <c r="K2972" t="inlineStr">
        <is>
          <t>幼儿资料</t>
        </is>
      </c>
      <c r="L2972"/>
      <c r="M2972" t="inlineStr">
        <is>
          <t>格格爸的店</t>
        </is>
      </c>
      <c r="N2972">
        <v>118000</v>
      </c>
      <c r="O2972">
        <v>4.18</v>
      </c>
      <c r="P2972">
        <v>2851</v>
      </c>
      <c r="Q2972" t="inlineStr">
        <is>
          <t>6902da2170719200016d322e</t>
        </is>
      </c>
      <c r="R2972" t="inlineStr">
        <is>
          <t>🚫重复</t>
        </is>
      </c>
      <c r="S2972" t="inlineStr">
        <is>
          <t>中小学教辅/教材</t>
        </is>
      </c>
      <c r="T2972" t="inlineStr">
        <is>
          <t>0.02</t>
        </is>
      </c>
      <c r="U2972" s="3">
        <v>46127.906319444446</v>
      </c>
      <c r="V2972"/>
      <c r="W2972" s="3">
        <v>46127</v>
      </c>
      <c r="X2972" t="inlineStr">
        <is>
          <t>04</t>
        </is>
      </c>
      <c r="Y2972" t="inlineStr">
        <is>
          <t>2026-Q2</t>
        </is>
      </c>
    </row>
    <row r="2973" ht="38.25" customHeight="1">
      <c r="A2973" t="inlineStr">
        <is>
          <t>幼儿园语言区打印素材大合集220+套电子版【大中小班】持续更新..</t>
        </is>
      </c>
      <c r="B2973" t="inlineStr">
        <is>
          <t>__upload_recvgRORR6p1ig.jpg</t>
        </is>
      </c>
      <c r="C2973" s="2" t="str">
        <f>=HYPERLINK("https://xhslink.com/m/90cOJotvJKj", "https://xhslink.com/m/90cOJotvJKj")</f>
        <v>https://xhslink.com/m/90cOJotvJKj</v>
      </c>
      <c r="D2973"/>
      <c r="E2973">
        <v>2646</v>
      </c>
      <c r="F2973">
        <v>88.8</v>
      </c>
      <c r="G2973"/>
      <c r="H2973">
        <v>200</v>
      </c>
      <c r="I2973"/>
      <c r="J2973"/>
      <c r="K2973" t="inlineStr">
        <is>
          <t>幼儿资料</t>
        </is>
      </c>
      <c r="L2973"/>
      <c r="M2973" t="inlineStr">
        <is>
          <t>橙子🍊老师的店</t>
        </is>
      </c>
      <c r="N2973">
        <v>6858</v>
      </c>
      <c r="O2973">
        <v>4.23</v>
      </c>
      <c r="P2973">
        <v>8137</v>
      </c>
      <c r="Q2973" t="inlineStr">
        <is>
          <t>66285b836807180001ea7bea</t>
        </is>
      </c>
      <c r="R2973" t="inlineStr">
        <is>
          <t>🚫重复</t>
        </is>
      </c>
      <c r="S2973" t="inlineStr">
        <is>
          <t>幼教资料</t>
        </is>
      </c>
      <c r="T2973" t="inlineStr">
        <is>
          <t>0.39</t>
        </is>
      </c>
      <c r="U2973" s="3">
        <v>46127.906319444446</v>
      </c>
      <c r="V2973"/>
      <c r="W2973" s="3">
        <v>46127</v>
      </c>
      <c r="X2973" t="inlineStr">
        <is>
          <t>04</t>
        </is>
      </c>
      <c r="Y2973" t="inlineStr">
        <is>
          <t>2026-Q2</t>
        </is>
      </c>
    </row>
    <row r="2974" ht="38.25" customHeight="1">
      <c r="A2974" t="inlineStr">
        <is>
          <t>雪球·幼儿园益智区数学区扑克牌系列电子图</t>
        </is>
      </c>
      <c r="B2974" t="inlineStr">
        <is>
          <t>__upload_recvgRORR6ZoKz.jpg</t>
        </is>
      </c>
      <c r="C2974" s="2" t="str">
        <f>=HYPERLINK("https://xhslink.com/m/ASS2j9Vul7O", "https://xhslink.com/m/ASS2j9Vul7O")</f>
        <v>https://xhslink.com/m/ASS2j9Vul7O</v>
      </c>
      <c r="D2974"/>
      <c r="E2974">
        <v>2064</v>
      </c>
      <c r="F2974">
        <v>99</v>
      </c>
      <c r="G2974"/>
      <c r="H2974">
        <v>450</v>
      </c>
      <c r="I2974"/>
      <c r="J2974"/>
      <c r="K2974" t="inlineStr">
        <is>
          <t>幼儿资料</t>
        </is>
      </c>
      <c r="L2974"/>
      <c r="M2974" t="inlineStr">
        <is>
          <t>幼教雪球儿的店</t>
        </is>
      </c>
      <c r="N2974">
        <v>24000</v>
      </c>
      <c r="O2974">
        <v>4.39</v>
      </c>
      <c r="P2974">
        <v>43000</v>
      </c>
      <c r="Q2974" t="inlineStr">
        <is>
          <t>690b6ebb7d4dcd0001b9f7c3</t>
        </is>
      </c>
      <c r="R2974" t="inlineStr">
        <is>
          <t>🚫重复</t>
        </is>
      </c>
      <c r="S2974" t="inlineStr">
        <is>
          <t>幼教资料</t>
        </is>
      </c>
      <c r="T2974" t="inlineStr">
        <is>
          <t>0.09</t>
        </is>
      </c>
      <c r="U2974" s="3">
        <v>46127.906319444446</v>
      </c>
      <c r="V2974"/>
      <c r="W2974" s="3">
        <v>46127</v>
      </c>
      <c r="X2974" t="inlineStr">
        <is>
          <t>04</t>
        </is>
      </c>
      <c r="Y2974" t="inlineStr">
        <is>
          <t>2026-Q2</t>
        </is>
      </c>
    </row>
    <row r="2975" ht="38.25" customHeight="1">
      <c r="A2975" t="inlineStr">
        <is>
          <t>学而思 · 图书摩比分级数学启蒙绘本3-8岁儿童数学思维提升 四步学习</t>
        </is>
      </c>
      <c r="B2975" t="inlineStr">
        <is>
          <t>__upload_recvgRORR6NhhN.jpg</t>
        </is>
      </c>
      <c r="C2975" s="2" t="str">
        <f>=HYPERLINK("https://xhslink.com/m/2IjJovvKQ4Q", "https://xhslink.com/m/2IjJovvKQ4Q")</f>
        <v>https://xhslink.com/m/2IjJovvKQ4Q</v>
      </c>
      <c r="D2975"/>
      <c r="E2975">
        <v>788</v>
      </c>
      <c r="F2975">
        <v>169</v>
      </c>
      <c r="G2975"/>
      <c r="H2975">
        <v>100</v>
      </c>
      <c r="I2975"/>
      <c r="J2975"/>
      <c r="K2975" t="inlineStr">
        <is>
          <t>幼儿资料</t>
        </is>
      </c>
      <c r="L2975"/>
      <c r="M2975" t="inlineStr">
        <is>
          <t>学而思图书旗舰店</t>
        </is>
      </c>
      <c r="N2975">
        <v>83000</v>
      </c>
      <c r="O2975">
        <v>4.55</v>
      </c>
      <c r="P2975">
        <v>232000</v>
      </c>
      <c r="Q2975" t="inlineStr">
        <is>
          <t>6853e7028b7d6f00016ef917</t>
        </is>
      </c>
      <c r="R2975" t="inlineStr">
        <is>
          <t>🚫重复</t>
        </is>
      </c>
      <c r="S2975" t="inlineStr">
        <is>
          <t>中小学教辅/教材</t>
        </is>
      </c>
      <c r="T2975" t="inlineStr">
        <is>
          <t>0.01</t>
        </is>
      </c>
      <c r="U2975" s="3">
        <v>46127.906319444446</v>
      </c>
      <c r="V2975"/>
      <c r="W2975" s="3">
        <v>46127</v>
      </c>
      <c r="X2975" t="inlineStr">
        <is>
          <t>04</t>
        </is>
      </c>
      <c r="Y2975" t="inlineStr">
        <is>
          <t>2026-Q2</t>
        </is>
      </c>
    </row>
    <row r="2976" ht="38.25" customHeight="1">
      <c r="A2976" t="inlineStr">
        <is>
          <t>初高中【精品主题班会】课件|150+持续更新</t>
        </is>
      </c>
      <c r="B2976" t="inlineStr">
        <is>
          <t>__upload_recvgRORR653SL.jpg</t>
        </is>
      </c>
      <c r="C2976" s="2" t="str">
        <f>=HYPERLINK("https://xhslink.com/m/3NQyulKTlfs", "https://xhslink.com/m/3NQyulKTlfs")</f>
        <v>https://xhslink.com/m/3NQyulKTlfs</v>
      </c>
      <c r="D2976"/>
      <c r="E2976">
        <v>8110</v>
      </c>
      <c r="F2976">
        <v>39.9</v>
      </c>
      <c r="G2976"/>
      <c r="H2976">
        <v>800</v>
      </c>
      <c r="I2976"/>
      <c r="J2976"/>
      <c r="K2976" t="inlineStr">
        <is>
          <t>班会</t>
        </is>
      </c>
      <c r="L2976" t="inlineStr">
        <is>
          <t>🔥低粉爆款</t>
        </is>
      </c>
      <c r="M2976" t="inlineStr">
        <is>
          <t>Amy老师的资料库的店</t>
        </is>
      </c>
      <c r="N2976">
        <v>2016</v>
      </c>
      <c r="O2976">
        <v>4.19</v>
      </c>
      <c r="P2976">
        <v>18000</v>
      </c>
      <c r="Q2976" t="inlineStr">
        <is>
          <t>68382ad00a601a00018a0425</t>
        </is>
      </c>
      <c r="R2976" t="inlineStr">
        <is>
          <t>🚫重复</t>
        </is>
      </c>
      <c r="S2976" t="inlineStr">
        <is>
          <t>中小学教辅/教材</t>
        </is>
      </c>
      <c r="T2976" t="inlineStr">
        <is>
          <t>4.02</t>
        </is>
      </c>
      <c r="U2976" s="3">
        <v>46127.906319444446</v>
      </c>
      <c r="V2976"/>
      <c r="W2976" s="3">
        <v>46127</v>
      </c>
      <c r="X2976" t="inlineStr">
        <is>
          <t>04</t>
        </is>
      </c>
      <c r="Y2976" t="inlineStr">
        <is>
          <t>2026-Q2</t>
        </is>
      </c>
    </row>
    <row r="2977" ht="38.25" customHeight="1">
      <c r="A2977" t="inlineStr">
        <is>
          <t>2025-2026主题班会PPT（附教案等）合集下（80套）持续免费更新中</t>
        </is>
      </c>
      <c r="B2977" t="inlineStr">
        <is>
          <t>__upload_recvgRORR6Wa3R.jpg</t>
        </is>
      </c>
      <c r="C2977" s="2" t="str">
        <f>=HYPERLINK("https://xhslink.com/m/6fmWksZf1gg", "https://xhslink.com/m/6fmWksZf1gg")</f>
        <v>https://xhslink.com/m/6fmWksZf1gg</v>
      </c>
      <c r="D2977"/>
      <c r="E2977">
        <v>6492</v>
      </c>
      <c r="F2977">
        <v>49.99</v>
      </c>
      <c r="G2977"/>
      <c r="H2977">
        <v>150</v>
      </c>
      <c r="I2977"/>
      <c r="J2977"/>
      <c r="K2977" t="inlineStr">
        <is>
          <t>班会</t>
        </is>
      </c>
      <c r="L2977" t="inlineStr">
        <is>
          <t>🔥低粉爆款</t>
        </is>
      </c>
      <c r="M2977" t="inlineStr">
        <is>
          <t>豹款资料库的店</t>
        </is>
      </c>
      <c r="N2977">
        <v>1315</v>
      </c>
      <c r="O2977">
        <v>4.17</v>
      </c>
      <c r="P2977">
        <v>10000</v>
      </c>
      <c r="Q2977" t="inlineStr">
        <is>
          <t>68dfc578d3eed2000109e1ef</t>
        </is>
      </c>
      <c r="R2977" t="inlineStr">
        <is>
          <t>🚫重复</t>
        </is>
      </c>
      <c r="S2977" t="inlineStr">
        <is>
          <t>PPT模板</t>
        </is>
      </c>
      <c r="T2977" t="inlineStr">
        <is>
          <t>4.94</t>
        </is>
      </c>
      <c r="U2977" s="3">
        <v>46127.906319444446</v>
      </c>
      <c r="V2977"/>
      <c r="W2977" s="3">
        <v>46127</v>
      </c>
      <c r="X2977" t="inlineStr">
        <is>
          <t>04</t>
        </is>
      </c>
      <c r="Y2977" t="inlineStr">
        <is>
          <t>2026-Q2</t>
        </is>
      </c>
    </row>
    <row r="2978" ht="38.25" customHeight="1">
      <c r="A2978" t="inlineStr">
        <is>
          <t>中小学主题班会PPT（拍下秒发！详见订单发货内容</t>
        </is>
      </c>
      <c r="B2978" t="inlineStr">
        <is>
          <t>__upload_recvgRORR62ec1.jpg</t>
        </is>
      </c>
      <c r="C2978" s="2" t="str">
        <f>=HYPERLINK("https://xhslink.com/m/4r7Gx3ok6wm", "https://xhslink.com/m/4r7Gx3ok6wm")</f>
        <v>https://xhslink.com/m/4r7Gx3ok6wm</v>
      </c>
      <c r="D2978"/>
      <c r="E2978">
        <v>6006</v>
      </c>
      <c r="F2978">
        <v>19.9</v>
      </c>
      <c r="G2978"/>
      <c r="H2978">
        <v>150</v>
      </c>
      <c r="I2978"/>
      <c r="J2978"/>
      <c r="K2978" t="inlineStr">
        <is>
          <t>班会</t>
        </is>
      </c>
      <c r="L2978" t="inlineStr">
        <is>
          <t>🔥低粉爆款</t>
        </is>
      </c>
      <c r="M2978" t="inlineStr">
        <is>
          <t>多多老师的店</t>
        </is>
      </c>
      <c r="N2978">
        <v>1067</v>
      </c>
      <c r="O2978">
        <v>4.22</v>
      </c>
      <c r="P2978">
        <v>8877</v>
      </c>
      <c r="Q2978" t="inlineStr">
        <is>
          <t>68adb5b1ec7fed0001ef3628</t>
        </is>
      </c>
      <c r="R2978" t="inlineStr">
        <is>
          <t>🚫重复</t>
        </is>
      </c>
      <c r="S2978" t="inlineStr">
        <is>
          <t>PPT模板</t>
        </is>
      </c>
      <c r="T2978" t="inlineStr">
        <is>
          <t>5.63</t>
        </is>
      </c>
      <c r="U2978" s="3">
        <v>46127.906319444446</v>
      </c>
      <c r="V2978"/>
      <c r="W2978" s="3">
        <v>46127</v>
      </c>
      <c r="X2978" t="inlineStr">
        <is>
          <t>04</t>
        </is>
      </c>
      <c r="Y2978" t="inlineStr">
        <is>
          <t>2026-Q2</t>
        </is>
      </c>
    </row>
    <row r="2979" ht="38.25" customHeight="1">
      <c r="A2979" t="inlineStr">
        <is>
          <t>初中高中班主任尖子生会议做班级领头羊主题班会课件教案</t>
        </is>
      </c>
      <c r="B2979" t="inlineStr">
        <is>
          <t>__upload_recvgRORR6myhV.jpg</t>
        </is>
      </c>
      <c r="C2979" s="2" t="str">
        <f>=HYPERLINK("https://xhslink.com/m/3xTHKT2EuLJ", "https://xhslink.com/m/3xTHKT2EuLJ")</f>
        <v>https://xhslink.com/m/3xTHKT2EuLJ</v>
      </c>
      <c r="D2979"/>
      <c r="E2979">
        <v>2436</v>
      </c>
      <c r="F2979">
        <v>8.88</v>
      </c>
      <c r="G2979"/>
      <c r="H2979">
        <v>400</v>
      </c>
      <c r="I2979"/>
      <c r="J2979"/>
      <c r="K2979" t="inlineStr">
        <is>
          <t>班会</t>
        </is>
      </c>
      <c r="L2979"/>
      <c r="M2979" t="inlineStr">
        <is>
          <t>Cici老师爱学习（收徒）的店</t>
        </is>
      </c>
      <c r="N2979">
        <v>1968</v>
      </c>
      <c r="O2979">
        <v>4.39</v>
      </c>
      <c r="P2979">
        <v>9735</v>
      </c>
      <c r="Q2979" t="inlineStr">
        <is>
          <t>6940fb7b44a3450001e5bdd1</t>
        </is>
      </c>
      <c r="R2979" t="inlineStr">
        <is>
          <t>🚫重复</t>
        </is>
      </c>
      <c r="S2979" t="inlineStr">
        <is>
          <t>中小学教辅/教材</t>
        </is>
      </c>
      <c r="T2979" t="inlineStr">
        <is>
          <t>1.24</t>
        </is>
      </c>
      <c r="U2979" s="3">
        <v>46127.906319444446</v>
      </c>
      <c r="V2979"/>
      <c r="W2979" s="3">
        <v>46127</v>
      </c>
      <c r="X2979" t="inlineStr">
        <is>
          <t>04</t>
        </is>
      </c>
      <c r="Y2979" t="inlineStr">
        <is>
          <t>2026-Q2</t>
        </is>
      </c>
    </row>
    <row r="2980" ht="38.25" customHeight="1">
      <c r="A2980" t="inlineStr">
        <is>
          <t>【限时8.8】中小学主题班会ppt【拍下即发】</t>
        </is>
      </c>
      <c r="B2980" t="inlineStr">
        <is>
          <t>__upload_recvgRORR69Rwb.jpg</t>
        </is>
      </c>
      <c r="C2980" s="2" t="str">
        <f>=HYPERLINK("https://xhslink.com/m/2gxTodnJqC5", "https://xhslink.com/m/2gxTodnJqC5")</f>
        <v>https://xhslink.com/m/2gxTodnJqC5</v>
      </c>
      <c r="D2980"/>
      <c r="E2980">
        <v>2222</v>
      </c>
      <c r="F2980">
        <v>49.9</v>
      </c>
      <c r="G2980"/>
      <c r="H2980">
        <v>200</v>
      </c>
      <c r="I2980"/>
      <c r="J2980"/>
      <c r="K2980" t="inlineStr">
        <is>
          <t>班会</t>
        </is>
      </c>
      <c r="L2980"/>
      <c r="M2980" t="inlineStr">
        <is>
          <t>初春老师的店</t>
        </is>
      </c>
      <c r="N2980">
        <v>1774</v>
      </c>
      <c r="O2980">
        <v>4.13</v>
      </c>
      <c r="P2980">
        <v>16000</v>
      </c>
      <c r="Q2980" t="inlineStr">
        <is>
          <t>68b6b257f38f970001f7d7ec</t>
        </is>
      </c>
      <c r="R2980" t="inlineStr">
        <is>
          <t>🚫重复</t>
        </is>
      </c>
      <c r="S2980" t="inlineStr">
        <is>
          <t>PPT模板</t>
        </is>
      </c>
      <c r="T2980" t="inlineStr">
        <is>
          <t>1.25</t>
        </is>
      </c>
      <c r="U2980" s="3">
        <v>46127.906319444446</v>
      </c>
      <c r="V2980"/>
      <c r="W2980" s="3">
        <v>46127</v>
      </c>
      <c r="X2980" t="inlineStr">
        <is>
          <t>04</t>
        </is>
      </c>
      <c r="Y2980" t="inlineStr">
        <is>
          <t>2026-Q2</t>
        </is>
      </c>
    </row>
    <row r="2981" ht="38.25" customHeight="1">
      <c r="A2981" t="inlineStr">
        <is>
          <t>中小学主题班会课件</t>
        </is>
      </c>
      <c r="B2981" t="inlineStr">
        <is>
          <t>__upload_recvgRORR6QoyR.jpg</t>
        </is>
      </c>
      <c r="C2981" s="2" t="str">
        <f>=HYPERLINK("https://xhslink.com/m/53vIcIZXk2Q", "https://xhslink.com/m/53vIcIZXk2Q")</f>
        <v>https://xhslink.com/m/53vIcIZXk2Q</v>
      </c>
      <c r="D2981"/>
      <c r="E2981">
        <v>1838</v>
      </c>
      <c r="F2981">
        <v>28.9</v>
      </c>
      <c r="G2981"/>
      <c r="H2981">
        <v>150</v>
      </c>
      <c r="I2981"/>
      <c r="J2981"/>
      <c r="K2981" t="inlineStr">
        <is>
          <t>班会</t>
        </is>
      </c>
      <c r="L2981"/>
      <c r="M2981" t="inlineStr">
        <is>
          <t>小希老师不争先的店</t>
        </is>
      </c>
      <c r="N2981">
        <v>1779</v>
      </c>
      <c r="O2981">
        <v>4.12</v>
      </c>
      <c r="P2981">
        <v>4250</v>
      </c>
      <c r="Q2981" t="inlineStr">
        <is>
          <t>68c754009479760001450211</t>
        </is>
      </c>
      <c r="R2981" t="inlineStr">
        <is>
          <t>🚫重复</t>
        </is>
      </c>
      <c r="S2981" t="inlineStr">
        <is>
          <t>中小学教辅/教材</t>
        </is>
      </c>
      <c r="T2981" t="inlineStr">
        <is>
          <t>1.03</t>
        </is>
      </c>
      <c r="U2981" s="3">
        <v>46127.906319444446</v>
      </c>
      <c r="V2981"/>
      <c r="W2981" s="3">
        <v>46127</v>
      </c>
      <c r="X2981" t="inlineStr">
        <is>
          <t>04</t>
        </is>
      </c>
      <c r="Y2981" t="inlineStr">
        <is>
          <t>2026-Q2</t>
        </is>
      </c>
    </row>
    <row r="2982" ht="38.25" customHeight="1">
      <c r="A2982" t="inlineStr">
        <is>
          <t>《你好，预备小学生》大班幼小衔接春季开学家长会</t>
        </is>
      </c>
      <c r="B2982" t="inlineStr">
        <is>
          <t>__upload_recvgRORR6DvkJ.jpg</t>
        </is>
      </c>
      <c r="C2982" s="2" t="str">
        <f>=HYPERLINK("https://xhslink.com/m/8sr5RC3lE13", "https://xhslink.com/m/8sr5RC3lE13")</f>
        <v>https://xhslink.com/m/8sr5RC3lE13</v>
      </c>
      <c r="D2982"/>
      <c r="E2982">
        <v>1385</v>
      </c>
      <c r="F2982">
        <v>69.9</v>
      </c>
      <c r="G2982"/>
      <c r="H2982">
        <v>1000</v>
      </c>
      <c r="I2982">
        <v>1000</v>
      </c>
      <c r="J2982"/>
      <c r="K2982" t="inlineStr">
        <is>
          <t>班会</t>
        </is>
      </c>
      <c r="L2982"/>
      <c r="M2982" t="inlineStr">
        <is>
          <t>芋圆信息咨询的店</t>
        </is>
      </c>
      <c r="N2982">
        <v>5229</v>
      </c>
      <c r="O2982">
        <v>4.55</v>
      </c>
      <c r="P2982">
        <v>9516</v>
      </c>
      <c r="Q2982" t="inlineStr">
        <is>
          <t>69a27256b90bc50001b9d349</t>
        </is>
      </c>
      <c r="R2982"/>
      <c r="S2982" t="inlineStr">
        <is>
          <t>老师资料</t>
        </is>
      </c>
      <c r="T2982" t="inlineStr">
        <is>
          <t>0.26</t>
        </is>
      </c>
      <c r="U2982" s="3">
        <v>46127.906319444446</v>
      </c>
      <c r="V2982"/>
      <c r="W2982" s="3">
        <v>46127</v>
      </c>
      <c r="X2982" t="inlineStr">
        <is>
          <t>04</t>
        </is>
      </c>
      <c r="Y2982" t="inlineStr">
        <is>
          <t>2026-Q2</t>
        </is>
      </c>
    </row>
    <row r="2983" ht="38.25" customHeight="1">
      <c r="A2983" t="inlineStr">
        <is>
          <t>玩笑有度主题班会-人际交往类班会课件ppt（配教案、逐字稿）</t>
        </is>
      </c>
      <c r="B2983" t="inlineStr">
        <is>
          <t>__upload_recvgRORR6dj9T.jpg</t>
        </is>
      </c>
      <c r="C2983" s="2" t="str">
        <f>=HYPERLINK("https://xhslink.com/m/407FSJIEwHj", "https://xhslink.com/m/407FSJIEwHj")</f>
        <v>https://xhslink.com/m/407FSJIEwHj</v>
      </c>
      <c r="D2983"/>
      <c r="E2983">
        <v>1164</v>
      </c>
      <c r="F2983">
        <v>9.99</v>
      </c>
      <c r="G2983"/>
      <c r="H2983">
        <v>100</v>
      </c>
      <c r="I2983"/>
      <c r="J2983"/>
      <c r="K2983" t="inlineStr">
        <is>
          <t>班会</t>
        </is>
      </c>
      <c r="L2983"/>
      <c r="M2983" t="inlineStr">
        <is>
          <t>新星老师PPT的店</t>
        </is>
      </c>
      <c r="N2983">
        <v>1238</v>
      </c>
      <c r="O2983">
        <v>4.25</v>
      </c>
      <c r="P2983">
        <v>7230</v>
      </c>
      <c r="Q2983" t="inlineStr">
        <is>
          <t>68df81203f37a900011425d3</t>
        </is>
      </c>
      <c r="R2983" t="inlineStr">
        <is>
          <t>🚫重复</t>
        </is>
      </c>
      <c r="S2983" t="inlineStr">
        <is>
          <t>中小学教辅/教材</t>
        </is>
      </c>
      <c r="T2983" t="inlineStr">
        <is>
          <t>0.94</t>
        </is>
      </c>
      <c r="U2983" s="3">
        <v>46127.906319444446</v>
      </c>
      <c r="V2983"/>
      <c r="W2983" s="3">
        <v>46127</v>
      </c>
      <c r="X2983" t="inlineStr">
        <is>
          <t>04</t>
        </is>
      </c>
      <c r="Y2983" t="inlineStr">
        <is>
          <t>2026-Q2</t>
        </is>
      </c>
    </row>
    <row r="2984" ht="38.25" customHeight="1">
      <c r="A2984" t="inlineStr">
        <is>
          <t>中小学生主题班会PPT课件资料——优质课件可编辑可修改</t>
        </is>
      </c>
      <c r="B2984" t="inlineStr">
        <is>
          <t>__upload_recvgRORR6chOY.jpg</t>
        </is>
      </c>
      <c r="C2984" s="2" t="str">
        <f>=HYPERLINK("https://xhslink.com/m/5kC99NAJMvN", "https://xhslink.com/m/5kC99NAJMvN")</f>
        <v>https://xhslink.com/m/5kC99NAJMvN</v>
      </c>
      <c r="D2984"/>
      <c r="E2984">
        <v>1140</v>
      </c>
      <c r="F2984">
        <v>29.9</v>
      </c>
      <c r="G2984"/>
      <c r="H2984">
        <v>200</v>
      </c>
      <c r="I2984"/>
      <c r="J2984"/>
      <c r="K2984" t="inlineStr">
        <is>
          <t>班会</t>
        </is>
      </c>
      <c r="L2984"/>
      <c r="M2984" t="inlineStr">
        <is>
          <t>365days、的店</t>
        </is>
      </c>
      <c r="N2984">
        <v>1259</v>
      </c>
      <c r="O2984">
        <v>4.5</v>
      </c>
      <c r="P2984">
        <v>14000</v>
      </c>
      <c r="Q2984" t="inlineStr">
        <is>
          <t>691c4bf501312b0001cbd9b0</t>
        </is>
      </c>
      <c r="R2984" t="inlineStr">
        <is>
          <t>🚫重复</t>
        </is>
      </c>
      <c r="S2984" t="inlineStr">
        <is>
          <t>中小学教辅/教材</t>
        </is>
      </c>
      <c r="T2984" t="inlineStr">
        <is>
          <t>0.91</t>
        </is>
      </c>
      <c r="U2984" s="3">
        <v>46127.906319444446</v>
      </c>
      <c r="V2984"/>
      <c r="W2984" s="3">
        <v>46127</v>
      </c>
      <c r="X2984" t="inlineStr">
        <is>
          <t>04</t>
        </is>
      </c>
      <c r="Y2984" t="inlineStr">
        <is>
          <t>2026-Q2</t>
        </is>
      </c>
    </row>
    <row r="2985" ht="38.25" customHeight="1">
      <c r="A2985" t="inlineStr">
        <is>
          <t>情绪管理主题班会PPT课件+教案+逐字稿</t>
        </is>
      </c>
      <c r="B2985" t="inlineStr">
        <is>
          <t>__upload_recvgRORR62s4h.jpg</t>
        </is>
      </c>
      <c r="C2985" s="2" t="str">
        <f>=HYPERLINK("https://xhslink.com/m/AGta60qiDSV", "https://xhslink.com/m/AGta60qiDSV")</f>
        <v>https://xhslink.com/m/AGta60qiDSV</v>
      </c>
      <c r="D2985"/>
      <c r="E2985">
        <v>1064</v>
      </c>
      <c r="F2985">
        <v>99</v>
      </c>
      <c r="G2985"/>
      <c r="H2985">
        <v>250</v>
      </c>
      <c r="I2985"/>
      <c r="J2985"/>
      <c r="K2985" t="inlineStr">
        <is>
          <t>班会</t>
        </is>
      </c>
      <c r="L2985"/>
      <c r="M2985" t="inlineStr">
        <is>
          <t>皮卡皮卡的店</t>
        </is>
      </c>
      <c r="N2985">
        <v>14000</v>
      </c>
      <c r="O2985">
        <v>4.51</v>
      </c>
      <c r="P2985">
        <v>57000</v>
      </c>
      <c r="Q2985" t="inlineStr">
        <is>
          <t>68f98a0d7d3b3f000172f9c2</t>
        </is>
      </c>
      <c r="R2985" t="inlineStr">
        <is>
          <t>🚫重复</t>
        </is>
      </c>
      <c r="S2985" t="inlineStr">
        <is>
          <t>PPT模板</t>
        </is>
      </c>
      <c r="T2985" t="inlineStr">
        <is>
          <t>0.08</t>
        </is>
      </c>
      <c r="U2985" s="3">
        <v>46127.906319444446</v>
      </c>
      <c r="V2985"/>
      <c r="W2985" s="3">
        <v>46127</v>
      </c>
      <c r="X2985" t="inlineStr">
        <is>
          <t>04</t>
        </is>
      </c>
      <c r="Y2985" t="inlineStr">
        <is>
          <t>2026-Q2</t>
        </is>
      </c>
    </row>
    <row r="2986" ht="38.25" customHeight="1">
      <c r="A2986" t="inlineStr">
        <is>
          <t>主题班会（自选主题）中小学期末主题、心理、社交、安全主题班会</t>
        </is>
      </c>
      <c r="B2986" t="inlineStr">
        <is>
          <t>__upload_recvgRORR6LAgw.jpg</t>
        </is>
      </c>
      <c r="C2986" s="2" t="str">
        <f>=HYPERLINK("https://xhslink.com/m/4YCVn8GuJmR", "https://xhslink.com/m/4YCVn8GuJmR")</f>
        <v>https://xhslink.com/m/4YCVn8GuJmR</v>
      </c>
      <c r="D2986"/>
      <c r="E2986">
        <v>918</v>
      </c>
      <c r="F2986">
        <v>39.9</v>
      </c>
      <c r="G2986"/>
      <c r="H2986">
        <v>550</v>
      </c>
      <c r="I2986"/>
      <c r="J2986"/>
      <c r="K2986" t="inlineStr">
        <is>
          <t>班会</t>
        </is>
      </c>
      <c r="L2986"/>
      <c r="M2986" t="inlineStr">
        <is>
          <t>小鱼儿老师吖的店</t>
        </is>
      </c>
      <c r="N2986">
        <v>1218</v>
      </c>
      <c r="O2986">
        <v>4.54</v>
      </c>
      <c r="P2986">
        <v>3158</v>
      </c>
      <c r="Q2986" t="inlineStr">
        <is>
          <t>6952401d6fadb7000197cdee</t>
        </is>
      </c>
      <c r="R2986" t="inlineStr">
        <is>
          <t>🚫重复</t>
        </is>
      </c>
      <c r="S2986" t="inlineStr">
        <is>
          <t>中小学教辅/教材</t>
        </is>
      </c>
      <c r="T2986" t="inlineStr">
        <is>
          <t>0.75</t>
        </is>
      </c>
      <c r="U2986" s="3">
        <v>46127.906319444446</v>
      </c>
      <c r="V2986"/>
      <c r="W2986" s="3">
        <v>46127</v>
      </c>
      <c r="X2986" t="inlineStr">
        <is>
          <t>04</t>
        </is>
      </c>
      <c r="Y2986" t="inlineStr">
        <is>
          <t>2026-Q2</t>
        </is>
      </c>
    </row>
    <row r="2987" ht="38.25" customHeight="1">
      <c r="A2987" t="inlineStr">
        <is>
          <t>2026小学初中高中主题班会课件PPT模板实时更新</t>
        </is>
      </c>
      <c r="B2987" t="inlineStr">
        <is>
          <t>__upload_recvgRORR6THCB.jpg</t>
        </is>
      </c>
      <c r="C2987" s="2" t="str">
        <f>=HYPERLINK("https://xhslink.com/m/c5KcGavnZx", "https://xhslink.com/m/c5KcGavnZx")</f>
        <v>https://xhslink.com/m/c5KcGavnZx</v>
      </c>
      <c r="D2987"/>
      <c r="E2987">
        <v>728</v>
      </c>
      <c r="F2987">
        <v>29.9</v>
      </c>
      <c r="G2987"/>
      <c r="H2987">
        <v>300</v>
      </c>
      <c r="I2987"/>
      <c r="J2987"/>
      <c r="K2987" t="inlineStr">
        <is>
          <t>班会</t>
        </is>
      </c>
      <c r="L2987"/>
      <c r="M2987" t="inlineStr">
        <is>
          <t>桃子教案集🍑的店</t>
        </is>
      </c>
      <c r="N2987">
        <v>1156</v>
      </c>
      <c r="O2987">
        <v>4.42</v>
      </c>
      <c r="P2987">
        <v>957</v>
      </c>
      <c r="Q2987" t="inlineStr">
        <is>
          <t>68f215a60dfa750001a0a8bb</t>
        </is>
      </c>
      <c r="R2987" t="inlineStr">
        <is>
          <t>🚫重复</t>
        </is>
      </c>
      <c r="S2987" t="inlineStr">
        <is>
          <t>PPT模板</t>
        </is>
      </c>
      <c r="T2987" t="inlineStr">
        <is>
          <t>0.63</t>
        </is>
      </c>
      <c r="U2987" s="3">
        <v>46127.906319444446</v>
      </c>
      <c r="V2987"/>
      <c r="W2987" s="3">
        <v>46127</v>
      </c>
      <c r="X2987" t="inlineStr">
        <is>
          <t>04</t>
        </is>
      </c>
      <c r="Y2987" t="inlineStr">
        <is>
          <t>2026-Q2</t>
        </is>
      </c>
    </row>
    <row r="2988" ht="38.25" customHeight="1">
      <c r="A2988" t="inlineStr">
        <is>
          <t>【限时6.9】人际交往班会课件—配套对应逐字稿（疯狂动物城版）</t>
        </is>
      </c>
      <c r="B2988" t="inlineStr">
        <is>
          <t>__upload_recvgRORR6zytf.jpg</t>
        </is>
      </c>
      <c r="C2988" s="2" t="str">
        <f>=HYPERLINK("https://xhslink.com/m/3EDUuE4Ahq6", "https://xhslink.com/m/3EDUuE4Ahq6")</f>
        <v>https://xhslink.com/m/3EDUuE4Ahq6</v>
      </c>
      <c r="D2988"/>
      <c r="E2988">
        <v>669</v>
      </c>
      <c r="F2988">
        <v>23.9</v>
      </c>
      <c r="G2988"/>
      <c r="H2988">
        <v>100</v>
      </c>
      <c r="I2988"/>
      <c r="J2988"/>
      <c r="K2988" t="inlineStr">
        <is>
          <t>班会</t>
        </is>
      </c>
      <c r="L2988"/>
      <c r="M2988" t="inlineStr">
        <is>
          <t>初春老师的店</t>
        </is>
      </c>
      <c r="N2988">
        <v>1774</v>
      </c>
      <c r="O2988">
        <v>4.13</v>
      </c>
      <c r="P2988">
        <v>16000</v>
      </c>
      <c r="Q2988" t="inlineStr">
        <is>
          <t>693bf90a51b8c0000151ed3f</t>
        </is>
      </c>
      <c r="R2988" t="inlineStr">
        <is>
          <t>🚫重复</t>
        </is>
      </c>
      <c r="S2988" t="inlineStr">
        <is>
          <t>中小学教辅/教材</t>
        </is>
      </c>
      <c r="T2988" t="inlineStr">
        <is>
          <t>0.38</t>
        </is>
      </c>
      <c r="U2988" s="3">
        <v>46127.906319444446</v>
      </c>
      <c r="V2988"/>
      <c r="W2988" s="3">
        <v>46127</v>
      </c>
      <c r="X2988" t="inlineStr">
        <is>
          <t>04</t>
        </is>
      </c>
      <c r="Y2988" t="inlineStr">
        <is>
          <t>2026-Q2</t>
        </is>
      </c>
    </row>
    <row r="2989" ht="38.25" customHeight="1">
      <c r="A2989" t="inlineStr">
        <is>
          <t>初中高中班主任纠假努力结局不陪你演戏学习动员主题班会课件教案</t>
        </is>
      </c>
      <c r="B2989" t="inlineStr">
        <is>
          <t>__upload_recvgRORR6KPM4.jpg</t>
        </is>
      </c>
      <c r="C2989" s="2" t="str">
        <f>=HYPERLINK("https://xhslink.com/m/3ldkIzbnR0g", "https://xhslink.com/m/3ldkIzbnR0g")</f>
        <v>https://xhslink.com/m/3ldkIzbnR0g</v>
      </c>
      <c r="D2989"/>
      <c r="E2989">
        <v>475</v>
      </c>
      <c r="F2989">
        <v>8.88</v>
      </c>
      <c r="G2989"/>
      <c r="H2989">
        <v>100</v>
      </c>
      <c r="I2989"/>
      <c r="J2989"/>
      <c r="K2989" t="inlineStr">
        <is>
          <t>班会</t>
        </is>
      </c>
      <c r="L2989"/>
      <c r="M2989" t="inlineStr">
        <is>
          <t>Cici教学工具（收徒）的店</t>
        </is>
      </c>
      <c r="N2989">
        <v>1426</v>
      </c>
      <c r="O2989">
        <v>4.42</v>
      </c>
      <c r="P2989">
        <v>10000</v>
      </c>
      <c r="Q2989" t="inlineStr">
        <is>
          <t>69537a0ed0c58a0001487942</t>
        </is>
      </c>
      <c r="R2989"/>
      <c r="S2989" t="inlineStr">
        <is>
          <t>中小学教辅/教材</t>
        </is>
      </c>
      <c r="T2989" t="inlineStr">
        <is>
          <t>0.33</t>
        </is>
      </c>
      <c r="U2989" s="3">
        <v>46127.906319444446</v>
      </c>
      <c r="V2989"/>
      <c r="W2989" s="3">
        <v>46127</v>
      </c>
      <c r="X2989" t="inlineStr">
        <is>
          <t>04</t>
        </is>
      </c>
      <c r="Y2989" t="inlineStr">
        <is>
          <t>2026-Q2</t>
        </is>
      </c>
    </row>
    <row r="2990" ht="38.25" customHeight="1">
      <c r="A2990" t="inlineStr">
        <is>
          <t>2026春季学期主题班会PPT（附教案）合集 885编号</t>
        </is>
      </c>
      <c r="B2990" t="inlineStr">
        <is>
          <t>__upload_recvgRORR6KY9K.jpg</t>
        </is>
      </c>
      <c r="C2990" s="2" t="str">
        <f>=HYPERLINK("https://xhslink.com/m/5VTsVx0wqa", "https://xhslink.com/m/5VTsVx0wqa")</f>
        <v>https://xhslink.com/m/5VTsVx0wqa</v>
      </c>
      <c r="D2990"/>
      <c r="E2990">
        <v>385</v>
      </c>
      <c r="F2990">
        <v>12.9</v>
      </c>
      <c r="G2990"/>
      <c r="H2990">
        <v>350</v>
      </c>
      <c r="I2990"/>
      <c r="J2990"/>
      <c r="K2990" t="inlineStr">
        <is>
          <t>班会</t>
        </is>
      </c>
      <c r="L2990"/>
      <c r="M2990" t="inlineStr">
        <is>
          <t>林老师教资课件的店</t>
        </is>
      </c>
      <c r="N2990">
        <v>1833</v>
      </c>
      <c r="O2990">
        <v>4.52</v>
      </c>
      <c r="P2990">
        <v>19000</v>
      </c>
      <c r="Q2990" t="inlineStr">
        <is>
          <t>698783fa265eb90001e4bca7</t>
        </is>
      </c>
      <c r="R2990"/>
      <c r="S2990" t="inlineStr">
        <is>
          <t>PPT模板</t>
        </is>
      </c>
      <c r="T2990" t="inlineStr">
        <is>
          <t>0.21</t>
        </is>
      </c>
      <c r="U2990" s="3">
        <v>46127.906319444446</v>
      </c>
      <c r="V2990"/>
      <c r="W2990" s="3">
        <v>46127</v>
      </c>
      <c r="X2990" t="inlineStr">
        <is>
          <t>04</t>
        </is>
      </c>
      <c r="Y2990" t="inlineStr">
        <is>
          <t>2026-Q2</t>
        </is>
      </c>
    </row>
    <row r="2991" ht="38.25" customHeight="1">
      <c r="A2991" t="inlineStr">
        <is>
          <t>课前互动课件开课班会家长会活跃课堂气氛PPT课件</t>
        </is>
      </c>
      <c r="B2991" t="inlineStr">
        <is>
          <t>__upload_recvgRORR6saX5.jpg</t>
        </is>
      </c>
      <c r="C2991" s="2" t="str">
        <f>=HYPERLINK("https://xhslink.com/m/5aB0gWUv0hC", "https://xhslink.com/m/5aB0gWUv0hC")</f>
        <v>https://xhslink.com/m/5aB0gWUv0hC</v>
      </c>
      <c r="D2991"/>
      <c r="E2991">
        <v>332</v>
      </c>
      <c r="F2991">
        <v>16.9</v>
      </c>
      <c r="G2991"/>
      <c r="H2991">
        <v>100</v>
      </c>
      <c r="I2991"/>
      <c r="J2991"/>
      <c r="K2991" t="inlineStr">
        <is>
          <t>班会</t>
        </is>
      </c>
      <c r="L2991"/>
      <c r="M2991" t="inlineStr">
        <is>
          <t>小月老师吖的店</t>
        </is>
      </c>
      <c r="N2991">
        <v>1151</v>
      </c>
      <c r="O2991">
        <v>4.11</v>
      </c>
      <c r="P2991">
        <v>3303</v>
      </c>
      <c r="Q2991" t="inlineStr">
        <is>
          <t>691edb5aec5b430015bc2005</t>
        </is>
      </c>
      <c r="R2991" t="inlineStr">
        <is>
          <t>🚫重复</t>
        </is>
      </c>
      <c r="S2991" t="inlineStr">
        <is>
          <t>PPT模板</t>
        </is>
      </c>
      <c r="T2991" t="inlineStr">
        <is>
          <t>0.29</t>
        </is>
      </c>
      <c r="U2991" s="3">
        <v>46127.906319444446</v>
      </c>
      <c r="V2991"/>
      <c r="W2991" s="3">
        <v>46127</v>
      </c>
      <c r="X2991" t="inlineStr">
        <is>
          <t>04</t>
        </is>
      </c>
      <c r="Y2991" t="inlineStr">
        <is>
          <t>2026-Q2</t>
        </is>
      </c>
    </row>
    <row r="2992" ht="38.25" customHeight="1">
      <c r="A2992" t="inlineStr">
        <is>
          <t>原创26普通话水平测试冲刺礼包：考前冲刺视频课+电子版资料+范读</t>
        </is>
      </c>
      <c r="B2992" t="inlineStr">
        <is>
          <t>__upload_recvgRORR6UqJX.jpg</t>
        </is>
      </c>
      <c r="C2992" s="2" t="str">
        <f>=HYPERLINK("https://xhslink.com/m/6qR5bFHzjWx", "https://xhslink.com/m/6qR5bFHzjWx")</f>
        <v>https://xhslink.com/m/6qR5bFHzjWx</v>
      </c>
      <c r="D2992"/>
      <c r="E2992">
        <v>32000</v>
      </c>
      <c r="F2992">
        <v>4.9</v>
      </c>
      <c r="G2992"/>
      <c r="H2992">
        <v>1500</v>
      </c>
      <c r="I2992"/>
      <c r="J2992"/>
      <c r="K2992" t="inlineStr">
        <is>
          <t>电子资料</t>
        </is>
      </c>
      <c r="L2992"/>
      <c r="M2992" t="inlineStr">
        <is>
          <t>炫酷小煜的店</t>
        </is>
      </c>
      <c r="N2992">
        <v>17000</v>
      </c>
      <c r="O2992">
        <v>4.49</v>
      </c>
      <c r="P2992">
        <v>38000</v>
      </c>
      <c r="Q2992" t="inlineStr">
        <is>
          <t>660427a95c3c5a00013fcbb4</t>
        </is>
      </c>
      <c r="R2992" t="inlineStr">
        <is>
          <t>🚫重复</t>
        </is>
      </c>
      <c r="S2992" t="inlineStr">
        <is>
          <t>生活成长</t>
        </is>
      </c>
      <c r="T2992" t="inlineStr">
        <is>
          <t>1.88</t>
        </is>
      </c>
      <c r="U2992" s="3">
        <v>46127.906319444446</v>
      </c>
      <c r="V2992"/>
      <c r="W2992" s="3">
        <v>46127</v>
      </c>
      <c r="X2992" t="inlineStr">
        <is>
          <t>04</t>
        </is>
      </c>
      <c r="Y2992" t="inlineStr">
        <is>
          <t>2026-Q2</t>
        </is>
      </c>
    </row>
    <row r="2993" ht="38.25" customHeight="1">
      <c r="A2993" t="inlineStr">
        <is>
          <t>2026初中语文数学英语物理化生物史地道法知识点总结电子版多版本</t>
        </is>
      </c>
      <c r="B2993" t="inlineStr">
        <is>
          <t>__upload_recvgRORR6Fljl.jpg</t>
        </is>
      </c>
      <c r="C2993" s="2" t="str">
        <f>=HYPERLINK("https://xhslink.com/m/4TLXBTfgV95", "https://xhslink.com/m/4TLXBTfgV95")</f>
        <v>https://xhslink.com/m/4TLXBTfgV95</v>
      </c>
      <c r="D2993"/>
      <c r="E2993">
        <v>27000</v>
      </c>
      <c r="F2993">
        <v>59.8</v>
      </c>
      <c r="G2993"/>
      <c r="H2993">
        <v>500</v>
      </c>
      <c r="I2993">
        <v>2000</v>
      </c>
      <c r="J2993"/>
      <c r="K2993" t="inlineStr">
        <is>
          <t>电子资料</t>
        </is>
      </c>
      <c r="L2993"/>
      <c r="M2993" t="inlineStr">
        <is>
          <t>赵老师的资料库的店</t>
        </is>
      </c>
      <c r="N2993">
        <v>16000</v>
      </c>
      <c r="O2993">
        <v>4.49</v>
      </c>
      <c r="P2993">
        <v>52000</v>
      </c>
      <c r="Q2993" t="inlineStr">
        <is>
          <t>672cd74310adb50001c57260</t>
        </is>
      </c>
      <c r="R2993" t="inlineStr">
        <is>
          <t>🚫重复</t>
        </is>
      </c>
      <c r="S2993" t="inlineStr">
        <is>
          <t>中小学教辅/教材</t>
        </is>
      </c>
      <c r="T2993" t="inlineStr">
        <is>
          <t>1.69</t>
        </is>
      </c>
      <c r="U2993" s="3">
        <v>46127.906319444446</v>
      </c>
      <c r="V2993"/>
      <c r="W2993" s="3">
        <v>46127</v>
      </c>
      <c r="X2993" t="inlineStr">
        <is>
          <t>04</t>
        </is>
      </c>
      <c r="Y2993" t="inlineStr">
        <is>
          <t>2026-Q2</t>
        </is>
      </c>
    </row>
    <row r="2994" ht="38.25" customHeight="1">
      <c r="A2994" t="inlineStr">
        <is>
          <t>2026四六级题库app激活码 备考正版题库激活</t>
        </is>
      </c>
      <c r="B2994" t="inlineStr">
        <is>
          <t>__upload_recvgRORR651YC.jpg</t>
        </is>
      </c>
      <c r="C2994" s="2" t="str">
        <f>=HYPERLINK("https://xhslink.com/m/4HyMSSNqJak", "https://xhslink.com/m/4HyMSSNqJak")</f>
        <v>https://xhslink.com/m/4HyMSSNqJak</v>
      </c>
      <c r="D2994"/>
      <c r="E2994">
        <v>26000</v>
      </c>
      <c r="F2994">
        <v>36</v>
      </c>
      <c r="G2994"/>
      <c r="H2994">
        <v>1000</v>
      </c>
      <c r="I2994"/>
      <c r="J2994"/>
      <c r="K2994" t="inlineStr">
        <is>
          <t>电子资料</t>
        </is>
      </c>
      <c r="L2994" t="inlineStr">
        <is>
          <t>🔥低粉爆款</t>
        </is>
      </c>
      <c r="M2994" t="inlineStr">
        <is>
          <t>永恒学子NF的店</t>
        </is>
      </c>
      <c r="N2994">
        <v>4169</v>
      </c>
      <c r="O2994">
        <v>4.33</v>
      </c>
      <c r="P2994">
        <v>37000</v>
      </c>
      <c r="Q2994" t="inlineStr">
        <is>
          <t>67b3ef54e0b594000165bb78</t>
        </is>
      </c>
      <c r="R2994" t="inlineStr">
        <is>
          <t>🚫重复</t>
        </is>
      </c>
      <c r="S2994" t="inlineStr">
        <is>
          <t>英语资料</t>
        </is>
      </c>
      <c r="T2994" t="inlineStr">
        <is>
          <t>6.24</t>
        </is>
      </c>
      <c r="U2994" s="3">
        <v>46127.906319444446</v>
      </c>
      <c r="V2994"/>
      <c r="W2994" s="3">
        <v>46127</v>
      </c>
      <c r="X2994" t="inlineStr">
        <is>
          <t>04</t>
        </is>
      </c>
      <c r="Y2994" t="inlineStr">
        <is>
          <t>2026-Q2</t>
        </is>
      </c>
    </row>
    <row r="2995" ht="38.25" customHeight="1">
      <c r="A2995" t="inlineStr">
        <is>
          <t>高中高三高考总复习知识解题技巧归纳总结教程资料提分课程重点</t>
        </is>
      </c>
      <c r="B2995" t="inlineStr">
        <is>
          <t>__upload_recvgRORR6v1HB.jpg</t>
        </is>
      </c>
      <c r="C2995" s="2" t="str">
        <f>=HYPERLINK("https://xhslink.com/m/15YzIsOn38G", "https://xhslink.com/m/15YzIsOn38G")</f>
        <v>https://xhslink.com/m/15YzIsOn38G</v>
      </c>
      <c r="D2995"/>
      <c r="E2995">
        <v>18000</v>
      </c>
      <c r="F2995">
        <v>39.8</v>
      </c>
      <c r="G2995"/>
      <c r="H2995">
        <v>800</v>
      </c>
      <c r="I2995"/>
      <c r="J2995"/>
      <c r="K2995" t="inlineStr">
        <is>
          <t>电子资料</t>
        </is>
      </c>
      <c r="L2995"/>
      <c r="M2995" t="inlineStr">
        <is>
          <t>发发的高中资料库的店</t>
        </is>
      </c>
      <c r="N2995">
        <v>17000</v>
      </c>
      <c r="O2995">
        <v>4.48</v>
      </c>
      <c r="P2995">
        <v>58000</v>
      </c>
      <c r="Q2995" t="inlineStr">
        <is>
          <t>6607d2b65c3c5a000156f280</t>
        </is>
      </c>
      <c r="R2995" t="inlineStr">
        <is>
          <t>🚫重复</t>
        </is>
      </c>
      <c r="S2995" t="inlineStr">
        <is>
          <t>高中/高考资料</t>
        </is>
      </c>
      <c r="T2995" t="inlineStr">
        <is>
          <t>1.06</t>
        </is>
      </c>
      <c r="U2995" s="3">
        <v>46127.906319444446</v>
      </c>
      <c r="V2995"/>
      <c r="W2995" s="3">
        <v>46127</v>
      </c>
      <c r="X2995" t="inlineStr">
        <is>
          <t>04</t>
        </is>
      </c>
      <c r="Y2995" t="inlineStr">
        <is>
          <t>2026-Q2</t>
        </is>
      </c>
    </row>
    <row r="2996" ht="38.25" customHeight="1">
      <c r="A2996" t="inlineStr">
        <is>
          <t>课前互动小游戏公开课活跃课堂气氛PPT课件（拍下自动发网盘）</t>
        </is>
      </c>
      <c r="B2996" t="inlineStr">
        <is>
          <t>__upload_recvgRORR6WXvQ.jpg</t>
        </is>
      </c>
      <c r="C2996" s="2" t="str">
        <f>=HYPERLINK("https://xhslink.com/m/37nFZjrEiB8", "https://xhslink.com/m/37nFZjrEiB8")</f>
        <v>https://xhslink.com/m/37nFZjrEiB8</v>
      </c>
      <c r="D2996"/>
      <c r="E2996">
        <v>17000</v>
      </c>
      <c r="F2996">
        <v>56.9</v>
      </c>
      <c r="G2996"/>
      <c r="H2996">
        <v>750</v>
      </c>
      <c r="I2996">
        <v>3000</v>
      </c>
      <c r="J2996"/>
      <c r="K2996" t="inlineStr">
        <is>
          <t>电子资料</t>
        </is>
      </c>
      <c r="L2996" t="inlineStr">
        <is>
          <t>🔥低粉爆款</t>
        </is>
      </c>
      <c r="M2996" t="inlineStr">
        <is>
          <t>小可学姐的店</t>
        </is>
      </c>
      <c r="N2996">
        <v>1724</v>
      </c>
      <c r="O2996">
        <v>4.42</v>
      </c>
      <c r="P2996">
        <v>26000</v>
      </c>
      <c r="Q2996" t="inlineStr">
        <is>
          <t>69671ddcd07ba000019c9e7f</t>
        </is>
      </c>
      <c r="R2996" t="inlineStr">
        <is>
          <t>🚫重复</t>
        </is>
      </c>
      <c r="S2996" t="inlineStr">
        <is>
          <t>PPT模板</t>
        </is>
      </c>
      <c r="T2996" t="inlineStr">
        <is>
          <t>9.86</t>
        </is>
      </c>
      <c r="U2996" s="3">
        <v>46127.906319444446</v>
      </c>
      <c r="V2996"/>
      <c r="W2996" s="3">
        <v>46127</v>
      </c>
      <c r="X2996" t="inlineStr">
        <is>
          <t>04</t>
        </is>
      </c>
      <c r="Y2996" t="inlineStr">
        <is>
          <t>2026-Q2</t>
        </is>
      </c>
    </row>
    <row r="2997" ht="38.25" customHeight="1">
      <c r="A2997" t="inlineStr">
        <is>
          <t>虚拟文创定制 -（电子版） 老王指导笔记本持续更新中</t>
        </is>
      </c>
      <c r="B2997" t="inlineStr">
        <is>
          <t>__upload_recvgRORR6Xot3.jpg</t>
        </is>
      </c>
      <c r="C2997" s="2" t="str">
        <f>=HYPERLINK("https://xhslink.com/m/3RJ29UsVcCQ", "https://xhslink.com/m/3RJ29UsVcCQ")</f>
        <v>https://xhslink.com/m/3RJ29UsVcCQ</v>
      </c>
      <c r="D2997"/>
      <c r="E2997">
        <v>17000</v>
      </c>
      <c r="F2997">
        <v>49.9</v>
      </c>
      <c r="G2997"/>
      <c r="H2997">
        <v>100</v>
      </c>
      <c r="I2997"/>
      <c r="J2997"/>
      <c r="K2997" t="inlineStr">
        <is>
          <t>电子资料</t>
        </is>
      </c>
      <c r="L2997"/>
      <c r="M2997" t="inlineStr">
        <is>
          <t>老王丨KP通关指导的店</t>
        </is>
      </c>
      <c r="N2997">
        <v>26000</v>
      </c>
      <c r="O2997">
        <v>4.06</v>
      </c>
      <c r="P2997">
        <v>17000</v>
      </c>
      <c r="Q2997" t="inlineStr">
        <is>
          <t>66865c81d042ed0001133abb</t>
        </is>
      </c>
      <c r="R2997"/>
      <c r="S2997" t="inlineStr">
        <is>
          <t>英语资料</t>
        </is>
      </c>
      <c r="T2997" t="inlineStr">
        <is>
          <t>0.65</t>
        </is>
      </c>
      <c r="U2997" s="3">
        <v>46127.906319444446</v>
      </c>
      <c r="V2997"/>
      <c r="W2997" s="3">
        <v>46127</v>
      </c>
      <c r="X2997" t="inlineStr">
        <is>
          <t>04</t>
        </is>
      </c>
      <c r="Y2997" t="inlineStr">
        <is>
          <t>2026-Q2</t>
        </is>
      </c>
    </row>
    <row r="2998" ht="38.25" customHeight="1">
      <c r="A2998" t="inlineStr">
        <is>
          <t>雅思大小作文冲刺6.5分（保命文档）已帮助上千宝子成功上岸！</t>
        </is>
      </c>
      <c r="B2998" t="inlineStr">
        <is>
          <t>__upload_recvgRORR6vUx9.jpg</t>
        </is>
      </c>
      <c r="C2998" s="2" t="str">
        <f>=HYPERLINK("https://xhslink.com/m/6Tc8cZuWc7z", "https://xhslink.com/m/6Tc8cZuWc7z")</f>
        <v>https://xhslink.com/m/6Tc8cZuWc7z</v>
      </c>
      <c r="D2998"/>
      <c r="E2998">
        <v>17000</v>
      </c>
      <c r="F2998">
        <v>59</v>
      </c>
      <c r="G2998"/>
      <c r="H2998">
        <v>300</v>
      </c>
      <c r="I2998"/>
      <c r="J2998"/>
      <c r="K2998" t="inlineStr">
        <is>
          <t>电子资料</t>
        </is>
      </c>
      <c r="L2998"/>
      <c r="M2998" t="inlineStr">
        <is>
          <t>考雅过过过的店</t>
        </is>
      </c>
      <c r="N2998">
        <v>21000</v>
      </c>
      <c r="O2998">
        <v>4.6</v>
      </c>
      <c r="P2998">
        <v>41000</v>
      </c>
      <c r="Q2998" t="inlineStr">
        <is>
          <t>66d5eea90cfd4b000148eb18</t>
        </is>
      </c>
      <c r="R2998" t="inlineStr">
        <is>
          <t>🚫重复</t>
        </is>
      </c>
      <c r="S2998" t="inlineStr">
        <is>
          <t>英语资料</t>
        </is>
      </c>
      <c r="T2998" t="inlineStr">
        <is>
          <t>0.81</t>
        </is>
      </c>
      <c r="U2998" s="3">
        <v>46127.906319444446</v>
      </c>
      <c r="V2998"/>
      <c r="W2998" s="3">
        <v>46127</v>
      </c>
      <c r="X2998" t="inlineStr">
        <is>
          <t>04</t>
        </is>
      </c>
      <c r="Y2998" t="inlineStr">
        <is>
          <t>2026-Q2</t>
        </is>
      </c>
    </row>
    <row r="2999" ht="38.25" customHeight="1">
      <c r="A2999" t="inlineStr">
        <is>
          <t>最新100个申论必看热点·电子版自动发货·持续更新中</t>
        </is>
      </c>
      <c r="B2999" t="inlineStr">
        <is>
          <t>__upload_recvgRORR63wVK.jpg</t>
        </is>
      </c>
      <c r="C2999" s="2" t="str">
        <f>=HYPERLINK("https://xhslink.com/m/3l0GRtLlmrs", "https://xhslink.com/m/3l0GRtLlmrs")</f>
        <v>https://xhslink.com/m/3l0GRtLlmrs</v>
      </c>
      <c r="D2999"/>
      <c r="E2999">
        <v>14000</v>
      </c>
      <c r="F2999">
        <v>39.9</v>
      </c>
      <c r="G2999"/>
      <c r="H2999">
        <v>100</v>
      </c>
      <c r="I2999"/>
      <c r="J2999"/>
      <c r="K2999" t="inlineStr">
        <is>
          <t>电子资料</t>
        </is>
      </c>
      <c r="L2999"/>
      <c r="M2999" t="inlineStr">
        <is>
          <t>手把手学申论的店</t>
        </is>
      </c>
      <c r="N2999">
        <v>85000</v>
      </c>
      <c r="O2999">
        <v>4.13</v>
      </c>
      <c r="P2999">
        <v>15000</v>
      </c>
      <c r="Q2999" t="inlineStr">
        <is>
          <t>654f90e644a0ce0001291b79</t>
        </is>
      </c>
      <c r="R2999" t="inlineStr">
        <is>
          <t>🚫重复</t>
        </is>
      </c>
      <c r="S2999" t="inlineStr">
        <is>
          <t>考公资料</t>
        </is>
      </c>
      <c r="T2999" t="inlineStr">
        <is>
          <t>0.16</t>
        </is>
      </c>
      <c r="U2999" s="3">
        <v>46127.906319444446</v>
      </c>
      <c r="V2999"/>
      <c r="W2999" s="3">
        <v>46127</v>
      </c>
      <c r="X2999" t="inlineStr">
        <is>
          <t>04</t>
        </is>
      </c>
      <c r="Y2999" t="inlineStr">
        <is>
          <t>2026-Q2</t>
        </is>
      </c>
    </row>
    <row r="3000" ht="38.25" customHeight="1">
      <c r="A3000" t="inlineStr">
        <is>
          <t>（初中/高中）英语教资面试/笔试（逐字稿+知识点+思维导图）PDF</t>
        </is>
      </c>
      <c r="B3000" t="inlineStr">
        <is>
          <t>__upload_recvgRORR6JgUL.jpg</t>
        </is>
      </c>
      <c r="C3000" s="2" t="str">
        <f>=HYPERLINK("https://xhslink.com/m/4bx88mpvE4k", "https://xhslink.com/m/4bx88mpvE4k")</f>
        <v>https://xhslink.com/m/4bx88mpvE4k</v>
      </c>
      <c r="D3000"/>
      <c r="E3000">
        <v>12000</v>
      </c>
      <c r="F3000">
        <v>66.88</v>
      </c>
      <c r="G3000"/>
      <c r="H3000">
        <v>200</v>
      </c>
      <c r="I3000"/>
      <c r="J3000"/>
      <c r="K3000" t="inlineStr">
        <is>
          <t>电子资料</t>
        </is>
      </c>
      <c r="L3000"/>
      <c r="M3000" t="inlineStr">
        <is>
          <t>藕泥没有酱的店</t>
        </is>
      </c>
      <c r="N3000">
        <v>51000</v>
      </c>
      <c r="O3000">
        <v>4.65</v>
      </c>
      <c r="P3000">
        <v>15000</v>
      </c>
      <c r="Q3000" t="inlineStr">
        <is>
          <t>68a456ea1745f6000118eaa8</t>
        </is>
      </c>
      <c r="R3000" t="inlineStr">
        <is>
          <t>🚫重复</t>
        </is>
      </c>
      <c r="S3000" t="inlineStr">
        <is>
          <t>教资资料</t>
        </is>
      </c>
      <c r="T3000" t="inlineStr">
        <is>
          <t>0.24</t>
        </is>
      </c>
      <c r="U3000" s="3">
        <v>46127.906319444446</v>
      </c>
      <c r="V3000"/>
      <c r="W3000" s="3">
        <v>46127</v>
      </c>
      <c r="X3000" t="inlineStr">
        <is>
          <t>04</t>
        </is>
      </c>
      <c r="Y3000" t="inlineStr">
        <is>
          <t>2026-Q2</t>
        </is>
      </c>
    </row>
    <row r="3001" ht="38.25" customHeight="1">
      <c r="A3001" t="inlineStr">
        <is>
          <t>雅思大小作文冲刺6.5分（保命文档）已帮助上千宝子成功上岸！</t>
        </is>
      </c>
      <c r="B3001" t="inlineStr">
        <is>
          <t>__upload_recvgRORR6SUps.jpg</t>
        </is>
      </c>
      <c r="C3001" s="2" t="str">
        <f>=HYPERLINK("https://xhslink.com/m/WbwrG0BYDY", "https://xhslink.com/m/WbwrG0BYDY")</f>
        <v>https://xhslink.com/m/WbwrG0BYDY</v>
      </c>
      <c r="D3001"/>
      <c r="E3001">
        <v>17000</v>
      </c>
      <c r="F3001">
        <v>69</v>
      </c>
      <c r="G3001"/>
      <c r="H3001">
        <v>300</v>
      </c>
      <c r="I3001"/>
      <c r="J3001"/>
      <c r="K3001" t="inlineStr">
        <is>
          <t>电子资料</t>
        </is>
      </c>
      <c r="L3001"/>
      <c r="M3001" t="inlineStr">
        <is>
          <t>考雅过过过的店</t>
        </is>
      </c>
      <c r="N3001">
        <v>21000</v>
      </c>
      <c r="O3001">
        <v>4.6</v>
      </c>
      <c r="P3001">
        <v>41000</v>
      </c>
      <c r="Q3001" t="inlineStr">
        <is>
          <t>66d5eea90cfd4b000148eb1e</t>
        </is>
      </c>
      <c r="R3001" t="inlineStr">
        <is>
          <t>🚫重复</t>
        </is>
      </c>
      <c r="S3001" t="inlineStr">
        <is>
          <t>英语资料</t>
        </is>
      </c>
      <c r="T3001" t="inlineStr">
        <is>
          <t>0.81</t>
        </is>
      </c>
      <c r="U3001" s="3">
        <v>46127.906319444446</v>
      </c>
      <c r="V3001"/>
      <c r="W3001" s="3">
        <v>46127</v>
      </c>
      <c r="X3001" t="inlineStr">
        <is>
          <t>04</t>
        </is>
      </c>
      <c r="Y3001" t="inlineStr">
        <is>
          <t>2026-Q2</t>
        </is>
      </c>
    </row>
    <row r="3002" ht="38.25" customHeight="1">
      <c r="A3002" t="inlineStr">
        <is>
          <t>26下教资笔试中小幼科一科二资料+网课全套资料【电子版】</t>
        </is>
      </c>
      <c r="B3002" t="inlineStr">
        <is>
          <t>__upload_recvh3WF3mn3LA.jpg</t>
        </is>
      </c>
      <c r="C3002" s="2" t="str">
        <f>=HYPERLINK("https://xhslink.com/m/AtYi7JMrHB6", "https://xhslink.com/m/AtYi7JMrHB6")</f>
        <v>https://xhslink.com/m/AtYi7JMrHB6</v>
      </c>
      <c r="D3002"/>
      <c r="E3002">
        <v>6006</v>
      </c>
      <c r="F3002">
        <v>19.9</v>
      </c>
      <c r="G3002"/>
      <c r="H3002">
        <v>2000</v>
      </c>
      <c r="I3002">
        <v>5000</v>
      </c>
      <c r="J3002"/>
      <c r="K3002" t="inlineStr">
        <is>
          <t>教师资格证</t>
        </is>
      </c>
      <c r="L3002" t="inlineStr">
        <is>
          <t>🔥低粉爆款</t>
        </is>
      </c>
      <c r="M3002" t="inlineStr">
        <is>
          <t>是青提子吖的店</t>
        </is>
      </c>
      <c r="N3002">
        <v>385</v>
      </c>
      <c r="O3002">
        <v>4.62</v>
      </c>
      <c r="P3002">
        <v>5967</v>
      </c>
      <c r="Q3002" t="inlineStr">
        <is>
          <t>691b039cd4669a0001ebcb90</t>
        </is>
      </c>
      <c r="R3002" t="inlineStr">
        <is>
          <t>🚫重复</t>
        </is>
      </c>
      <c r="S3002" t="inlineStr">
        <is>
          <t>教资资料</t>
        </is>
      </c>
      <c r="T3002" t="inlineStr">
        <is>
          <t>15.60</t>
        </is>
      </c>
      <c r="U3002" s="3">
        <v>46129.98012731481</v>
      </c>
      <c r="V3002"/>
      <c r="W3002" s="3">
        <v>46129</v>
      </c>
      <c r="X3002" t="inlineStr">
        <is>
          <t>04</t>
        </is>
      </c>
      <c r="Y3002" t="inlineStr">
        <is>
          <t>2026-Q2</t>
        </is>
      </c>
    </row>
    <row r="3003" ht="38.25" customHeight="1">
      <c r="A3003" t="inlineStr">
        <is>
          <t>上岸熊 · 高中教资笔试科一科二科三学精简版霸笔记/网课/真题</t>
        </is>
      </c>
      <c r="B3003" t="inlineStr">
        <is>
          <t>__upload_recvh3WF3m7GiU.jpg</t>
        </is>
      </c>
      <c r="C3003" s="2" t="str">
        <f>=HYPERLINK("https://xhslink.com/m/5tScHsXOc63", "https://xhslink.com/m/5tScHsXOc63")</f>
        <v>https://xhslink.com/m/5tScHsXOc63</v>
      </c>
      <c r="D3003"/>
      <c r="E3003">
        <v>5570</v>
      </c>
      <c r="F3003">
        <v>59.8</v>
      </c>
      <c r="G3003"/>
      <c r="H3003">
        <v>200</v>
      </c>
      <c r="I3003"/>
      <c r="J3003"/>
      <c r="K3003" t="inlineStr">
        <is>
          <t>教师资格证</t>
        </is>
      </c>
      <c r="L3003"/>
      <c r="M3003" t="inlineStr">
        <is>
          <t>子悠学姐（资料版）的店</t>
        </is>
      </c>
      <c r="N3003">
        <v>6395</v>
      </c>
      <c r="O3003">
        <v>4.33</v>
      </c>
      <c r="P3003">
        <v>56000</v>
      </c>
      <c r="Q3003" t="inlineStr">
        <is>
          <t>6969057b5c204c00019075a9</t>
        </is>
      </c>
      <c r="R3003" t="inlineStr">
        <is>
          <t>🚫重复</t>
        </is>
      </c>
      <c r="S3003" t="inlineStr">
        <is>
          <t>教资资料</t>
        </is>
      </c>
      <c r="T3003" t="inlineStr">
        <is>
          <t>0.87</t>
        </is>
      </c>
      <c r="U3003" s="3">
        <v>46129.98012731481</v>
      </c>
      <c r="V3003"/>
      <c r="W3003" s="3">
        <v>46129</v>
      </c>
      <c r="X3003" t="inlineStr">
        <is>
          <t>04</t>
        </is>
      </c>
      <c r="Y3003" t="inlineStr">
        <is>
          <t>2026-Q2</t>
        </is>
      </c>
    </row>
    <row r="3004" ht="38.25" customHeight="1">
      <c r="A3004" t="inlineStr">
        <is>
          <t>2026下美术教师资格证科三初中高中学科知识与教学能力核心笔记</t>
        </is>
      </c>
      <c r="B3004" t="inlineStr">
        <is>
          <t>__upload_recvh3WF3m3cDW.jpg</t>
        </is>
      </c>
      <c r="C3004" s="2" t="str">
        <f>=HYPERLINK("https://xhslink.com/m/8hxKVeJTlDS", "https://xhslink.com/m/8hxKVeJTlDS")</f>
        <v>https://xhslink.com/m/8hxKVeJTlDS</v>
      </c>
      <c r="D3004"/>
      <c r="E3004">
        <v>4249</v>
      </c>
      <c r="F3004">
        <v>56.9</v>
      </c>
      <c r="G3004"/>
      <c r="H3004">
        <v>200</v>
      </c>
      <c r="I3004"/>
      <c r="J3004"/>
      <c r="K3004" t="inlineStr">
        <is>
          <t>教师资格证</t>
        </is>
      </c>
      <c r="L3004"/>
      <c r="M3004" t="inlineStr">
        <is>
          <t>易新教育的店</t>
        </is>
      </c>
      <c r="N3004">
        <v>1936</v>
      </c>
      <c r="O3004">
        <v>4.42</v>
      </c>
      <c r="P3004">
        <v>11000</v>
      </c>
      <c r="Q3004" t="inlineStr">
        <is>
          <t>6880eed202d7b000010cf328</t>
        </is>
      </c>
      <c r="R3004" t="inlineStr">
        <is>
          <t>🚫重复</t>
        </is>
      </c>
      <c r="S3004" t="inlineStr">
        <is>
          <t>教资资料</t>
        </is>
      </c>
      <c r="T3004" t="inlineStr">
        <is>
          <t>2.19</t>
        </is>
      </c>
      <c r="U3004" s="3">
        <v>46129.98012731481</v>
      </c>
      <c r="V3004"/>
      <c r="W3004" s="3">
        <v>46129</v>
      </c>
      <c r="X3004" t="inlineStr">
        <is>
          <t>04</t>
        </is>
      </c>
      <c r="Y3004" t="inlineStr">
        <is>
          <t>2026-Q2</t>
        </is>
      </c>
    </row>
    <row r="3005" ht="38.25" customHeight="1">
      <c r="A3005" t="inlineStr">
        <is>
          <t>26年下教资笔试中小幼教师资格证笔试科目一二【电子版资料】</t>
        </is>
      </c>
      <c r="B3005" t="inlineStr">
        <is>
          <t>__upload_recvh3WF3mKV58.jpg</t>
        </is>
      </c>
      <c r="C3005" s="2" t="str">
        <f>=HYPERLINK("https://xhslink.com/m/403um7xXUmG", "https://xhslink.com/m/403um7xXUmG")</f>
        <v>https://xhslink.com/m/403um7xXUmG</v>
      </c>
      <c r="D3005"/>
      <c r="E3005">
        <v>3282</v>
      </c>
      <c r="F3005">
        <v>19.9</v>
      </c>
      <c r="G3005"/>
      <c r="H3005">
        <v>1500</v>
      </c>
      <c r="I3005"/>
      <c r="J3005"/>
      <c r="K3005" t="inlineStr">
        <is>
          <t>教师资格证</t>
        </is>
      </c>
      <c r="L3005"/>
      <c r="M3005" t="inlineStr">
        <is>
          <t>意嘉嘉的店</t>
        </is>
      </c>
      <c r="N3005">
        <v>19000</v>
      </c>
      <c r="O3005">
        <v>4.6</v>
      </c>
      <c r="P3005">
        <v>21000</v>
      </c>
      <c r="Q3005" t="inlineStr">
        <is>
          <t>695bd027a35123000143b7ee</t>
        </is>
      </c>
      <c r="R3005" t="inlineStr">
        <is>
          <t>🚫重复</t>
        </is>
      </c>
      <c r="S3005" t="inlineStr">
        <is>
          <t>教资资料</t>
        </is>
      </c>
      <c r="T3005" t="inlineStr">
        <is>
          <t>0.17</t>
        </is>
      </c>
      <c r="U3005" s="3">
        <v>46129.98012731481</v>
      </c>
      <c r="V3005"/>
      <c r="W3005" s="3">
        <v>46129</v>
      </c>
      <c r="X3005" t="inlineStr">
        <is>
          <t>04</t>
        </is>
      </c>
      <c r="Y3005" t="inlineStr">
        <is>
          <t>2026-Q2</t>
        </is>
      </c>
    </row>
    <row r="3006" ht="38.25" customHeight="1">
      <c r="A3006" t="inlineStr">
        <is>
          <t>2026年教资笔试重点笔记、模板、精讲网课</t>
        </is>
      </c>
      <c r="B3006" t="inlineStr">
        <is>
          <t>__upload_recvh3WF3m47Z4.jpg</t>
        </is>
      </c>
      <c r="C3006" s="2" t="str">
        <f>=HYPERLINK("https://xhslink.com/m/3KUztgNcCXK", "https://xhslink.com/m/3KUztgNcCXK")</f>
        <v>https://xhslink.com/m/3KUztgNcCXK</v>
      </c>
      <c r="D3006"/>
      <c r="E3006">
        <v>1387</v>
      </c>
      <c r="F3006">
        <v>19.9</v>
      </c>
      <c r="G3006"/>
      <c r="H3006">
        <v>950</v>
      </c>
      <c r="I3006"/>
      <c r="J3006"/>
      <c r="K3006" t="inlineStr">
        <is>
          <t>教师资格证</t>
        </is>
      </c>
      <c r="L3006" t="inlineStr">
        <is>
          <t>🔥低粉爆款</t>
        </is>
      </c>
      <c r="M3006" t="inlineStr">
        <is>
          <t>不想变苦瓜的店</t>
        </is>
      </c>
      <c r="N3006">
        <v>208</v>
      </c>
      <c r="O3006">
        <v>4.61</v>
      </c>
      <c r="P3006">
        <v>1363</v>
      </c>
      <c r="Q3006" t="inlineStr">
        <is>
          <t>699d9897c3a4860001a521d3</t>
        </is>
      </c>
      <c r="R3006"/>
      <c r="S3006" t="inlineStr">
        <is>
          <t>教资资料</t>
        </is>
      </c>
      <c r="T3006" t="inlineStr">
        <is>
          <t>6.67</t>
        </is>
      </c>
      <c r="U3006" s="3">
        <v>46129.98012731481</v>
      </c>
      <c r="V3006"/>
      <c r="W3006" s="3">
        <v>46129</v>
      </c>
      <c r="X3006" t="inlineStr">
        <is>
          <t>04</t>
        </is>
      </c>
      <c r="Y3006" t="inlineStr">
        <is>
          <t>2026-Q2</t>
        </is>
      </c>
    </row>
    <row r="3007" ht="38.25" customHeight="1">
      <c r="A3007" t="inlineStr">
        <is>
          <t>高中政治教资试讲优课资源</t>
        </is>
      </c>
      <c r="B3007" t="inlineStr">
        <is>
          <t>__upload_recvh3WF3mS3NB.jpg</t>
        </is>
      </c>
      <c r="C3007" s="2" t="str">
        <f>=HYPERLINK("https://xhslink.com/m/6vScYtxtj9C", "https://xhslink.com/m/6vScYtxtj9C")</f>
        <v>https://xhslink.com/m/6vScYtxtj9C</v>
      </c>
      <c r="D3007"/>
      <c r="E3007">
        <v>999</v>
      </c>
      <c r="F3007">
        <v>118</v>
      </c>
      <c r="G3007"/>
      <c r="H3007">
        <v>550</v>
      </c>
      <c r="I3007"/>
      <c r="J3007"/>
      <c r="K3007" t="inlineStr">
        <is>
          <t>教师资格证</t>
        </is>
      </c>
      <c r="L3007"/>
      <c r="M3007" t="inlineStr">
        <is>
          <t>巧学政治的店</t>
        </is>
      </c>
      <c r="N3007">
        <v>2442</v>
      </c>
      <c r="O3007">
        <v>4.42</v>
      </c>
      <c r="P3007">
        <v>7619</v>
      </c>
      <c r="Q3007" t="inlineStr">
        <is>
          <t>69a5c134a39d6500018b0abe</t>
        </is>
      </c>
      <c r="R3007"/>
      <c r="S3007" t="inlineStr">
        <is>
          <t>教资资料</t>
        </is>
      </c>
      <c r="T3007" t="inlineStr">
        <is>
          <t>0.41</t>
        </is>
      </c>
      <c r="U3007" s="3">
        <v>46129.98012731481</v>
      </c>
      <c r="V3007"/>
      <c r="W3007" s="3">
        <v>46129</v>
      </c>
      <c r="X3007" t="inlineStr">
        <is>
          <t>04</t>
        </is>
      </c>
      <c r="Y3007" t="inlineStr">
        <is>
          <t>2026-Q2</t>
        </is>
      </c>
    </row>
    <row r="3008" ht="38.25" customHeight="1">
      <c r="A3008" t="inlineStr">
        <is>
          <t>（初中/高中）英语教资面试/笔试（逐字稿+知识点+思维导图）PDF</t>
        </is>
      </c>
      <c r="B3008" t="inlineStr">
        <is>
          <t>__upload_recvh3WF3mGzUG.jpg</t>
        </is>
      </c>
      <c r="C3008" s="2" t="str">
        <f>=HYPERLINK("https://xhslink.com/m/1NiXRUCnAn2", "https://xhslink.com/m/1NiXRUCnAn2")</f>
        <v>https://xhslink.com/m/1NiXRUCnAn2</v>
      </c>
      <c r="D3008"/>
      <c r="E3008">
        <v>13000</v>
      </c>
      <c r="F3008">
        <v>39.9</v>
      </c>
      <c r="G3008"/>
      <c r="H3008">
        <v>250</v>
      </c>
      <c r="I3008"/>
      <c r="J3008"/>
      <c r="K3008" t="inlineStr">
        <is>
          <t>PDF</t>
        </is>
      </c>
      <c r="L3008"/>
      <c r="M3008" t="inlineStr">
        <is>
          <t>藕泥没有酱的店</t>
        </is>
      </c>
      <c r="N3008">
        <v>51000</v>
      </c>
      <c r="O3008">
        <v>4.65</v>
      </c>
      <c r="P3008">
        <v>15000</v>
      </c>
      <c r="Q3008" t="inlineStr">
        <is>
          <t>66efee4f62ddc5000124a470</t>
        </is>
      </c>
      <c r="R3008" t="inlineStr">
        <is>
          <t>🚫重复</t>
        </is>
      </c>
      <c r="S3008" t="inlineStr">
        <is>
          <t>教资资料</t>
        </is>
      </c>
      <c r="T3008" t="inlineStr">
        <is>
          <t>0.25</t>
        </is>
      </c>
      <c r="U3008" s="3">
        <v>46129.98012731481</v>
      </c>
      <c r="V3008"/>
      <c r="W3008" s="3">
        <v>46129</v>
      </c>
      <c r="X3008" t="inlineStr">
        <is>
          <t>04</t>
        </is>
      </c>
      <c r="Y3008" t="inlineStr">
        <is>
          <t>2026-Q2</t>
        </is>
      </c>
    </row>
    <row r="3009" ht="38.25" customHeight="1">
      <c r="A3009" t="inlineStr">
        <is>
          <t>【多维全练】高中数学PDF+word基础提分</t>
        </is>
      </c>
      <c r="B3009" t="inlineStr">
        <is>
          <t>__upload_recvh3WF3mYhI1.jpg</t>
        </is>
      </c>
      <c r="C3009" s="2" t="str">
        <f>=HYPERLINK("https://xhslink.com/m/7Smd0nfm6w8", "https://xhslink.com/m/7Smd0nfm6w8")</f>
        <v>https://xhslink.com/m/7Smd0nfm6w8</v>
      </c>
      <c r="D3009"/>
      <c r="E3009">
        <v>4509</v>
      </c>
      <c r="F3009">
        <v>340</v>
      </c>
      <c r="G3009"/>
      <c r="H3009">
        <v>300</v>
      </c>
      <c r="I3009"/>
      <c r="J3009"/>
      <c r="K3009" t="inlineStr">
        <is>
          <t>PDF</t>
        </is>
      </c>
      <c r="L3009"/>
      <c r="M3009" t="inlineStr">
        <is>
          <t>轻峰教育的店</t>
        </is>
      </c>
      <c r="N3009">
        <v>10000</v>
      </c>
      <c r="O3009">
        <v>4.44</v>
      </c>
      <c r="P3009">
        <v>10000</v>
      </c>
      <c r="Q3009" t="inlineStr">
        <is>
          <t>6874c0084485460001e69bfa</t>
        </is>
      </c>
      <c r="R3009" t="inlineStr">
        <is>
          <t>🚫重复</t>
        </is>
      </c>
      <c r="S3009" t="inlineStr">
        <is>
          <t>高中/高考资料</t>
        </is>
      </c>
      <c r="T3009" t="inlineStr">
        <is>
          <t>0.45</t>
        </is>
      </c>
      <c r="U3009" s="3">
        <v>46129.98012731481</v>
      </c>
      <c r="V3009"/>
      <c r="W3009" s="3">
        <v>46129</v>
      </c>
      <c r="X3009" t="inlineStr">
        <is>
          <t>04</t>
        </is>
      </c>
      <c r="Y3009" t="inlineStr">
        <is>
          <t>2026-Q2</t>
        </is>
      </c>
    </row>
    <row r="3010" ht="38.25" customHeight="1">
      <c r="A3010" t="inlineStr">
        <is>
          <t>一二年级看图写话专项练习  PDF电子版，非实物</t>
        </is>
      </c>
      <c r="B3010" t="inlineStr">
        <is>
          <t>__upload_recvh3WF3mxZuJ.jpg</t>
        </is>
      </c>
      <c r="C3010" s="2" t="str">
        <f>=HYPERLINK("https://xhslink.com/m/AZ3EsWKYZU8", "https://xhslink.com/m/AZ3EsWKYZU8")</f>
        <v>https://xhslink.com/m/AZ3EsWKYZU8</v>
      </c>
      <c r="D3010"/>
      <c r="E3010">
        <v>3149</v>
      </c>
      <c r="F3010">
        <v>5.9</v>
      </c>
      <c r="G3010"/>
      <c r="H3010">
        <v>300</v>
      </c>
      <c r="I3010">
        <v>1000</v>
      </c>
      <c r="J3010"/>
      <c r="K3010" t="inlineStr">
        <is>
          <t>PDF</t>
        </is>
      </c>
      <c r="L3010"/>
      <c r="M3010" t="inlineStr">
        <is>
          <t>余老师爱分享的店</t>
        </is>
      </c>
      <c r="N3010">
        <v>6950</v>
      </c>
      <c r="O3010">
        <v>4.39</v>
      </c>
      <c r="P3010">
        <v>34000</v>
      </c>
      <c r="Q3010" t="inlineStr">
        <is>
          <t>69204e4601312b0001fa92a7</t>
        </is>
      </c>
      <c r="R3010" t="inlineStr">
        <is>
          <t>🚫重复</t>
        </is>
      </c>
      <c r="S3010" t="inlineStr">
        <is>
          <t>中小学教辅/教材</t>
        </is>
      </c>
      <c r="T3010" t="inlineStr">
        <is>
          <t>0.45</t>
        </is>
      </c>
      <c r="U3010" s="3">
        <v>46129.98012731481</v>
      </c>
      <c r="V3010"/>
      <c r="W3010" s="3">
        <v>46129</v>
      </c>
      <c r="X3010" t="inlineStr">
        <is>
          <t>04</t>
        </is>
      </c>
      <c r="Y3010" t="inlineStr">
        <is>
          <t>2026-Q2</t>
        </is>
      </c>
    </row>
    <row r="3011" ht="38.25" customHeight="1">
      <c r="A3011" t="inlineStr">
        <is>
          <t>中小学推荐书阅读测试题PDF+word电子版（有答案）买5套立减15元</t>
        </is>
      </c>
      <c r="B3011" t="inlineStr">
        <is>
          <t>__upload_recvh3WF3mdsBq.jpg</t>
        </is>
      </c>
      <c r="C3011" s="2" t="str">
        <f>=HYPERLINK("https://xhslink.com/m/22nHeOBZzZg", "https://xhslink.com/m/22nHeOBZzZg")</f>
        <v>https://xhslink.com/m/22nHeOBZzZg</v>
      </c>
      <c r="D3011"/>
      <c r="E3011">
        <v>3069</v>
      </c>
      <c r="F3011">
        <v>168</v>
      </c>
      <c r="G3011"/>
      <c r="H3011">
        <v>200</v>
      </c>
      <c r="I3011"/>
      <c r="J3011"/>
      <c r="K3011" t="inlineStr">
        <is>
          <t>PDF</t>
        </is>
      </c>
      <c r="L3011"/>
      <c r="M3011" t="inlineStr">
        <is>
          <t>教阅读的刘老师的店</t>
        </is>
      </c>
      <c r="N3011">
        <v>3665</v>
      </c>
      <c r="O3011">
        <v>4.2</v>
      </c>
      <c r="P3011">
        <v>5984</v>
      </c>
      <c r="Q3011" t="inlineStr">
        <is>
          <t>6764d99079f3cb00017a7e1d</t>
        </is>
      </c>
      <c r="R3011"/>
      <c r="S3011" t="inlineStr">
        <is>
          <t>中小学教辅/教材</t>
        </is>
      </c>
      <c r="T3011" t="inlineStr">
        <is>
          <t>0.84</t>
        </is>
      </c>
      <c r="U3011" s="3">
        <v>46129.98012731481</v>
      </c>
      <c r="V3011"/>
      <c r="W3011" s="3">
        <v>46129</v>
      </c>
      <c r="X3011" t="inlineStr">
        <is>
          <t>04</t>
        </is>
      </c>
      <c r="Y3011" t="inlineStr">
        <is>
          <t>2026-Q2</t>
        </is>
      </c>
    </row>
    <row r="3012" ht="38.25" customHeight="1">
      <c r="A3012" t="inlineStr">
        <is>
          <t>MTI复试理论必备手册/视译练习（逐字稿+思维导图）PDF</t>
        </is>
      </c>
      <c r="B3012" t="inlineStr">
        <is>
          <t>__upload_recvh3WF3mWpeQ.jpg</t>
        </is>
      </c>
      <c r="C3012" s="2" t="str">
        <f>=HYPERLINK("https://xhslink.com/m/V3gc2npTRC", "https://xhslink.com/m/V3gc2npTRC")</f>
        <v>https://xhslink.com/m/V3gc2npTRC</v>
      </c>
      <c r="D3012"/>
      <c r="E3012">
        <v>1625</v>
      </c>
      <c r="F3012">
        <v>99</v>
      </c>
      <c r="G3012"/>
      <c r="H3012">
        <v>450</v>
      </c>
      <c r="I3012"/>
      <c r="J3012"/>
      <c r="K3012" t="inlineStr">
        <is>
          <t>PDF</t>
        </is>
      </c>
      <c r="L3012"/>
      <c r="M3012" t="inlineStr">
        <is>
          <t>藕泥没有酱的店</t>
        </is>
      </c>
      <c r="N3012">
        <v>51000</v>
      </c>
      <c r="O3012">
        <v>4.65</v>
      </c>
      <c r="P3012">
        <v>15000</v>
      </c>
      <c r="Q3012" t="inlineStr">
        <is>
          <t>6975ec6bb828e40001ea71c3</t>
        </is>
      </c>
      <c r="R3012" t="inlineStr">
        <is>
          <t>🚫重复</t>
        </is>
      </c>
      <c r="S3012" t="inlineStr">
        <is>
          <t>无匹配类别</t>
        </is>
      </c>
      <c r="T3012" t="inlineStr">
        <is>
          <t>0.03</t>
        </is>
      </c>
      <c r="U3012" s="3">
        <v>46129.98012731481</v>
      </c>
      <c r="V3012"/>
      <c r="W3012" s="3">
        <v>46129</v>
      </c>
      <c r="X3012" t="inlineStr">
        <is>
          <t>04</t>
        </is>
      </c>
      <c r="Y3012" t="inlineStr">
        <is>
          <t>2026-Q2</t>
        </is>
      </c>
    </row>
    <row r="3013" ht="38.25" customHeight="1">
      <c r="A3013" t="inlineStr">
        <is>
          <t>PDF全能编辑 电子签章 表单填写 标准模板 电子资源</t>
        </is>
      </c>
      <c r="B3013" t="inlineStr">
        <is>
          <t>__upload_recvh3WF3mTygY.jpg</t>
        </is>
      </c>
      <c r="C3013" s="2" t="str">
        <f>=HYPERLINK("https://xhslink.com/m/qU7ZYMmFWW", "https://xhslink.com/m/qU7ZYMmFWW")</f>
        <v>https://xhslink.com/m/qU7ZYMmFWW</v>
      </c>
      <c r="D3013"/>
      <c r="E3013">
        <v>1485</v>
      </c>
      <c r="F3013">
        <v>5.9</v>
      </c>
      <c r="G3013"/>
      <c r="H3013">
        <v>100</v>
      </c>
      <c r="I3013"/>
      <c r="J3013"/>
      <c r="K3013" t="inlineStr">
        <is>
          <t>PDF</t>
        </is>
      </c>
      <c r="L3013"/>
      <c r="M3013" t="inlineStr">
        <is>
          <t>柠檬精工具铺的店</t>
        </is>
      </c>
      <c r="N3013">
        <v>1679</v>
      </c>
      <c r="O3013">
        <v>4.3</v>
      </c>
      <c r="P3013">
        <v>5703</v>
      </c>
      <c r="Q3013" t="inlineStr">
        <is>
          <t>687372f41cfd980001fdea82</t>
        </is>
      </c>
      <c r="R3013"/>
      <c r="S3013" t="inlineStr">
        <is>
          <t>无匹配类别</t>
        </is>
      </c>
      <c r="T3013" t="inlineStr">
        <is>
          <t>0.88</t>
        </is>
      </c>
      <c r="U3013" s="3">
        <v>46129.98012731481</v>
      </c>
      <c r="V3013"/>
      <c r="W3013" s="3">
        <v>46129</v>
      </c>
      <c r="X3013" t="inlineStr">
        <is>
          <t>04</t>
        </is>
      </c>
      <c r="Y3013" t="inlineStr">
        <is>
          <t>2026-Q2</t>
        </is>
      </c>
    </row>
    <row r="3014" ht="38.25" customHeight="1">
      <c r="A3014" t="inlineStr">
        <is>
          <t>浙江高中英语资料合集内含学军中学镇海中学读后续写和应用文</t>
        </is>
      </c>
      <c r="B3014" t="inlineStr">
        <is>
          <t>__upload_recvh3WF3m7Lni.jpg</t>
        </is>
      </c>
      <c r="C3014" s="2" t="str">
        <f>=HYPERLINK("https://xhslink.com/m/AsacYFUzkO7", "https://xhslink.com/m/AsacYFUzkO7")</f>
        <v>https://xhslink.com/m/AsacYFUzkO7</v>
      </c>
      <c r="D3014"/>
      <c r="E3014">
        <v>1425</v>
      </c>
      <c r="F3014">
        <v>168</v>
      </c>
      <c r="G3014"/>
      <c r="H3014">
        <v>100</v>
      </c>
      <c r="I3014"/>
      <c r="J3014"/>
      <c r="K3014" t="inlineStr">
        <is>
          <t>PDF</t>
        </is>
      </c>
      <c r="L3014"/>
      <c r="M3014" t="inlineStr">
        <is>
          <t>阳阳老师资料库的店</t>
        </is>
      </c>
      <c r="N3014">
        <v>2032</v>
      </c>
      <c r="O3014">
        <v>4.28</v>
      </c>
      <c r="P3014">
        <v>4512</v>
      </c>
      <c r="Q3014" t="inlineStr">
        <is>
          <t>6963d3375739d5000178d22b</t>
        </is>
      </c>
      <c r="R3014"/>
      <c r="S3014" t="inlineStr">
        <is>
          <t>高中/高考资料</t>
        </is>
      </c>
      <c r="T3014" t="inlineStr">
        <is>
          <t>0.70</t>
        </is>
      </c>
      <c r="U3014" s="3">
        <v>46129.98012731481</v>
      </c>
      <c r="V3014"/>
      <c r="W3014" s="3">
        <v>46129</v>
      </c>
      <c r="X3014" t="inlineStr">
        <is>
          <t>04</t>
        </is>
      </c>
      <c r="Y3014" t="inlineStr">
        <is>
          <t>2026-Q2</t>
        </is>
      </c>
    </row>
    <row r="3015" ht="38.25" customHeight="1">
      <c r="A3015" t="inlineStr">
        <is>
          <t>独立老师工作管理系统 | 飞书模板 （包含模板+视频教程）</t>
        </is>
      </c>
      <c r="B3015" t="inlineStr">
        <is>
          <t>__upload_recvh3WF3m61jk.jpg</t>
        </is>
      </c>
      <c r="C3015" s="2" t="str">
        <f>=HYPERLINK("https://xhslink.com/m/3wD1TQdVx2s", "https://xhslink.com/m/3wD1TQdVx2s")</f>
        <v>https://xhslink.com/m/3wD1TQdVx2s</v>
      </c>
      <c r="D3015"/>
      <c r="E3015">
        <v>1245</v>
      </c>
      <c r="F3015">
        <v>69</v>
      </c>
      <c r="G3015"/>
      <c r="H3015">
        <v>150</v>
      </c>
      <c r="I3015"/>
      <c r="J3015"/>
      <c r="K3015" t="inlineStr">
        <is>
          <t>飞书模版</t>
        </is>
      </c>
      <c r="L3015"/>
      <c r="M3015" t="inlineStr">
        <is>
          <t>安AN的独立笔记的店</t>
        </is>
      </c>
      <c r="N3015">
        <v>1967</v>
      </c>
      <c r="O3015">
        <v>4.27</v>
      </c>
      <c r="P3015">
        <v>1736</v>
      </c>
      <c r="Q3015" t="inlineStr">
        <is>
          <t>686d12cad16ded0001634c7e</t>
        </is>
      </c>
      <c r="R3015" t="inlineStr">
        <is>
          <t>🚫重复</t>
        </is>
      </c>
      <c r="S3015" t="inlineStr">
        <is>
          <t>老师资料</t>
        </is>
      </c>
      <c r="T3015" t="inlineStr">
        <is>
          <t>0.63</t>
        </is>
      </c>
      <c r="U3015" s="3">
        <v>46129.98012731481</v>
      </c>
      <c r="V3015"/>
      <c r="W3015" s="3">
        <v>46129</v>
      </c>
      <c r="X3015" t="inlineStr">
        <is>
          <t>04</t>
        </is>
      </c>
      <c r="Y3015" t="inlineStr">
        <is>
          <t>2026-Q2</t>
        </is>
      </c>
    </row>
    <row r="3016" ht="38.25" customHeight="1">
      <c r="A3016" t="inlineStr">
        <is>
          <t>【黄老师】0-6岁父母育儿训练营(包含3本手册)</t>
        </is>
      </c>
      <c r="B3016" t="inlineStr">
        <is>
          <t>__upload_recvh3WF3mqeKw.jpg</t>
        </is>
      </c>
      <c r="C3016" s="2" t="str">
        <f>=HYPERLINK("https://xhslink.com/m/4Y0JZuu5Or5", "https://xhslink.com/m/4Y0JZuu5Or5")</f>
        <v>https://xhslink.com/m/4Y0JZuu5Or5</v>
      </c>
      <c r="D3016"/>
      <c r="E3016">
        <v>1632</v>
      </c>
      <c r="F3016">
        <v>101</v>
      </c>
      <c r="G3016"/>
      <c r="H3016">
        <v>200</v>
      </c>
      <c r="I3016"/>
      <c r="J3016"/>
      <c r="K3016" t="inlineStr">
        <is>
          <t>育儿手册</t>
        </is>
      </c>
      <c r="L3016"/>
      <c r="M3016" t="inlineStr">
        <is>
          <t>有因有果家庭教育MCN的店</t>
        </is>
      </c>
      <c r="N3016">
        <v>592</v>
      </c>
      <c r="O3016">
        <v>4.58</v>
      </c>
      <c r="P3016">
        <v>6802</v>
      </c>
      <c r="Q3016" t="inlineStr">
        <is>
          <t>69ccb3227dd4a100018986d9</t>
        </is>
      </c>
      <c r="R3016"/>
      <c r="S3016" t="inlineStr">
        <is>
          <t>幼教资料</t>
        </is>
      </c>
      <c r="T3016" t="inlineStr">
        <is>
          <t>2.76</t>
        </is>
      </c>
      <c r="U3016" s="3">
        <v>46129.98012731481</v>
      </c>
      <c r="V3016"/>
      <c r="W3016" s="3">
        <v>46129</v>
      </c>
      <c r="X3016" t="inlineStr">
        <is>
          <t>04</t>
        </is>
      </c>
      <c r="Y3016" t="inlineStr">
        <is>
          <t>2026-Q2</t>
        </is>
      </c>
    </row>
    <row r="3017" ht="38.25" customHeight="1">
      <c r="A3017" t="inlineStr">
        <is>
          <t>350份热门研究生复试简历考研复试简历大合集word电子档</t>
        </is>
      </c>
      <c r="B3017" t="inlineStr">
        <is>
          <t>__upload_recvh3WF3m1Dp0.jpg</t>
        </is>
      </c>
      <c r="C3017" s="2" t="str">
        <f>=HYPERLINK("https://xhslink.com/m/AaN19Rqy1ty", "https://xhslink.com/m/AaN19Rqy1ty")</f>
        <v>https://xhslink.com/m/AaN19Rqy1ty</v>
      </c>
      <c r="D3017"/>
      <c r="E3017">
        <v>37000</v>
      </c>
      <c r="F3017">
        <v>50</v>
      </c>
      <c r="G3017"/>
      <c r="H3017">
        <v>550</v>
      </c>
      <c r="I3017"/>
      <c r="J3017"/>
      <c r="K3017" t="inlineStr">
        <is>
          <t>简历</t>
        </is>
      </c>
      <c r="L3017" t="inlineStr">
        <is>
          <t>🔥低粉爆款</t>
        </is>
      </c>
      <c r="M3017" t="inlineStr">
        <is>
          <t>万能简历模板库的店</t>
        </is>
      </c>
      <c r="N3017">
        <v>9106</v>
      </c>
      <c r="O3017">
        <v>4.56</v>
      </c>
      <c r="P3017">
        <v>65000</v>
      </c>
      <c r="Q3017" t="inlineStr">
        <is>
          <t>69cbd10f4ae1e70001b62fb7</t>
        </is>
      </c>
      <c r="R3017"/>
      <c r="S3017" t="inlineStr">
        <is>
          <t>考研资料</t>
        </is>
      </c>
      <c r="T3017" t="inlineStr">
        <is>
          <t>4.06</t>
        </is>
      </c>
      <c r="U3017" s="3">
        <v>46129.98012731481</v>
      </c>
      <c r="V3017"/>
      <c r="W3017" s="3">
        <v>46129</v>
      </c>
      <c r="X3017" t="inlineStr">
        <is>
          <t>04</t>
        </is>
      </c>
      <c r="Y3017" t="inlineStr">
        <is>
          <t>2026-Q2</t>
        </is>
      </c>
    </row>
    <row r="3018" ht="38.25" customHeight="1">
      <c r="A3018" t="inlineStr">
        <is>
          <t>简约大厂简历-研究生留学生求职简历-24h自动发货客服聊天框</t>
        </is>
      </c>
      <c r="B3018" t="inlineStr">
        <is>
          <t>__upload_recvh3WF3m47LY.jpg</t>
        </is>
      </c>
      <c r="C3018" s="2" t="str">
        <f>=HYPERLINK("https://xhslink.com/m/4fwWpxIJQsR", "https://xhslink.com/m/4fwWpxIJQsR")</f>
        <v>https://xhslink.com/m/4fwWpxIJQsR</v>
      </c>
      <c r="D3018"/>
      <c r="E3018">
        <v>28000</v>
      </c>
      <c r="F3018">
        <v>2.98</v>
      </c>
      <c r="G3018"/>
      <c r="H3018">
        <v>4000</v>
      </c>
      <c r="I3018"/>
      <c r="J3018"/>
      <c r="K3018" t="inlineStr">
        <is>
          <t>简历</t>
        </is>
      </c>
      <c r="L3018"/>
      <c r="M3018" t="inlineStr">
        <is>
          <t>大学生求职简历模板的店</t>
        </is>
      </c>
      <c r="N3018">
        <v>20000</v>
      </c>
      <c r="O3018">
        <v>4.62</v>
      </c>
      <c r="P3018">
        <v>81000</v>
      </c>
      <c r="Q3018" t="inlineStr">
        <is>
          <t>67a70dea43e42a00012b0375</t>
        </is>
      </c>
      <c r="R3018" t="inlineStr">
        <is>
          <t>🚫重复</t>
        </is>
      </c>
      <c r="S3018" t="inlineStr">
        <is>
          <t>求职面试/职场</t>
        </is>
      </c>
      <c r="T3018" t="inlineStr">
        <is>
          <t>1.40</t>
        </is>
      </c>
      <c r="U3018" s="3">
        <v>46129.98012731481</v>
      </c>
      <c r="V3018"/>
      <c r="W3018" s="3">
        <v>46129</v>
      </c>
      <c r="X3018" t="inlineStr">
        <is>
          <t>04</t>
        </is>
      </c>
      <c r="Y3018" t="inlineStr">
        <is>
          <t>2026-Q2</t>
        </is>
      </c>
    </row>
    <row r="3019" ht="38.25" customHeight="1">
      <c r="A3019" t="inlineStr">
        <is>
          <t>极简·中英文简历模板英文CV留学生外企求职简历模板-B05</t>
        </is>
      </c>
      <c r="B3019" t="inlineStr">
        <is>
          <t>__upload_recvh3WF3mUUW5.jpg</t>
        </is>
      </c>
      <c r="C3019" s="2" t="str">
        <f>=HYPERLINK("https://xhslink.com/m/65TBk4tjCee", "https://xhslink.com/m/65TBk4tjCee")</f>
        <v>https://xhslink.com/m/65TBk4tjCee</v>
      </c>
      <c r="D3019"/>
      <c r="E3019">
        <v>17000</v>
      </c>
      <c r="F3019">
        <v>3.98</v>
      </c>
      <c r="G3019"/>
      <c r="H3019">
        <v>2000</v>
      </c>
      <c r="I3019"/>
      <c r="J3019"/>
      <c r="K3019" t="inlineStr">
        <is>
          <t>简历</t>
        </is>
      </c>
      <c r="L3019"/>
      <c r="M3019" t="inlineStr">
        <is>
          <t>大学生求职简历模板的店</t>
        </is>
      </c>
      <c r="N3019">
        <v>20000</v>
      </c>
      <c r="O3019">
        <v>4.62</v>
      </c>
      <c r="P3019">
        <v>81000</v>
      </c>
      <c r="Q3019" t="inlineStr">
        <is>
          <t>671ca6f5deb6c200016bc046</t>
        </is>
      </c>
      <c r="R3019" t="inlineStr">
        <is>
          <t>🚫重复</t>
        </is>
      </c>
      <c r="S3019" t="inlineStr">
        <is>
          <t>求职面试/职场</t>
        </is>
      </c>
      <c r="T3019" t="inlineStr">
        <is>
          <t>0.85</t>
        </is>
      </c>
      <c r="U3019" s="3">
        <v>46129.98012731481</v>
      </c>
      <c r="V3019"/>
      <c r="W3019" s="3">
        <v>46129</v>
      </c>
      <c r="X3019" t="inlineStr">
        <is>
          <t>04</t>
        </is>
      </c>
      <c r="Y3019" t="inlineStr">
        <is>
          <t>2026-Q2</t>
        </is>
      </c>
    </row>
    <row r="3020" ht="38.25" customHeight="1">
      <c r="A3020" t="inlineStr">
        <is>
          <t>(纯手工)应届生职场简历制作修改央国企校招秋招银行网申考研面试</t>
        </is>
      </c>
      <c r="B3020" t="inlineStr">
        <is>
          <t>__upload_recvh3WF3mgtyk.jpg</t>
        </is>
      </c>
      <c r="C3020" s="2" t="str">
        <f>=HYPERLINK("https://xhslink.com/m/7TEu6VRb5xf", "https://xhslink.com/m/7TEu6VRb5xf")</f>
        <v>https://xhslink.com/m/7TEu6VRb5xf</v>
      </c>
      <c r="D3020"/>
      <c r="E3020">
        <v>2250</v>
      </c>
      <c r="F3020">
        <v>10</v>
      </c>
      <c r="G3020"/>
      <c r="H3020">
        <v>350</v>
      </c>
      <c r="I3020"/>
      <c r="J3020"/>
      <c r="K3020" t="inlineStr">
        <is>
          <t>简历</t>
        </is>
      </c>
      <c r="L3020" t="inlineStr">
        <is>
          <t>🔥低粉爆款</t>
        </is>
      </c>
      <c r="M3020" t="inlineStr">
        <is>
          <t>offer工坊的店</t>
        </is>
      </c>
      <c r="N3020">
        <v>211</v>
      </c>
      <c r="O3020">
        <v>4.33</v>
      </c>
      <c r="P3020">
        <v>2174</v>
      </c>
      <c r="Q3020" t="inlineStr">
        <is>
          <t>6983532fa5576f0001fd4cdb</t>
        </is>
      </c>
      <c r="R3020"/>
      <c r="S3020" t="inlineStr">
        <is>
          <t>求职面试/职场</t>
        </is>
      </c>
      <c r="T3020" t="inlineStr">
        <is>
          <t>10.66</t>
        </is>
      </c>
      <c r="U3020" s="3">
        <v>46129.98012731481</v>
      </c>
      <c r="V3020"/>
      <c r="W3020" s="3">
        <v>46129</v>
      </c>
      <c r="X3020" t="inlineStr">
        <is>
          <t>04</t>
        </is>
      </c>
      <c r="Y3020" t="inlineStr">
        <is>
          <t>2026-Q2</t>
        </is>
      </c>
    </row>
    <row r="3021" ht="38.25" customHeight="1">
      <c r="A3021" t="inlineStr">
        <is>
          <t>【word格式WPS可编辑】艺术生设计师简历模板-虚拟物品不退不换</t>
        </is>
      </c>
      <c r="B3021" t="inlineStr">
        <is>
          <t>__upload_recvh3WF3mdFDm.jpg</t>
        </is>
      </c>
      <c r="C3021" s="2" t="str">
        <f>=HYPERLINK("https://xhslink.com/m/6NGek0D1zO9", "https://xhslink.com/m/6NGek0D1zO9")</f>
        <v>https://xhslink.com/m/6NGek0D1zO9</v>
      </c>
      <c r="D3021"/>
      <c r="E3021">
        <v>2061</v>
      </c>
      <c r="F3021">
        <v>8.99</v>
      </c>
      <c r="G3021"/>
      <c r="H3021">
        <v>150</v>
      </c>
      <c r="I3021"/>
      <c r="J3021"/>
      <c r="K3021" t="inlineStr">
        <is>
          <t>简历</t>
        </is>
      </c>
      <c r="L3021"/>
      <c r="M3021" t="inlineStr">
        <is>
          <t>ohhello设计的店</t>
        </is>
      </c>
      <c r="N3021">
        <v>714</v>
      </c>
      <c r="O3021">
        <v>4.1</v>
      </c>
      <c r="P3021">
        <v>6134</v>
      </c>
      <c r="Q3021" t="inlineStr">
        <is>
          <t>664561eb25f232000133104a</t>
        </is>
      </c>
      <c r="R3021"/>
      <c r="S3021" t="inlineStr">
        <is>
          <t>求职面试/职场</t>
        </is>
      </c>
      <c r="T3021" t="inlineStr">
        <is>
          <t>2.89</t>
        </is>
      </c>
      <c r="U3021" s="3">
        <v>46129.98012731481</v>
      </c>
      <c r="V3021"/>
      <c r="W3021" s="3">
        <v>46129</v>
      </c>
      <c r="X3021" t="inlineStr">
        <is>
          <t>04</t>
        </is>
      </c>
      <c r="Y3021" t="inlineStr">
        <is>
          <t>2026-Q2</t>
        </is>
      </c>
    </row>
    <row r="3022" ht="38.25" customHeight="1">
      <c r="A3022" t="inlineStr">
        <is>
          <t>psd+ai+PPT格式设计师简约高级简历模板源文件，请看清格式再拍！</t>
        </is>
      </c>
      <c r="B3022" t="inlineStr">
        <is>
          <t>__upload_recvh3WF3mgs9W.jpg</t>
        </is>
      </c>
      <c r="C3022" s="2" t="str">
        <f>=HYPERLINK("https://xhslink.com/m/6Y3pummqMrK", "https://xhslink.com/m/6Y3pummqMrK")</f>
        <v>https://xhslink.com/m/6Y3pummqMrK</v>
      </c>
      <c r="D3022"/>
      <c r="E3022">
        <v>1502</v>
      </c>
      <c r="F3022">
        <v>4.5</v>
      </c>
      <c r="G3022"/>
      <c r="H3022">
        <v>650</v>
      </c>
      <c r="I3022">
        <v>1000</v>
      </c>
      <c r="J3022"/>
      <c r="K3022" t="inlineStr">
        <is>
          <t>简历</t>
        </is>
      </c>
      <c r="L3022"/>
      <c r="M3022" t="inlineStr">
        <is>
          <t>D-Art的店</t>
        </is>
      </c>
      <c r="N3022">
        <v>6361</v>
      </c>
      <c r="O3022">
        <v>4.66</v>
      </c>
      <c r="P3022">
        <v>22000</v>
      </c>
      <c r="Q3022" t="inlineStr">
        <is>
          <t>6929972fb644e40001a0c37a</t>
        </is>
      </c>
      <c r="R3022" t="inlineStr">
        <is>
          <t>🚫重复</t>
        </is>
      </c>
      <c r="S3022" t="inlineStr">
        <is>
          <t>设计素材</t>
        </is>
      </c>
      <c r="T3022" t="inlineStr">
        <is>
          <t>0.24</t>
        </is>
      </c>
      <c r="U3022" s="3">
        <v>46129.98012731481</v>
      </c>
      <c r="V3022"/>
      <c r="W3022" s="3">
        <v>46129</v>
      </c>
      <c r="X3022" t="inlineStr">
        <is>
          <t>04</t>
        </is>
      </c>
      <c r="Y3022" t="inlineStr">
        <is>
          <t>2026-Q2</t>
        </is>
      </c>
    </row>
    <row r="3023" ht="38.25" customHeight="1">
      <c r="A3023" t="inlineStr">
        <is>
          <t>BGJL-68 简约清新万能通用大学生表格式个人简历模板酒店前台简历</t>
        </is>
      </c>
      <c r="B3023" t="inlineStr">
        <is>
          <t>__upload_recvh3WF3mzU7j.jpg</t>
        </is>
      </c>
      <c r="C3023" s="2" t="str">
        <f>=HYPERLINK("https://xhslink.com/m/98sRt5SAidR", "https://xhslink.com/m/98sRt5SAidR")</f>
        <v>https://xhslink.com/m/98sRt5SAidR</v>
      </c>
      <c r="D3023"/>
      <c r="E3023">
        <v>1312</v>
      </c>
      <c r="F3023">
        <v>4.88</v>
      </c>
      <c r="G3023"/>
      <c r="H3023">
        <v>800</v>
      </c>
      <c r="I3023">
        <v>1000</v>
      </c>
      <c r="J3023"/>
      <c r="K3023" t="inlineStr">
        <is>
          <t>简历</t>
        </is>
      </c>
      <c r="L3023"/>
      <c r="M3023" t="inlineStr">
        <is>
          <t>阿飞简历的店</t>
        </is>
      </c>
      <c r="N3023">
        <v>1874</v>
      </c>
      <c r="O3023">
        <v>4.53</v>
      </c>
      <c r="P3023">
        <v>12000</v>
      </c>
      <c r="Q3023" t="inlineStr">
        <is>
          <t>68b838058c33170001f7def6</t>
        </is>
      </c>
      <c r="R3023" t="inlineStr">
        <is>
          <t>🚫重复</t>
        </is>
      </c>
      <c r="S3023" t="inlineStr">
        <is>
          <t>求职面试/职场</t>
        </is>
      </c>
      <c r="T3023" t="inlineStr">
        <is>
          <t>0.70</t>
        </is>
      </c>
      <c r="U3023" s="3">
        <v>46129.98012731481</v>
      </c>
      <c r="V3023"/>
      <c r="W3023" s="3">
        <v>46129</v>
      </c>
      <c r="X3023" t="inlineStr">
        <is>
          <t>04</t>
        </is>
      </c>
      <c r="Y3023" t="inlineStr">
        <is>
          <t>2026-Q2</t>
        </is>
      </c>
    </row>
    <row r="3024" ht="38.25" customHeight="1">
      <c r="A3024" t="inlineStr">
        <is>
          <t>018丨5组20款简约风设计感简历模板ai+ps+ppt格式</t>
        </is>
      </c>
      <c r="B3024" t="inlineStr">
        <is>
          <t>__upload_recvh3WF3mIHpQ.jpg</t>
        </is>
      </c>
      <c r="C3024" s="2" t="str">
        <f>=HYPERLINK("https://xhslink.com/m/9h9qPxNp64L", "https://xhslink.com/m/9h9qPxNp64L")</f>
        <v>https://xhslink.com/m/9h9qPxNp64L</v>
      </c>
      <c r="D3024"/>
      <c r="E3024">
        <v>1268</v>
      </c>
      <c r="F3024">
        <v>9.9</v>
      </c>
      <c r="G3024"/>
      <c r="H3024">
        <v>150</v>
      </c>
      <c r="I3024"/>
      <c r="J3024"/>
      <c r="K3024" t="inlineStr">
        <is>
          <t>简历</t>
        </is>
      </c>
      <c r="L3024"/>
      <c r="M3024" t="inlineStr">
        <is>
          <t>大汤姆叔叔的店</t>
        </is>
      </c>
      <c r="N3024">
        <v>17000</v>
      </c>
      <c r="O3024">
        <v>4.61</v>
      </c>
      <c r="P3024">
        <v>28000</v>
      </c>
      <c r="Q3024" t="inlineStr">
        <is>
          <t>68090318de346b0001003dcd</t>
        </is>
      </c>
      <c r="R3024" t="inlineStr">
        <is>
          <t>🚫重复</t>
        </is>
      </c>
      <c r="S3024" t="inlineStr">
        <is>
          <t>求职面试/职场</t>
        </is>
      </c>
      <c r="T3024" t="inlineStr">
        <is>
          <t>0.07</t>
        </is>
      </c>
      <c r="U3024" s="3">
        <v>46129.98012731481</v>
      </c>
      <c r="V3024"/>
      <c r="W3024" s="3">
        <v>46129</v>
      </c>
      <c r="X3024" t="inlineStr">
        <is>
          <t>04</t>
        </is>
      </c>
      <c r="Y3024" t="inlineStr">
        <is>
          <t>2026-Q2</t>
        </is>
      </c>
    </row>
    <row r="3025" ht="38.25" customHeight="1">
      <c r="A3025" t="inlineStr">
        <is>
          <t>[含1v1简历优化] 简历模板1套Win/Mac 1年可下载</t>
        </is>
      </c>
      <c r="B3025" t="inlineStr">
        <is>
          <t>__upload_recvh3WF3m6vK1.jpg</t>
        </is>
      </c>
      <c r="C3025" s="2" t="str">
        <f>=HYPERLINK("https://xhslink.com/m/ZtcGfu2sff", "https://xhslink.com/m/ZtcGfu2sff")</f>
        <v>https://xhslink.com/m/ZtcGfu2sff</v>
      </c>
      <c r="D3025"/>
      <c r="E3025">
        <v>1021</v>
      </c>
      <c r="F3025">
        <v>198.9</v>
      </c>
      <c r="G3025"/>
      <c r="H3025">
        <v>100</v>
      </c>
      <c r="I3025"/>
      <c r="J3025"/>
      <c r="K3025" t="inlineStr">
        <is>
          <t>简历</t>
        </is>
      </c>
      <c r="L3025"/>
      <c r="M3025" t="inlineStr">
        <is>
          <t>浪浪想吃炸鸡的店</t>
        </is>
      </c>
      <c r="N3025">
        <v>1766</v>
      </c>
      <c r="O3025">
        <v>4.22</v>
      </c>
      <c r="P3025">
        <v>1631</v>
      </c>
      <c r="Q3025" t="inlineStr">
        <is>
          <t>68b5377cf38f970001ecd264</t>
        </is>
      </c>
      <c r="R3025" t="inlineStr">
        <is>
          <t>🚫重复</t>
        </is>
      </c>
      <c r="S3025" t="inlineStr">
        <is>
          <t>求职面试/职场</t>
        </is>
      </c>
      <c r="T3025" t="inlineStr">
        <is>
          <t>0.58</t>
        </is>
      </c>
      <c r="U3025" s="3">
        <v>46129.98012731481</v>
      </c>
      <c r="V3025"/>
      <c r="W3025" s="3">
        <v>46129</v>
      </c>
      <c r="X3025" t="inlineStr">
        <is>
          <t>04</t>
        </is>
      </c>
      <c r="Y3025" t="inlineStr">
        <is>
          <t>2026-Q2</t>
        </is>
      </c>
    </row>
    <row r="3026" ht="38.25" customHeight="1">
      <c r="A3026" t="inlineStr">
        <is>
          <t>[含简历优化+职业规划] 简历模板1套Win/Mac无水印 一年可用</t>
        </is>
      </c>
      <c r="B3026" t="inlineStr">
        <is>
          <t>__upload_recvh3WF3mVgcv.jpg</t>
        </is>
      </c>
      <c r="C3026" s="2" t="str">
        <f>=HYPERLINK("https://xhslink.com/m/pdWQ4JcL4s", "https://xhslink.com/m/pdWQ4JcL4s")</f>
        <v>https://xhslink.com/m/pdWQ4JcL4s</v>
      </c>
      <c r="D3026"/>
      <c r="E3026">
        <v>591</v>
      </c>
      <c r="F3026">
        <v>219.8</v>
      </c>
      <c r="G3026"/>
      <c r="H3026">
        <v>150</v>
      </c>
      <c r="I3026"/>
      <c r="J3026"/>
      <c r="K3026" t="inlineStr">
        <is>
          <t>简历</t>
        </is>
      </c>
      <c r="L3026"/>
      <c r="M3026" t="inlineStr">
        <is>
          <t>浪浪想吃炸鸡的店</t>
        </is>
      </c>
      <c r="N3026">
        <v>1766</v>
      </c>
      <c r="O3026">
        <v>4.22</v>
      </c>
      <c r="P3026">
        <v>1631</v>
      </c>
      <c r="Q3026" t="inlineStr">
        <is>
          <t>68f87181c67e47000140aaec</t>
        </is>
      </c>
      <c r="R3026" t="inlineStr">
        <is>
          <t>🚫重复</t>
        </is>
      </c>
      <c r="S3026" t="inlineStr">
        <is>
          <t>求职面试/职场</t>
        </is>
      </c>
      <c r="T3026" t="inlineStr">
        <is>
          <t>0.33</t>
        </is>
      </c>
      <c r="U3026" s="3">
        <v>46129.98012731481</v>
      </c>
      <c r="V3026"/>
      <c r="W3026" s="3">
        <v>46129</v>
      </c>
      <c r="X3026" t="inlineStr">
        <is>
          <t>04</t>
        </is>
      </c>
      <c r="Y3026" t="inlineStr">
        <is>
          <t>2026-Q2</t>
        </is>
      </c>
    </row>
    <row r="3027" ht="38.25" customHeight="1">
      <c r="A3027" t="inlineStr">
        <is>
          <t>专升本大学语文资料包电子版 文学常识学习教材复习资料练习题</t>
        </is>
      </c>
      <c r="B3027" t="inlineStr">
        <is>
          <t>__upload_recvh3WF3mt81U.jpg</t>
        </is>
      </c>
      <c r="C3027" s="2" t="str">
        <f>=HYPERLINK("https://xhslink.com/m/O7npFupmcf", "https://xhslink.com/m/O7npFupmcf")</f>
        <v>https://xhslink.com/m/O7npFupmcf</v>
      </c>
      <c r="D3027"/>
      <c r="E3027">
        <v>2575</v>
      </c>
      <c r="F3027">
        <v>15.8</v>
      </c>
      <c r="G3027"/>
      <c r="H3027">
        <v>650</v>
      </c>
      <c r="I3027">
        <v>1000</v>
      </c>
      <c r="J3027"/>
      <c r="K3027" t="inlineStr">
        <is>
          <t>专升本</t>
        </is>
      </c>
      <c r="L3027"/>
      <c r="M3027" t="inlineStr">
        <is>
          <t>小狗冻干的店</t>
        </is>
      </c>
      <c r="N3027">
        <v>1068</v>
      </c>
      <c r="O3027">
        <v>4.57</v>
      </c>
      <c r="P3027">
        <v>4788</v>
      </c>
      <c r="Q3027" t="inlineStr">
        <is>
          <t>688378a76d605400014f53ca</t>
        </is>
      </c>
      <c r="R3027" t="inlineStr">
        <is>
          <t>🚫重复</t>
        </is>
      </c>
      <c r="S3027" t="inlineStr">
        <is>
          <t>大学资料</t>
        </is>
      </c>
      <c r="T3027" t="inlineStr">
        <is>
          <t>2.41</t>
        </is>
      </c>
      <c r="U3027" s="3">
        <v>46129.98012731481</v>
      </c>
      <c r="V3027"/>
      <c r="W3027" s="3">
        <v>46129</v>
      </c>
      <c r="X3027" t="inlineStr">
        <is>
          <t>04</t>
        </is>
      </c>
      <c r="Y3027" t="inlineStr">
        <is>
          <t>2026-Q2</t>
        </is>
      </c>
    </row>
    <row r="3028" ht="38.25" customHeight="1">
      <c r="A3028" t="inlineStr">
        <is>
          <t>2026人教部编版小学语文一二三四五六年级上下册教案课件PPT试题</t>
        </is>
      </c>
      <c r="B3028" t="inlineStr">
        <is>
          <t>__upload_recvh3WF3m42ic.jpg</t>
        </is>
      </c>
      <c r="C3028" s="2" t="str">
        <f>=HYPERLINK("https://xhslink.com/m/6HfGyoacGjL", "https://xhslink.com/m/6HfGyoacGjL")</f>
        <v>https://xhslink.com/m/6HfGyoacGjL</v>
      </c>
      <c r="D3028"/>
      <c r="E3028">
        <v>4620</v>
      </c>
      <c r="F3028">
        <v>41.5</v>
      </c>
      <c r="G3028"/>
      <c r="H3028">
        <v>350</v>
      </c>
      <c r="I3028"/>
      <c r="J3028"/>
      <c r="K3028" t="inlineStr">
        <is>
          <t>语文课件</t>
        </is>
      </c>
      <c r="L3028"/>
      <c r="M3028" t="inlineStr">
        <is>
          <t>肖老师的店</t>
        </is>
      </c>
      <c r="N3028">
        <v>12000</v>
      </c>
      <c r="O3028">
        <v>4.58</v>
      </c>
      <c r="P3028">
        <v>75000</v>
      </c>
      <c r="Q3028" t="inlineStr">
        <is>
          <t>66e5d31deaae2c0001afd9f6</t>
        </is>
      </c>
      <c r="R3028" t="inlineStr">
        <is>
          <t>🚫重复</t>
        </is>
      </c>
      <c r="S3028" t="inlineStr">
        <is>
          <t>中小学教辅/教材</t>
        </is>
      </c>
      <c r="T3028" t="inlineStr">
        <is>
          <t>0.39</t>
        </is>
      </c>
      <c r="U3028" s="3">
        <v>46129.98012731481</v>
      </c>
      <c r="V3028"/>
      <c r="W3028" s="3">
        <v>46129</v>
      </c>
      <c r="X3028" t="inlineStr">
        <is>
          <t>04</t>
        </is>
      </c>
      <c r="Y3028" t="inlineStr">
        <is>
          <t>2026-Q2</t>
        </is>
      </c>
    </row>
    <row r="3029" ht="38.25" customHeight="1">
      <c r="A3029" t="inlineStr">
        <is>
          <t>2026一二三四五六下册小凤自制课件PPT教案小凤课件</t>
        </is>
      </c>
      <c r="B3029" t="inlineStr">
        <is>
          <t>__upload_recvh3WF3mdRQT.jpg</t>
        </is>
      </c>
      <c r="C3029" s="2" t="str">
        <f>=HYPERLINK("https://xhslink.com/m/8oeF11tZ1LQ", "https://xhslink.com/m/8oeF11tZ1LQ")</f>
        <v>https://xhslink.com/m/8oeF11tZ1LQ</v>
      </c>
      <c r="D3029"/>
      <c r="E3029">
        <v>4622</v>
      </c>
      <c r="F3029">
        <v>14.8</v>
      </c>
      <c r="G3029"/>
      <c r="H3029">
        <v>3500</v>
      </c>
      <c r="I3029">
        <v>4000</v>
      </c>
      <c r="J3029"/>
      <c r="K3029" t="inlineStr">
        <is>
          <t>语文课件</t>
        </is>
      </c>
      <c r="L3029"/>
      <c r="M3029" t="inlineStr">
        <is>
          <t>小凤自制课件的店</t>
        </is>
      </c>
      <c r="N3029">
        <v>21000</v>
      </c>
      <c r="O3029">
        <v>4.35</v>
      </c>
      <c r="P3029">
        <v>60000</v>
      </c>
      <c r="Q3029" t="inlineStr">
        <is>
          <t>698d18a16d22e70001f6cdad</t>
        </is>
      </c>
      <c r="R3029" t="inlineStr">
        <is>
          <t>🚫重复</t>
        </is>
      </c>
      <c r="S3029" t="inlineStr">
        <is>
          <t>中小学教辅/教材</t>
        </is>
      </c>
      <c r="T3029" t="inlineStr">
        <is>
          <t>0.22</t>
        </is>
      </c>
      <c r="U3029" s="3">
        <v>46129.98012731481</v>
      </c>
      <c r="V3029"/>
      <c r="W3029" s="3">
        <v>46129</v>
      </c>
      <c r="X3029" t="inlineStr">
        <is>
          <t>04</t>
        </is>
      </c>
      <c r="Y3029" t="inlineStr">
        <is>
          <t>2026-Q2</t>
        </is>
      </c>
    </row>
    <row r="3030" ht="38.25" customHeight="1">
      <c r="A3030" t="inlineStr">
        <is>
          <t>【课件】咩咩扬仔八下历史新课课件（无教案，逐字稿需另外下单）</t>
        </is>
      </c>
      <c r="B3030" t="inlineStr">
        <is>
          <t>__upload_recvh3WF3mQIYA.jpg</t>
        </is>
      </c>
      <c r="C3030" s="2" t="str">
        <f>=HYPERLINK("https://xhslink.com/m/3J7ad5yWe9Q", "https://xhslink.com/m/3J7ad5yWe9Q")</f>
        <v>https://xhslink.com/m/3J7ad5yWe9Q</v>
      </c>
      <c r="D3030"/>
      <c r="E3030">
        <v>3523</v>
      </c>
      <c r="F3030">
        <v>40</v>
      </c>
      <c r="G3030"/>
      <c r="H3030">
        <v>2000</v>
      </c>
      <c r="I3030"/>
      <c r="J3030"/>
      <c r="K3030" t="inlineStr">
        <is>
          <t>历史课件</t>
        </is>
      </c>
      <c r="L3030"/>
      <c r="M3030" t="inlineStr">
        <is>
          <t>咩咩扬仔🥕的店</t>
        </is>
      </c>
      <c r="N3030">
        <v>21000</v>
      </c>
      <c r="O3030">
        <v>4.55</v>
      </c>
      <c r="P3030">
        <v>22000</v>
      </c>
      <c r="Q3030" t="inlineStr">
        <is>
          <t>69cb26ada1221500016cfd3a</t>
        </is>
      </c>
      <c r="R3030" t="inlineStr">
        <is>
          <t>🚫重复</t>
        </is>
      </c>
      <c r="S3030" t="inlineStr">
        <is>
          <t>中小学教辅/教材</t>
        </is>
      </c>
      <c r="T3030" t="inlineStr">
        <is>
          <t>0.17</t>
        </is>
      </c>
      <c r="U3030" s="3">
        <v>46129.98012731481</v>
      </c>
      <c r="V3030"/>
      <c r="W3030" s="3">
        <v>46129</v>
      </c>
      <c r="X3030" t="inlineStr">
        <is>
          <t>04</t>
        </is>
      </c>
      <c r="Y3030" t="inlineStr">
        <is>
          <t>2026-Q2</t>
        </is>
      </c>
    </row>
    <row r="3031" ht="38.25" customHeight="1">
      <c r="A3031" t="inlineStr">
        <is>
          <t>部编版初中历史课件ppt教案word试题七八九年级初一二三上下册</t>
        </is>
      </c>
      <c r="B3031" t="inlineStr">
        <is>
          <t>__upload_recvh3WF3mVtsR.jpg</t>
        </is>
      </c>
      <c r="C3031" s="2" t="str">
        <f>=HYPERLINK("https://xhslink.com/m/6jrw1z8poBJ", "https://xhslink.com/m/6jrw1z8poBJ")</f>
        <v>https://xhslink.com/m/6jrw1z8poBJ</v>
      </c>
      <c r="D3031"/>
      <c r="E3031">
        <v>2322</v>
      </c>
      <c r="F3031">
        <v>13.9</v>
      </c>
      <c r="G3031"/>
      <c r="H3031">
        <v>150</v>
      </c>
      <c r="I3031"/>
      <c r="J3031"/>
      <c r="K3031" t="inlineStr">
        <is>
          <t>历史课件</t>
        </is>
      </c>
      <c r="L3031"/>
      <c r="M3031" t="inlineStr">
        <is>
          <t>小章鱼PPT的店</t>
        </is>
      </c>
      <c r="N3031">
        <v>8892</v>
      </c>
      <c r="O3031">
        <v>4.55</v>
      </c>
      <c r="P3031">
        <v>33000</v>
      </c>
      <c r="Q3031" t="inlineStr">
        <is>
          <t>6755b966ccfbf90001162a46</t>
        </is>
      </c>
      <c r="R3031" t="inlineStr">
        <is>
          <t>🚫重复</t>
        </is>
      </c>
      <c r="S3031" t="inlineStr">
        <is>
          <t>中小学教辅/教材</t>
        </is>
      </c>
      <c r="T3031" t="inlineStr">
        <is>
          <t>0.26</t>
        </is>
      </c>
      <c r="U3031" s="3">
        <v>46129.98012731481</v>
      </c>
      <c r="V3031"/>
      <c r="W3031" s="3">
        <v>46129</v>
      </c>
      <c r="X3031" t="inlineStr">
        <is>
          <t>04</t>
        </is>
      </c>
      <c r="Y3031" t="inlineStr">
        <is>
          <t>2026-Q2</t>
        </is>
      </c>
    </row>
    <row r="3032" ht="38.25" customHeight="1">
      <c r="A3032" t="inlineStr">
        <is>
          <t>历史语文地理社团课｜18 课时 PPT＋逐字稿＋教案 ppt模板</t>
        </is>
      </c>
      <c r="B3032" t="inlineStr">
        <is>
          <t>__upload_recvh3WF3m2XAZ.jpg</t>
        </is>
      </c>
      <c r="C3032" s="2" t="str">
        <f>=HYPERLINK("https://xhslink.com/m/AcCZZl5cwz4", "https://xhslink.com/m/AcCZZl5cwz4")</f>
        <v>https://xhslink.com/m/AcCZZl5cwz4</v>
      </c>
      <c r="D3032"/>
      <c r="E3032">
        <v>1638</v>
      </c>
      <c r="F3032">
        <v>65</v>
      </c>
      <c r="G3032"/>
      <c r="H3032">
        <v>100</v>
      </c>
      <c r="I3032"/>
      <c r="J3032"/>
      <c r="K3032" t="inlineStr">
        <is>
          <t>历史课件</t>
        </is>
      </c>
      <c r="L3032"/>
      <c r="M3032" t="inlineStr">
        <is>
          <t>备课的小雯的店</t>
        </is>
      </c>
      <c r="N3032">
        <v>31000</v>
      </c>
      <c r="O3032">
        <v>4.13</v>
      </c>
      <c r="P3032">
        <v>8584</v>
      </c>
      <c r="Q3032" t="inlineStr">
        <is>
          <t>67b05b9c29b9f70001c5c5ce</t>
        </is>
      </c>
      <c r="R3032"/>
      <c r="S3032" t="inlineStr">
        <is>
          <t>PPT模板</t>
        </is>
      </c>
      <c r="T3032" t="inlineStr">
        <is>
          <t>0.05</t>
        </is>
      </c>
      <c r="U3032" s="3">
        <v>46129.98012731481</v>
      </c>
      <c r="V3032"/>
      <c r="W3032" s="3">
        <v>46129</v>
      </c>
      <c r="X3032" t="inlineStr">
        <is>
          <t>04</t>
        </is>
      </c>
      <c r="Y3032" t="inlineStr">
        <is>
          <t>2026-Q2</t>
        </is>
      </c>
    </row>
    <row r="3033" ht="38.25" customHeight="1">
      <c r="A3033" t="inlineStr">
        <is>
          <t>2026新统编版初中历史七八九年级上下册PPT课件教案学案教学设计</t>
        </is>
      </c>
      <c r="B3033" t="inlineStr">
        <is>
          <t>__upload_recvh3WF3mz5St.jpg</t>
        </is>
      </c>
      <c r="C3033" s="2" t="str">
        <f>=HYPERLINK("https://xhslink.com/m/uwjgIRay8C", "https://xhslink.com/m/uwjgIRay8C")</f>
        <v>https://xhslink.com/m/uwjgIRay8C</v>
      </c>
      <c r="D3033"/>
      <c r="E3033">
        <v>1275</v>
      </c>
      <c r="F3033">
        <v>50</v>
      </c>
      <c r="G3033"/>
      <c r="H3033">
        <v>200</v>
      </c>
      <c r="I3033"/>
      <c r="J3033"/>
      <c r="K3033" t="inlineStr">
        <is>
          <t>历史课件</t>
        </is>
      </c>
      <c r="L3033"/>
      <c r="M3033" t="inlineStr">
        <is>
          <t>张老师智慧屋的店</t>
        </is>
      </c>
      <c r="N3033">
        <v>4218</v>
      </c>
      <c r="O3033">
        <v>4.56</v>
      </c>
      <c r="P3033">
        <v>10000</v>
      </c>
      <c r="Q3033" t="inlineStr">
        <is>
          <t>67f35e14e8f243000105753a</t>
        </is>
      </c>
      <c r="R3033" t="inlineStr">
        <is>
          <t>🚫重复</t>
        </is>
      </c>
      <c r="S3033" t="inlineStr">
        <is>
          <t>中小学教辅/教材</t>
        </is>
      </c>
      <c r="T3033" t="inlineStr">
        <is>
          <t>0.30</t>
        </is>
      </c>
      <c r="U3033" s="3">
        <v>46129.98012731481</v>
      </c>
      <c r="V3033"/>
      <c r="W3033" s="3">
        <v>46129</v>
      </c>
      <c r="X3033" t="inlineStr">
        <is>
          <t>04</t>
        </is>
      </c>
      <c r="Y3033" t="inlineStr">
        <is>
          <t>2026-Q2</t>
        </is>
      </c>
    </row>
    <row r="3034" ht="38.25" customHeight="1">
      <c r="A3034" t="inlineStr">
        <is>
          <t>2026新人教版初中历史七八九年级上下册PPT课件教案练习试题计划</t>
        </is>
      </c>
      <c r="B3034" t="inlineStr">
        <is>
          <t>__upload_recvh3WF3mupuj.jpg</t>
        </is>
      </c>
      <c r="C3034" s="2" t="str">
        <f>=HYPERLINK("https://xhslink.com/m/9MV9446dynT", "https://xhslink.com/m/9MV9446dynT")</f>
        <v>https://xhslink.com/m/9MV9446dynT</v>
      </c>
      <c r="D3034"/>
      <c r="E3034">
        <v>543</v>
      </c>
      <c r="F3034">
        <v>35.6</v>
      </c>
      <c r="G3034"/>
      <c r="H3034">
        <v>100</v>
      </c>
      <c r="I3034"/>
      <c r="J3034"/>
      <c r="K3034" t="inlineStr">
        <is>
          <t>历史课件</t>
        </is>
      </c>
      <c r="L3034"/>
      <c r="M3034" t="inlineStr">
        <is>
          <t>小小智慧的店</t>
        </is>
      </c>
      <c r="N3034">
        <v>8880</v>
      </c>
      <c r="O3034">
        <v>4.62</v>
      </c>
      <c r="P3034">
        <v>57000</v>
      </c>
      <c r="Q3034" t="inlineStr">
        <is>
          <t>6759d8b67f06b00001cd37e8</t>
        </is>
      </c>
      <c r="R3034" t="inlineStr">
        <is>
          <t>🚫重复</t>
        </is>
      </c>
      <c r="S3034" t="inlineStr">
        <is>
          <t>中小学教辅/教材</t>
        </is>
      </c>
      <c r="T3034" t="inlineStr">
        <is>
          <t>0.06</t>
        </is>
      </c>
      <c r="U3034" s="3">
        <v>46129.98012731481</v>
      </c>
      <c r="V3034"/>
      <c r="W3034" s="3">
        <v>46129</v>
      </c>
      <c r="X3034" t="inlineStr">
        <is>
          <t>04</t>
        </is>
      </c>
      <c r="Y3034" t="inlineStr">
        <is>
          <t>2026-Q2</t>
        </is>
      </c>
    </row>
    <row r="3035" ht="38.25" customHeight="1">
      <c r="A3035" t="inlineStr">
        <is>
          <t>【KC07-01】七年级下册历史教材中国古代史故事课件（一共22课）</t>
        </is>
      </c>
      <c r="B3035" t="inlineStr">
        <is>
          <t>__upload_recvh3WF3mpCfh.jpg</t>
        </is>
      </c>
      <c r="C3035" s="2" t="str">
        <f>=HYPERLINK("https://xhslink.com/m/8VB4UcxyiUA", "https://xhslink.com/m/8VB4UcxyiUA")</f>
        <v>https://xhslink.com/m/8VB4UcxyiUA</v>
      </c>
      <c r="D3035"/>
      <c r="E3035">
        <v>507</v>
      </c>
      <c r="F3035">
        <v>59.9</v>
      </c>
      <c r="G3035"/>
      <c r="H3035">
        <v>200</v>
      </c>
      <c r="I3035"/>
      <c r="J3035"/>
      <c r="K3035" t="inlineStr">
        <is>
          <t>历史课件</t>
        </is>
      </c>
      <c r="L3035"/>
      <c r="M3035" t="inlineStr">
        <is>
          <t>还没上课我就想放假的店</t>
        </is>
      </c>
      <c r="N3035">
        <v>1449</v>
      </c>
      <c r="O3035">
        <v>4.36</v>
      </c>
      <c r="P3035">
        <v>3208</v>
      </c>
      <c r="Q3035" t="inlineStr">
        <is>
          <t>69a44a8fca73c20001708d9d</t>
        </is>
      </c>
      <c r="R3035"/>
      <c r="S3035" t="inlineStr">
        <is>
          <t>中小学教辅/教材</t>
        </is>
      </c>
      <c r="T3035" t="inlineStr">
        <is>
          <t>0.35</t>
        </is>
      </c>
      <c r="U3035" s="3">
        <v>46129.98012731481</v>
      </c>
      <c r="V3035"/>
      <c r="W3035" s="3">
        <v>46129</v>
      </c>
      <c r="X3035" t="inlineStr">
        <is>
          <t>04</t>
        </is>
      </c>
      <c r="Y3035" t="inlineStr">
        <is>
          <t>2026-Q2</t>
        </is>
      </c>
    </row>
    <row r="3036" ht="38.25" customHeight="1">
      <c r="A3036" t="inlineStr">
        <is>
          <t>八下历史：全册课件（预售，请看商品说明）</t>
        </is>
      </c>
      <c r="B3036" t="inlineStr">
        <is>
          <t>__upload_recvh3WF3mB19Q.jpg</t>
        </is>
      </c>
      <c r="C3036" s="2" t="str">
        <f>=HYPERLINK("https://xhslink.com/m/85i0dRXbQ0K", "https://xhslink.com/m/85i0dRXbQ0K")</f>
        <v>https://xhslink.com/m/85i0dRXbQ0K</v>
      </c>
      <c r="D3036"/>
      <c r="E3036">
        <v>417</v>
      </c>
      <c r="F3036">
        <v>159</v>
      </c>
      <c r="G3036"/>
      <c r="H3036">
        <v>250</v>
      </c>
      <c r="I3036"/>
      <c r="J3036"/>
      <c r="K3036" t="inlineStr">
        <is>
          <t>历史课件</t>
        </is>
      </c>
      <c r="L3036"/>
      <c r="M3036" t="inlineStr">
        <is>
          <t>兰长宜的店</t>
        </is>
      </c>
      <c r="N3036">
        <v>8126</v>
      </c>
      <c r="O3036">
        <v>4.51</v>
      </c>
      <c r="P3036">
        <v>11000</v>
      </c>
      <c r="Q3036" t="inlineStr">
        <is>
          <t>695fbe7ef7aaae000140975b</t>
        </is>
      </c>
      <c r="R3036"/>
      <c r="S3036" t="inlineStr">
        <is>
          <t>中小学教辅/教材</t>
        </is>
      </c>
      <c r="T3036" t="inlineStr">
        <is>
          <t>0.05</t>
        </is>
      </c>
      <c r="U3036" s="3">
        <v>46129.98012731481</v>
      </c>
      <c r="V3036"/>
      <c r="W3036" s="3">
        <v>46129</v>
      </c>
      <c r="X3036" t="inlineStr">
        <is>
          <t>04</t>
        </is>
      </c>
      <c r="Y3036" t="inlineStr">
        <is>
          <t>2026-Q2</t>
        </is>
      </c>
    </row>
    <row r="3037" ht="38.25" customHeight="1">
      <c r="A3037" t="inlineStr">
        <is>
          <t>2026届初三中考历史一轮复习课件+教案+单元测试题（整套专辑购买</t>
        </is>
      </c>
      <c r="B3037" t="inlineStr">
        <is>
          <t>__upload_recvh3WF3m84fH.jpg</t>
        </is>
      </c>
      <c r="C3037" s="2" t="str">
        <f>=HYPERLINK("https://xhslink.com/m/1uTG9EvLIM4", "https://xhslink.com/m/1uTG9EvLIM4")</f>
        <v>https://xhslink.com/m/1uTG9EvLIM4</v>
      </c>
      <c r="D3037"/>
      <c r="E3037">
        <v>373</v>
      </c>
      <c r="F3037">
        <v>169</v>
      </c>
      <c r="G3037"/>
      <c r="H3037">
        <v>100</v>
      </c>
      <c r="I3037"/>
      <c r="J3037"/>
      <c r="K3037" t="inlineStr">
        <is>
          <t>历史课件</t>
        </is>
      </c>
      <c r="L3037"/>
      <c r="M3037" t="inlineStr">
        <is>
          <t>一蓑烟雨工作室的店</t>
        </is>
      </c>
      <c r="N3037">
        <v>8301</v>
      </c>
      <c r="O3037">
        <v>4.49</v>
      </c>
      <c r="P3037">
        <v>4715</v>
      </c>
      <c r="Q3037" t="inlineStr">
        <is>
          <t>679d7d1a5ed72700012d6bcf</t>
        </is>
      </c>
      <c r="R3037"/>
      <c r="S3037" t="inlineStr">
        <is>
          <t>中小学教辅/教材</t>
        </is>
      </c>
      <c r="T3037" t="inlineStr">
        <is>
          <t>0.04</t>
        </is>
      </c>
      <c r="U3037" s="3">
        <v>46129.98012731481</v>
      </c>
      <c r="V3037"/>
      <c r="W3037" s="3">
        <v>46129</v>
      </c>
      <c r="X3037" t="inlineStr">
        <is>
          <t>04</t>
        </is>
      </c>
      <c r="Y3037" t="inlineStr">
        <is>
          <t>2026-Q2</t>
        </is>
      </c>
    </row>
    <row r="3038" ht="38.25" customHeight="1">
      <c r="A3038" t="inlineStr">
        <is>
          <t>26/27届春招+实习+秋招信息汇总表（每日更新赠送资料）</t>
        </is>
      </c>
      <c r="B3038" t="inlineStr">
        <is>
          <t>__upload_recvh3WF3mtyZD.jpg</t>
        </is>
      </c>
      <c r="C3038" s="2" t="str">
        <f>=HYPERLINK("https://xhslink.com/m/10xix2TtByi", "https://xhslink.com/m/10xix2TtByi")</f>
        <v>https://xhslink.com/m/10xix2TtByi</v>
      </c>
      <c r="D3038"/>
      <c r="E3038">
        <v>24000</v>
      </c>
      <c r="F3038">
        <v>9.9</v>
      </c>
      <c r="G3038"/>
      <c r="H3038">
        <v>2000</v>
      </c>
      <c r="I3038"/>
      <c r="J3038"/>
      <c r="K3038" t="inlineStr">
        <is>
          <t>春招</t>
        </is>
      </c>
      <c r="L3038" t="inlineStr">
        <is>
          <t>🔥低粉爆款</t>
        </is>
      </c>
      <c r="M3038" t="inlineStr">
        <is>
          <t>嘟嘟吖爱读书的店</t>
        </is>
      </c>
      <c r="N3038">
        <v>1215</v>
      </c>
      <c r="O3038">
        <v>4.57</v>
      </c>
      <c r="P3038">
        <v>25000</v>
      </c>
      <c r="Q3038" t="inlineStr">
        <is>
          <t>68911a2179bc470001436f28</t>
        </is>
      </c>
      <c r="R3038" t="inlineStr">
        <is>
          <t>🚫重复</t>
        </is>
      </c>
      <c r="S3038" t="inlineStr">
        <is>
          <t>求职面试/职场</t>
        </is>
      </c>
      <c r="T3038" t="inlineStr">
        <is>
          <t>19.75</t>
        </is>
      </c>
      <c r="U3038" s="3">
        <v>46129.98012731481</v>
      </c>
      <c r="V3038"/>
      <c r="W3038" s="3">
        <v>46129</v>
      </c>
      <c r="X3038" t="inlineStr">
        <is>
          <t>04</t>
        </is>
      </c>
      <c r="Y3038" t="inlineStr">
        <is>
          <t>2026-Q2</t>
        </is>
      </c>
    </row>
    <row r="3039" ht="38.25" customHeight="1">
      <c r="A3039" t="inlineStr">
        <is>
          <t>24届25届【往届生校招汇总表】   每日更新    一键投递</t>
        </is>
      </c>
      <c r="B3039" t="inlineStr">
        <is>
          <t>__upload_recvh3WF3mdZHH.jpg</t>
        </is>
      </c>
      <c r="C3039" s="2" t="str">
        <f>=HYPERLINK("https://xhslink.com/m/4TOubtXZ6LM", "https://xhslink.com/m/4TOubtXZ6LM")</f>
        <v>https://xhslink.com/m/4TOubtXZ6LM</v>
      </c>
      <c r="D3039"/>
      <c r="E3039">
        <v>3596</v>
      </c>
      <c r="F3039">
        <v>49.99</v>
      </c>
      <c r="G3039"/>
      <c r="H3039">
        <v>350</v>
      </c>
      <c r="I3039"/>
      <c r="J3039"/>
      <c r="K3039" t="inlineStr">
        <is>
          <t>春招</t>
        </is>
      </c>
      <c r="L3039"/>
      <c r="M3039" t="inlineStr">
        <is>
          <t>校招信息一锅端的店</t>
        </is>
      </c>
      <c r="N3039">
        <v>11000</v>
      </c>
      <c r="O3039">
        <v>4.63</v>
      </c>
      <c r="P3039">
        <v>9641</v>
      </c>
      <c r="Q3039" t="inlineStr">
        <is>
          <t>694d529ae7d6bb0001a9b2c2</t>
        </is>
      </c>
      <c r="R3039" t="inlineStr">
        <is>
          <t>🚫重复</t>
        </is>
      </c>
      <c r="S3039" t="inlineStr">
        <is>
          <t>求职面试/职场</t>
        </is>
      </c>
      <c r="T3039" t="inlineStr">
        <is>
          <t>0.33</t>
        </is>
      </c>
      <c r="U3039" s="3">
        <v>46129.98012731481</v>
      </c>
      <c r="V3039"/>
      <c r="W3039" s="3">
        <v>46129</v>
      </c>
      <c r="X3039" t="inlineStr">
        <is>
          <t>04</t>
        </is>
      </c>
      <c r="Y3039" t="inlineStr">
        <is>
          <t>2026-Q2</t>
        </is>
      </c>
    </row>
    <row r="3040" ht="38.25" customHeight="1">
      <c r="A3040" t="inlineStr">
        <is>
          <t>26届27届【春招&amp;秋招&amp;实习】汇总表  每日更新  一键投递</t>
        </is>
      </c>
      <c r="B3040" t="inlineStr">
        <is>
          <t>__upload_recvh3WF3maXrx.jpg</t>
        </is>
      </c>
      <c r="C3040" s="2" t="str">
        <f>=HYPERLINK("https://xhslink.com/m/33XiQ32TUgw", "https://xhslink.com/m/33XiQ32TUgw")</f>
        <v>https://xhslink.com/m/33XiQ32TUgw</v>
      </c>
      <c r="D3040"/>
      <c r="E3040">
        <v>3235</v>
      </c>
      <c r="F3040">
        <v>99.99</v>
      </c>
      <c r="G3040"/>
      <c r="H3040">
        <v>150</v>
      </c>
      <c r="I3040"/>
      <c r="J3040"/>
      <c r="K3040" t="inlineStr">
        <is>
          <t>春招</t>
        </is>
      </c>
      <c r="L3040"/>
      <c r="M3040" t="inlineStr">
        <is>
          <t>校招信息一锅端的店</t>
        </is>
      </c>
      <c r="N3040">
        <v>11000</v>
      </c>
      <c r="O3040">
        <v>4.63</v>
      </c>
      <c r="P3040">
        <v>9641</v>
      </c>
      <c r="Q3040" t="inlineStr">
        <is>
          <t>694d4fbd23d3ce00018d0dfc</t>
        </is>
      </c>
      <c r="R3040" t="inlineStr">
        <is>
          <t>🚫重复</t>
        </is>
      </c>
      <c r="S3040" t="inlineStr">
        <is>
          <t>求职面试/职场</t>
        </is>
      </c>
      <c r="T3040" t="inlineStr">
        <is>
          <t>0.29</t>
        </is>
      </c>
      <c r="U3040" s="3">
        <v>46129.98012731481</v>
      </c>
      <c r="V3040"/>
      <c r="W3040" s="3">
        <v>46129</v>
      </c>
      <c r="X3040" t="inlineStr">
        <is>
          <t>04</t>
        </is>
      </c>
      <c r="Y3040" t="inlineStr">
        <is>
          <t>2026-Q2</t>
        </is>
      </c>
    </row>
    <row r="3041" ht="38.25" customHeight="1">
      <c r="A3041" t="inlineStr">
        <is>
          <t>26届-29届实习信息汇总表  寒假\暑假\日常实习 每日更新</t>
        </is>
      </c>
      <c r="B3041" t="inlineStr">
        <is>
          <t>__upload_recvh3WF3miGql.jpg</t>
        </is>
      </c>
      <c r="C3041" s="2" t="str">
        <f>=HYPERLINK("https://xhslink.com/m/9OsKqF44zdP", "https://xhslink.com/m/9OsKqF44zdP")</f>
        <v>https://xhslink.com/m/9OsKqF44zdP</v>
      </c>
      <c r="D3041"/>
      <c r="E3041">
        <v>2848</v>
      </c>
      <c r="F3041">
        <v>99.9</v>
      </c>
      <c r="G3041"/>
      <c r="H3041">
        <v>1500</v>
      </c>
      <c r="I3041"/>
      <c r="J3041"/>
      <c r="K3041" t="inlineStr">
        <is>
          <t>春招</t>
        </is>
      </c>
      <c r="L3041"/>
      <c r="M3041" t="inlineStr">
        <is>
          <t>校招信息一锅端的店</t>
        </is>
      </c>
      <c r="N3041">
        <v>11000</v>
      </c>
      <c r="O3041">
        <v>4.63</v>
      </c>
      <c r="P3041">
        <v>9641</v>
      </c>
      <c r="Q3041" t="inlineStr">
        <is>
          <t>69ba716d11534f000194b15f</t>
        </is>
      </c>
      <c r="R3041" t="inlineStr">
        <is>
          <t>🚫重复</t>
        </is>
      </c>
      <c r="S3041" t="inlineStr">
        <is>
          <t>求职面试/职场</t>
        </is>
      </c>
      <c r="T3041" t="inlineStr">
        <is>
          <t>0.26</t>
        </is>
      </c>
      <c r="U3041" s="3">
        <v>46129.98012731481</v>
      </c>
      <c r="V3041"/>
      <c r="W3041" s="3">
        <v>46129</v>
      </c>
      <c r="X3041" t="inlineStr">
        <is>
          <t>04</t>
        </is>
      </c>
      <c r="Y3041" t="inlineStr">
        <is>
          <t>2026-Q2</t>
        </is>
      </c>
    </row>
    <row r="3042" ht="38.25" customHeight="1">
      <c r="A3042" t="inlineStr">
        <is>
          <t>27届暑期/秋招/春招信息汇总表（每日更新）</t>
        </is>
      </c>
      <c r="B3042" t="inlineStr">
        <is>
          <t>__upload_recvh3WF3mXFsF.jpg</t>
        </is>
      </c>
      <c r="C3042" s="2" t="str">
        <f>=HYPERLINK("https://xhslink.com/m/9zvvLjoxeB5", "https://xhslink.com/m/9zvvLjoxeB5")</f>
        <v>https://xhslink.com/m/9zvvLjoxeB5</v>
      </c>
      <c r="D3042"/>
      <c r="E3042">
        <v>1318</v>
      </c>
      <c r="F3042">
        <v>9.9</v>
      </c>
      <c r="G3042"/>
      <c r="H3042">
        <v>900</v>
      </c>
      <c r="I3042"/>
      <c r="J3042"/>
      <c r="K3042" t="inlineStr">
        <is>
          <t>春招</t>
        </is>
      </c>
      <c r="L3042"/>
      <c r="M3042" t="inlineStr">
        <is>
          <t>熬夜波比是我了的店</t>
        </is>
      </c>
      <c r="N3042">
        <v>18000</v>
      </c>
      <c r="O3042">
        <v>4.52</v>
      </c>
      <c r="P3042">
        <v>5382</v>
      </c>
      <c r="Q3042" t="inlineStr">
        <is>
          <t>699f0daf34470f0001ec47c1</t>
        </is>
      </c>
      <c r="R3042"/>
      <c r="S3042" t="inlineStr">
        <is>
          <t>求职面试/职场</t>
        </is>
      </c>
      <c r="T3042" t="inlineStr">
        <is>
          <t>0.07</t>
        </is>
      </c>
      <c r="U3042" s="3">
        <v>46129.98012731481</v>
      </c>
      <c r="V3042"/>
      <c r="W3042" s="3">
        <v>46129</v>
      </c>
      <c r="X3042" t="inlineStr">
        <is>
          <t>04</t>
        </is>
      </c>
      <c r="Y3042" t="inlineStr">
        <is>
          <t>2026-Q2</t>
        </is>
      </c>
    </row>
    <row r="3043" ht="38.25" customHeight="1">
      <c r="A3043" t="inlineStr">
        <is>
          <t>【23/24/25/26届】2026校招汇总 含秋春招/补录/往届/国央企/外企</t>
        </is>
      </c>
      <c r="B3043" t="inlineStr">
        <is>
          <t>__upload_recvh3WF3mKneS.jpg</t>
        </is>
      </c>
      <c r="C3043" s="2" t="str">
        <f>=HYPERLINK("https://xhslink.com/m/4mC1JL6z1B2", "https://xhslink.com/m/4mC1JL6z1B2")</f>
        <v>https://xhslink.com/m/4mC1JL6z1B2</v>
      </c>
      <c r="D3043"/>
      <c r="E3043">
        <v>1066</v>
      </c>
      <c r="F3043">
        <v>49.9</v>
      </c>
      <c r="G3043"/>
      <c r="H3043">
        <v>250</v>
      </c>
      <c r="I3043"/>
      <c r="J3043"/>
      <c r="K3043" t="inlineStr">
        <is>
          <t>春招</t>
        </is>
      </c>
      <c r="L3043"/>
      <c r="M3043" t="inlineStr">
        <is>
          <t>牛马学姐🐮（往届版）的店</t>
        </is>
      </c>
      <c r="N3043">
        <v>19000</v>
      </c>
      <c r="O3043">
        <v>4.33</v>
      </c>
      <c r="P3043">
        <v>1072</v>
      </c>
      <c r="Q3043" t="inlineStr">
        <is>
          <t>688887da417c3f000199db08</t>
        </is>
      </c>
      <c r="R3043" t="inlineStr">
        <is>
          <t>🚫重复</t>
        </is>
      </c>
      <c r="S3043" t="inlineStr">
        <is>
          <t>求职面试/职场</t>
        </is>
      </c>
      <c r="T3043" t="inlineStr">
        <is>
          <t>0.06</t>
        </is>
      </c>
      <c r="U3043" s="3">
        <v>46129.98012731481</v>
      </c>
      <c r="V3043"/>
      <c r="W3043" s="3">
        <v>46129</v>
      </c>
      <c r="X3043" t="inlineStr">
        <is>
          <t>04</t>
        </is>
      </c>
      <c r="Y3043" t="inlineStr">
        <is>
          <t>2026-Q2</t>
        </is>
      </c>
    </row>
    <row r="3044" ht="38.25" customHeight="1">
      <c r="A3044" t="inlineStr">
        <is>
          <t>26腾讯春招暑期实习测评整理（附答案</t>
        </is>
      </c>
      <c r="B3044" t="inlineStr">
        <is>
          <t>__upload_recvh3WF3mc6gZ.jpg</t>
        </is>
      </c>
      <c r="C3044" s="2" t="str">
        <f>=HYPERLINK("https://xhslink.com/m/ysmnj6Tb7L", "https://xhslink.com/m/ysmnj6Tb7L")</f>
        <v>https://xhslink.com/m/ysmnj6Tb7L</v>
      </c>
      <c r="D3044"/>
      <c r="E3044">
        <v>502</v>
      </c>
      <c r="F3044">
        <v>59.99</v>
      </c>
      <c r="G3044"/>
      <c r="H3044">
        <v>300</v>
      </c>
      <c r="I3044"/>
      <c r="J3044"/>
      <c r="K3044" t="inlineStr">
        <is>
          <t>春招</t>
        </is>
      </c>
      <c r="L3044"/>
      <c r="M3044" t="inlineStr">
        <is>
          <t>校招直通车的店</t>
        </is>
      </c>
      <c r="N3044">
        <v>462</v>
      </c>
      <c r="O3044">
        <v>4.22</v>
      </c>
      <c r="P3044">
        <v>7271</v>
      </c>
      <c r="Q3044" t="inlineStr">
        <is>
          <t>69a7a6760635fd0001e055fd</t>
        </is>
      </c>
      <c r="R3044"/>
      <c r="S3044" t="inlineStr">
        <is>
          <t>求职面试/职场</t>
        </is>
      </c>
      <c r="T3044" t="inlineStr">
        <is>
          <t>1.09</t>
        </is>
      </c>
      <c r="U3044" s="3">
        <v>46129.98012731481</v>
      </c>
      <c r="V3044"/>
      <c r="W3044" s="3">
        <v>46129</v>
      </c>
      <c r="X3044" t="inlineStr">
        <is>
          <t>04</t>
        </is>
      </c>
      <c r="Y3044" t="inlineStr">
        <is>
          <t>2026-Q2</t>
        </is>
      </c>
    </row>
    <row r="3045" ht="38.25" customHeight="1">
      <c r="A3045" t="inlineStr">
        <is>
          <t>26/27届春招+实习+秋招信息汇总表（每日更新赠送资料）</t>
        </is>
      </c>
      <c r="B3045" t="inlineStr">
        <is>
          <t>__upload_recvh3WF3mspBZ.jpg</t>
        </is>
      </c>
      <c r="C3045" s="2" t="str">
        <f>=HYPERLINK("https://xhslink.com/m/5gv81CK2dKq", "https://xhslink.com/m/5gv81CK2dKq")</f>
        <v>https://xhslink.com/m/5gv81CK2dKq</v>
      </c>
      <c r="D3045"/>
      <c r="E3045">
        <v>24000</v>
      </c>
      <c r="F3045">
        <v>16.9</v>
      </c>
      <c r="G3045"/>
      <c r="H3045">
        <v>2000</v>
      </c>
      <c r="I3045"/>
      <c r="J3045"/>
      <c r="K3045" t="inlineStr">
        <is>
          <t>秋招</t>
        </is>
      </c>
      <c r="L3045" t="inlineStr">
        <is>
          <t>🔥低粉爆款</t>
        </is>
      </c>
      <c r="M3045" t="inlineStr">
        <is>
          <t>嘟嘟吖爱读书的店</t>
        </is>
      </c>
      <c r="N3045">
        <v>1215</v>
      </c>
      <c r="O3045">
        <v>4.57</v>
      </c>
      <c r="P3045">
        <v>25000</v>
      </c>
      <c r="Q3045" t="inlineStr">
        <is>
          <t>68911a2179bc470001436f2e</t>
        </is>
      </c>
      <c r="R3045" t="inlineStr">
        <is>
          <t>🚫重复</t>
        </is>
      </c>
      <c r="S3045" t="inlineStr">
        <is>
          <t>求职面试/职场</t>
        </is>
      </c>
      <c r="T3045" t="inlineStr">
        <is>
          <t>19.75</t>
        </is>
      </c>
      <c r="U3045" s="3">
        <v>46129.98012731481</v>
      </c>
      <c r="V3045"/>
      <c r="W3045" s="3">
        <v>46129</v>
      </c>
      <c r="X3045" t="inlineStr">
        <is>
          <t>04</t>
        </is>
      </c>
      <c r="Y3045" t="inlineStr">
        <is>
          <t>2026-Q2</t>
        </is>
      </c>
    </row>
    <row r="3046" ht="38.25" customHeight="1">
      <c r="A3046" t="inlineStr">
        <is>
          <t>「当我们讨论自我，我们在讨论什么」认知知识库实体发货</t>
        </is>
      </c>
      <c r="B3046" t="inlineStr">
        <is>
          <t>__upload_recvh3WF3mmmka.jpg</t>
        </is>
      </c>
      <c r="C3046" s="2" t="str">
        <f>=HYPERLINK("https://xhslink.com/m/7unVNNdOB6B", "https://xhslink.com/m/7unVNNdOB6B")</f>
        <v>https://xhslink.com/m/7unVNNdOB6B</v>
      </c>
      <c r="D3046"/>
      <c r="E3046">
        <v>511</v>
      </c>
      <c r="F3046">
        <v>128</v>
      </c>
      <c r="G3046"/>
      <c r="H3046">
        <v>200</v>
      </c>
      <c r="I3046"/>
      <c r="J3046"/>
      <c r="K3046" t="inlineStr">
        <is>
          <t>知识库</t>
        </is>
      </c>
      <c r="L3046"/>
      <c r="M3046" t="inlineStr">
        <is>
          <t>Insight认知库的店</t>
        </is>
      </c>
      <c r="N3046">
        <v>413</v>
      </c>
      <c r="O3046">
        <v>4.52</v>
      </c>
      <c r="P3046">
        <v>526</v>
      </c>
      <c r="Q3046" t="inlineStr">
        <is>
          <t>6979a890226ff5000161f332</t>
        </is>
      </c>
      <c r="R3046"/>
      <c r="S3046" t="inlineStr">
        <is>
          <t>生活成长</t>
        </is>
      </c>
      <c r="T3046" t="inlineStr">
        <is>
          <t>1.24</t>
        </is>
      </c>
      <c r="U3046" s="3">
        <v>46129.98012731481</v>
      </c>
      <c r="V3046"/>
      <c r="W3046" s="3">
        <v>46129</v>
      </c>
      <c r="X3046" t="inlineStr">
        <is>
          <t>04</t>
        </is>
      </c>
      <c r="Y3046" t="inlineStr">
        <is>
          <t>2026-Q2</t>
        </is>
      </c>
    </row>
    <row r="3047" ht="38.25" customHeight="1">
      <c r="A3047" t="inlineStr">
        <is>
          <t>妈妈双语成长知识库</t>
        </is>
      </c>
      <c r="B3047" t="inlineStr">
        <is>
          <t>__upload_recvh3WF3muEzh.jpg</t>
        </is>
      </c>
      <c r="C3047" s="2" t="str">
        <f>=HYPERLINK("https://xhslink.com/m/mFrI9Ua5p6", "https://xhslink.com/m/mFrI9Ua5p6")</f>
        <v>https://xhslink.com/m/mFrI9Ua5p6</v>
      </c>
      <c r="D3047"/>
      <c r="E3047">
        <v>441</v>
      </c>
      <c r="F3047">
        <v>399</v>
      </c>
      <c r="G3047"/>
      <c r="H3047">
        <v>200</v>
      </c>
      <c r="I3047"/>
      <c r="J3047"/>
      <c r="K3047" t="inlineStr">
        <is>
          <t>知识库</t>
        </is>
      </c>
      <c r="L3047"/>
      <c r="M3047" t="inlineStr">
        <is>
          <t>同传妈妈Sophie的店</t>
        </is>
      </c>
      <c r="N3047">
        <v>24000</v>
      </c>
      <c r="O3047">
        <v>4.17</v>
      </c>
      <c r="P3047">
        <v>648</v>
      </c>
      <c r="Q3047" t="inlineStr">
        <is>
          <t>699965a187daa00001883e17</t>
        </is>
      </c>
      <c r="R3047"/>
      <c r="S3047" t="inlineStr">
        <is>
          <t>生活成长</t>
        </is>
      </c>
      <c r="T3047" t="inlineStr">
        <is>
          <t>0.02</t>
        </is>
      </c>
      <c r="U3047" s="3">
        <v>46129.98012731481</v>
      </c>
      <c r="V3047"/>
      <c r="W3047" s="3">
        <v>46129</v>
      </c>
      <c r="X3047" t="inlineStr">
        <is>
          <t>04</t>
        </is>
      </c>
      <c r="Y3047" t="inlineStr">
        <is>
          <t>2026-Q2</t>
        </is>
      </c>
    </row>
    <row r="3048" ht="38.25" customHeight="1">
      <c r="A3048" t="inlineStr">
        <is>
          <t>人工线上云监督促学习考研计划减肥运动叫提醒自律陪学自习室服务</t>
        </is>
      </c>
      <c r="B3048" t="inlineStr">
        <is>
          <t>__upload_recvh3WF3m5TbX.jpg</t>
        </is>
      </c>
      <c r="C3048" s="2" t="str">
        <f>=HYPERLINK("https://xhslink.com/m/4JUxRWHKMLM", "https://xhslink.com/m/4JUxRWHKMLM")</f>
        <v>https://xhslink.com/m/4JUxRWHKMLM</v>
      </c>
      <c r="D3048"/>
      <c r="E3048">
        <v>7814</v>
      </c>
      <c r="F3048">
        <v>15</v>
      </c>
      <c r="G3048"/>
      <c r="H3048">
        <v>400</v>
      </c>
      <c r="I3048"/>
      <c r="J3048"/>
      <c r="K3048" t="inlineStr">
        <is>
          <t>自习</t>
        </is>
      </c>
      <c r="L3048" t="inlineStr">
        <is>
          <t>🔥低粉爆款</t>
        </is>
      </c>
      <c r="M3048" t="inlineStr">
        <is>
          <t>内卷王就是我的店</t>
        </is>
      </c>
      <c r="N3048">
        <v>996</v>
      </c>
      <c r="O3048">
        <v>4.35</v>
      </c>
      <c r="P3048">
        <v>7902</v>
      </c>
      <c r="Q3048" t="inlineStr">
        <is>
          <t>67fbcd058c174700012209d3</t>
        </is>
      </c>
      <c r="R3048" t="inlineStr">
        <is>
          <t>🚫重复</t>
        </is>
      </c>
      <c r="S3048" t="inlineStr">
        <is>
          <t>咨询服务</t>
        </is>
      </c>
      <c r="T3048" t="inlineStr">
        <is>
          <t>7.85</t>
        </is>
      </c>
      <c r="U3048" s="3">
        <v>46129.98012731481</v>
      </c>
      <c r="V3048"/>
      <c r="W3048" s="3">
        <v>46129</v>
      </c>
      <c r="X3048" t="inlineStr">
        <is>
          <t>04</t>
        </is>
      </c>
      <c r="Y3048" t="inlineStr">
        <is>
          <t>2026-Q2</t>
        </is>
      </c>
    </row>
    <row r="3049" ht="38.25" customHeight="1">
      <c r="A3049" t="inlineStr">
        <is>
          <t>24h腾讯会议线上自习室考公考研考编高考雅思有提醒无监督</t>
        </is>
      </c>
      <c r="B3049" t="inlineStr">
        <is>
          <t>__upload_recvh3WF3mxAx7.jpg</t>
        </is>
      </c>
      <c r="C3049" s="2" t="str">
        <f>=HYPERLINK("https://xhslink.com/m/18qBZZIiDDW", "https://xhslink.com/m/18qBZZIiDDW")</f>
        <v>https://xhslink.com/m/18qBZZIiDDW</v>
      </c>
      <c r="D3049"/>
      <c r="E3049">
        <v>2371</v>
      </c>
      <c r="F3049">
        <v>12.8</v>
      </c>
      <c r="G3049"/>
      <c r="H3049">
        <v>400</v>
      </c>
      <c r="I3049">
        <v>1000</v>
      </c>
      <c r="J3049"/>
      <c r="K3049" t="inlineStr">
        <is>
          <t>自习</t>
        </is>
      </c>
      <c r="L3049" t="inlineStr">
        <is>
          <t>🔥低粉爆款</t>
        </is>
      </c>
      <c r="M3049" t="inlineStr">
        <is>
          <t>土豆自习室的店</t>
        </is>
      </c>
      <c r="N3049">
        <v>624</v>
      </c>
      <c r="O3049">
        <v>4.11</v>
      </c>
      <c r="P3049">
        <v>2361</v>
      </c>
      <c r="Q3049" t="inlineStr">
        <is>
          <t>6900c42d3f37a90001256972</t>
        </is>
      </c>
      <c r="R3049" t="inlineStr">
        <is>
          <t>🚫重复</t>
        </is>
      </c>
      <c r="S3049" t="inlineStr">
        <is>
          <t>无匹配类别</t>
        </is>
      </c>
      <c r="T3049" t="inlineStr">
        <is>
          <t>3.80</t>
        </is>
      </c>
      <c r="U3049" s="3">
        <v>46129.98012731481</v>
      </c>
      <c r="V3049"/>
      <c r="W3049" s="3">
        <v>46129</v>
      </c>
      <c r="X3049" t="inlineStr">
        <is>
          <t>04</t>
        </is>
      </c>
      <c r="Y3049" t="inlineStr">
        <is>
          <t>2026-Q2</t>
        </is>
      </c>
    </row>
    <row r="3050" ht="38.25" customHeight="1">
      <c r="A3050" t="inlineStr">
        <is>
          <t>24h腾讯会议线上自习室考研考公考编雅思托福高考有提醒无监督</t>
        </is>
      </c>
      <c r="B3050" t="inlineStr">
        <is>
          <t>__upload_recvh3WF3mdDgI.jpg</t>
        </is>
      </c>
      <c r="C3050" s="2" t="str">
        <f>=HYPERLINK("https://xhslink.com/m/6IhoFdUZA6j", "https://xhslink.com/m/6IhoFdUZA6j")</f>
        <v>https://xhslink.com/m/6IhoFdUZA6j</v>
      </c>
      <c r="D3050"/>
      <c r="E3050">
        <v>1213</v>
      </c>
      <c r="F3050">
        <v>5.8</v>
      </c>
      <c r="G3050"/>
      <c r="H3050">
        <v>350</v>
      </c>
      <c r="I3050">
        <v>1000</v>
      </c>
      <c r="J3050"/>
      <c r="K3050" t="inlineStr">
        <is>
          <t>自习</t>
        </is>
      </c>
      <c r="L3050" t="inlineStr">
        <is>
          <t>🔥低粉爆款</t>
        </is>
      </c>
      <c r="M3050" t="inlineStr">
        <is>
          <t>桃子自习室的店</t>
        </is>
      </c>
      <c r="N3050">
        <v>317</v>
      </c>
      <c r="O3050">
        <v>4.13</v>
      </c>
      <c r="P3050">
        <v>1210</v>
      </c>
      <c r="Q3050" t="inlineStr">
        <is>
          <t>69646eb093c746000158c0e1</t>
        </is>
      </c>
      <c r="R3050" t="inlineStr">
        <is>
          <t>🚫重复</t>
        </is>
      </c>
      <c r="S3050" t="inlineStr">
        <is>
          <t>无匹配类别</t>
        </is>
      </c>
      <c r="T3050" t="inlineStr">
        <is>
          <t>3.83</t>
        </is>
      </c>
      <c r="U3050" s="3">
        <v>46129.98012731481</v>
      </c>
      <c r="V3050"/>
      <c r="W3050" s="3">
        <v>46129</v>
      </c>
      <c r="X3050" t="inlineStr">
        <is>
          <t>04</t>
        </is>
      </c>
      <c r="Y3050" t="inlineStr">
        <is>
          <t>2026-Q2</t>
        </is>
      </c>
    </row>
    <row r="3051" ht="38.25" customHeight="1">
      <c r="A3051" t="inlineStr">
        <is>
          <t>初中语文数学英语生物化史地道法知识点【电子版】</t>
        </is>
      </c>
      <c r="B3051" t="inlineStr">
        <is>
          <t>__upload_recvh3WF3mLbuI.jpg</t>
        </is>
      </c>
      <c r="C3051" s="2" t="str">
        <f>=HYPERLINK("https://xhslink.com/m/5Qluox3zdOS", "https://xhslink.com/m/5Qluox3zdOS")</f>
        <v>https://xhslink.com/m/5Qluox3zdOS</v>
      </c>
      <c r="D3051"/>
      <c r="E3051">
        <v>5943</v>
      </c>
      <c r="F3051">
        <v>25.8</v>
      </c>
      <c r="G3051"/>
      <c r="H3051">
        <v>550</v>
      </c>
      <c r="I3051">
        <v>1000</v>
      </c>
      <c r="J3051"/>
      <c r="K3051" t="inlineStr">
        <is>
          <t>学科资料</t>
        </is>
      </c>
      <c r="L3051" t="inlineStr">
        <is>
          <t>🔥低粉爆款</t>
        </is>
      </c>
      <c r="M3051" t="inlineStr">
        <is>
          <t>周老师的资料库的店</t>
        </is>
      </c>
      <c r="N3051">
        <v>1777</v>
      </c>
      <c r="O3051">
        <v>4.61</v>
      </c>
      <c r="P3051">
        <v>15000</v>
      </c>
      <c r="Q3051" t="inlineStr">
        <is>
          <t>6821b8672f87160015e79dcd</t>
        </is>
      </c>
      <c r="R3051" t="inlineStr">
        <is>
          <t>🚫重复</t>
        </is>
      </c>
      <c r="S3051" t="inlineStr">
        <is>
          <t>中小学教辅/教材</t>
        </is>
      </c>
      <c r="T3051" t="inlineStr">
        <is>
          <t>3.34</t>
        </is>
      </c>
      <c r="U3051" s="3">
        <v>46129.98012731481</v>
      </c>
      <c r="V3051"/>
      <c r="W3051" s="3">
        <v>46129</v>
      </c>
      <c r="X3051" t="inlineStr">
        <is>
          <t>04</t>
        </is>
      </c>
      <c r="Y3051" t="inlineStr">
        <is>
          <t>2026-Q2</t>
        </is>
      </c>
    </row>
    <row r="3052" ht="38.25" customHeight="1">
      <c r="A3052" t="inlineStr">
        <is>
          <t>悦刊 · 大少年报纸阳光少年报初中版杂志中小学生新闻实时学科素材期刊报</t>
        </is>
      </c>
      <c r="B3052" t="inlineStr">
        <is>
          <t>__upload_recvh3WF3maebS.jpg</t>
        </is>
      </c>
      <c r="C3052" s="2" t="str">
        <f>=HYPERLINK("https://xhslink.com/m/662gTL1jW9a", "https://xhslink.com/m/662gTL1jW9a")</f>
        <v>https://xhslink.com/m/662gTL1jW9a</v>
      </c>
      <c r="D3052"/>
      <c r="E3052">
        <v>5742</v>
      </c>
      <c r="F3052">
        <v>299</v>
      </c>
      <c r="G3052"/>
      <c r="H3052">
        <v>100</v>
      </c>
      <c r="I3052"/>
      <c r="J3052"/>
      <c r="K3052" t="inlineStr">
        <is>
          <t>学科资料</t>
        </is>
      </c>
      <c r="L3052"/>
      <c r="M3052" t="inlineStr">
        <is>
          <t>悦刊旗舰店</t>
        </is>
      </c>
      <c r="N3052">
        <v>87000</v>
      </c>
      <c r="O3052">
        <v>4.7</v>
      </c>
      <c r="P3052">
        <v>195000</v>
      </c>
      <c r="Q3052" t="inlineStr">
        <is>
          <t>65e29f1788bacf0001dba2eb</t>
        </is>
      </c>
      <c r="R3052" t="inlineStr">
        <is>
          <t>🚫重复</t>
        </is>
      </c>
      <c r="S3052" t="inlineStr">
        <is>
          <t>中小学教辅/教材</t>
        </is>
      </c>
      <c r="T3052" t="inlineStr">
        <is>
          <t>0.07</t>
        </is>
      </c>
      <c r="U3052" s="3">
        <v>46129.98012731481</v>
      </c>
      <c r="V3052"/>
      <c r="W3052" s="3">
        <v>46129</v>
      </c>
      <c r="X3052" t="inlineStr">
        <is>
          <t>04</t>
        </is>
      </c>
      <c r="Y3052" t="inlineStr">
        <is>
          <t>2026-Q2</t>
        </is>
      </c>
    </row>
    <row r="3053" ht="38.25" customHeight="1">
      <c r="A3053" t="inlineStr">
        <is>
          <t>教科版科学一至六年级上下｜全册PPT、教学设计、教学计划等</t>
        </is>
      </c>
      <c r="B3053" t="inlineStr">
        <is>
          <t>__upload_recvh3WF3mqmlv.jpg</t>
        </is>
      </c>
      <c r="C3053" s="2" t="str">
        <f>=HYPERLINK("https://xhslink.com/m/7naEhu5Saea", "https://xhslink.com/m/7naEhu5Saea")</f>
        <v>https://xhslink.com/m/7naEhu5Saea</v>
      </c>
      <c r="D3053"/>
      <c r="E3053">
        <v>1101</v>
      </c>
      <c r="F3053">
        <v>36.9</v>
      </c>
      <c r="G3053"/>
      <c r="H3053">
        <v>100</v>
      </c>
      <c r="I3053"/>
      <c r="J3053"/>
      <c r="K3053" t="inlineStr">
        <is>
          <t>学科资料</t>
        </is>
      </c>
      <c r="L3053"/>
      <c r="M3053" t="inlineStr">
        <is>
          <t>科学禾子老师的店</t>
        </is>
      </c>
      <c r="N3053">
        <v>5098</v>
      </c>
      <c r="O3053">
        <v>4.19</v>
      </c>
      <c r="P3053">
        <v>7435</v>
      </c>
      <c r="Q3053" t="inlineStr">
        <is>
          <t>67829a94f82524000146f826</t>
        </is>
      </c>
      <c r="R3053"/>
      <c r="S3053" t="inlineStr">
        <is>
          <t>中小学教辅/教材</t>
        </is>
      </c>
      <c r="T3053" t="inlineStr">
        <is>
          <t>0.22</t>
        </is>
      </c>
      <c r="U3053" s="3">
        <v>46129.98012731481</v>
      </c>
      <c r="V3053"/>
      <c r="W3053" s="3">
        <v>46129</v>
      </c>
      <c r="X3053" t="inlineStr">
        <is>
          <t>04</t>
        </is>
      </c>
      <c r="Y3053" t="inlineStr">
        <is>
          <t>2026-Q2</t>
        </is>
      </c>
    </row>
    <row r="3054" ht="38.25" customHeight="1">
      <c r="A3054" t="inlineStr">
        <is>
          <t>初中物理网课B站于总CEO八九年级视频课课件习题讲义完结版全集</t>
        </is>
      </c>
      <c r="B3054" t="inlineStr">
        <is>
          <t>__upload_recvh3WF3mg0hU.jpg</t>
        </is>
      </c>
      <c r="C3054" s="2" t="str">
        <f>=HYPERLINK("https://xhslink.com/m/ApRZSzkNebe", "https://xhslink.com/m/ApRZSzkNebe")</f>
        <v>https://xhslink.com/m/ApRZSzkNebe</v>
      </c>
      <c r="D3054"/>
      <c r="E3054">
        <v>948</v>
      </c>
      <c r="F3054">
        <v>99.9</v>
      </c>
      <c r="G3054"/>
      <c r="H3054">
        <v>100</v>
      </c>
      <c r="I3054"/>
      <c r="J3054"/>
      <c r="K3054" t="inlineStr">
        <is>
          <t>学科资料</t>
        </is>
      </c>
      <c r="L3054"/>
      <c r="M3054" t="inlineStr">
        <is>
          <t>零点的店</t>
        </is>
      </c>
      <c r="N3054">
        <v>1410</v>
      </c>
      <c r="O3054">
        <v>4.31</v>
      </c>
      <c r="P3054">
        <v>1716</v>
      </c>
      <c r="Q3054" t="inlineStr">
        <is>
          <t>68f0f65553446d000139792d</t>
        </is>
      </c>
      <c r="R3054" t="inlineStr">
        <is>
          <t>🚫重复</t>
        </is>
      </c>
      <c r="S3054" t="inlineStr">
        <is>
          <t>中小学教辅/教材</t>
        </is>
      </c>
      <c r="T3054" t="inlineStr">
        <is>
          <t>0.67</t>
        </is>
      </c>
      <c r="U3054" s="3">
        <v>46129.98012731481</v>
      </c>
      <c r="V3054"/>
      <c r="W3054" s="3">
        <v>46129</v>
      </c>
      <c r="X3054" t="inlineStr">
        <is>
          <t>04</t>
        </is>
      </c>
      <c r="Y3054" t="inlineStr">
        <is>
          <t>2026-Q2</t>
        </is>
      </c>
    </row>
    <row r="3055" ht="38.25" customHeight="1">
      <c r="A3055" t="inlineStr">
        <is>
          <t>人教版八年级下册物理全册课件（2025新教材，28+跨学科+教案等）</t>
        </is>
      </c>
      <c r="B3055" t="inlineStr">
        <is>
          <t>__upload_recvh3WF3mcrOE.jpg</t>
        </is>
      </c>
      <c r="C3055" s="2" t="str">
        <f>=HYPERLINK("https://xhslink.com/m/64RMDxNSqzb", "https://xhslink.com/m/64RMDxNSqzb")</f>
        <v>https://xhslink.com/m/64RMDxNSqzb</v>
      </c>
      <c r="D3055"/>
      <c r="E3055">
        <v>789</v>
      </c>
      <c r="F3055">
        <v>208</v>
      </c>
      <c r="G3055"/>
      <c r="H3055">
        <v>100</v>
      </c>
      <c r="I3055"/>
      <c r="J3055"/>
      <c r="K3055" t="inlineStr">
        <is>
          <t>学科资料</t>
        </is>
      </c>
      <c r="L3055"/>
      <c r="M3055" t="inlineStr">
        <is>
          <t>物理KK老师的店</t>
        </is>
      </c>
      <c r="N3055">
        <v>9753</v>
      </c>
      <c r="O3055">
        <v>4.5</v>
      </c>
      <c r="P3055">
        <v>13000</v>
      </c>
      <c r="Q3055" t="inlineStr">
        <is>
          <t>673492fe34179e0001b9ba20</t>
        </is>
      </c>
      <c r="R3055" t="inlineStr">
        <is>
          <t>🚫重复</t>
        </is>
      </c>
      <c r="S3055" t="inlineStr">
        <is>
          <t>中小学教辅/教材</t>
        </is>
      </c>
      <c r="T3055" t="inlineStr">
        <is>
          <t>0.08</t>
        </is>
      </c>
      <c r="U3055" s="3">
        <v>46129.98012731481</v>
      </c>
      <c r="V3055"/>
      <c r="W3055" s="3">
        <v>46129</v>
      </c>
      <c r="X3055" t="inlineStr">
        <is>
          <t>04</t>
        </is>
      </c>
      <c r="Y3055" t="inlineStr">
        <is>
          <t>2026-Q2</t>
        </is>
      </c>
    </row>
    <row r="3056" ht="38.25" customHeight="1">
      <c r="A3056" t="inlineStr">
        <is>
          <t>26届北森测评题库真题解析在线刷题小程序版（拍下自动秒发货）哈</t>
        </is>
      </c>
      <c r="B3056" t="inlineStr">
        <is>
          <t>__upload_recvh42t6I800P.jpg</t>
        </is>
      </c>
      <c r="C3056" s="2" t="str">
        <f>=HYPERLINK("https://xhslink.com/m/k5qVaDWUIc", "https://xhslink.com/m/k5qVaDWUIc")</f>
        <v>https://xhslink.com/m/k5qVaDWUIc</v>
      </c>
      <c r="D3056"/>
      <c r="E3056">
        <v>9307</v>
      </c>
      <c r="F3056">
        <v>9.9</v>
      </c>
      <c r="G3056"/>
      <c r="H3056">
        <v>1500</v>
      </c>
      <c r="I3056"/>
      <c r="J3056"/>
      <c r="K3056" t="inlineStr">
        <is>
          <t>测评</t>
        </is>
      </c>
      <c r="L3056" t="inlineStr">
        <is>
          <t>🔥低粉爆款</t>
        </is>
      </c>
      <c r="M3056" t="inlineStr">
        <is>
          <t>亦亦学姐的店</t>
        </is>
      </c>
      <c r="N3056">
        <v>1543</v>
      </c>
      <c r="O3056">
        <v>4.61</v>
      </c>
      <c r="P3056">
        <v>15000</v>
      </c>
      <c r="Q3056" t="inlineStr">
        <is>
          <t>68a8081b11843c0001933bc1</t>
        </is>
      </c>
      <c r="R3056"/>
      <c r="S3056" t="inlineStr">
        <is>
          <t>求职面试/职场</t>
        </is>
      </c>
      <c r="T3056" t="inlineStr">
        <is>
          <t>6.03</t>
        </is>
      </c>
      <c r="U3056" s="3">
        <v>46129.99613425926</v>
      </c>
      <c r="V3056"/>
      <c r="W3056" s="3">
        <v>46129</v>
      </c>
      <c r="X3056" t="inlineStr">
        <is>
          <t>04</t>
        </is>
      </c>
      <c r="Y3056" t="inlineStr">
        <is>
          <t>2026-Q2</t>
        </is>
      </c>
    </row>
    <row r="3057" ht="38.25" customHeight="1">
      <c r="A3057" t="inlineStr">
        <is>
          <t>26应届生求职企业北森测评笔试答案解析刷题小程序|拍下秒发货</t>
        </is>
      </c>
      <c r="B3057" t="inlineStr">
        <is>
          <t>__upload_recvh42zTH5LEJ.jpg</t>
        </is>
      </c>
      <c r="C3057" s="2" t="str">
        <f>=HYPERLINK("https://xhslink.com/m/ARJC1mz3G3E", "https://xhslink.com/m/ARJC1mz3G3E")</f>
        <v>https://xhslink.com/m/ARJC1mz3G3E</v>
      </c>
      <c r="D3057"/>
      <c r="E3057">
        <v>3185</v>
      </c>
      <c r="F3057">
        <v>9.99</v>
      </c>
      <c r="G3057"/>
      <c r="H3057">
        <v>1500</v>
      </c>
      <c r="I3057"/>
      <c r="J3057"/>
      <c r="K3057" t="inlineStr">
        <is>
          <t>测评</t>
        </is>
      </c>
      <c r="L3057"/>
      <c r="M3057" t="inlineStr">
        <is>
          <t>桑桑不想上班的店</t>
        </is>
      </c>
      <c r="N3057">
        <v>1089</v>
      </c>
      <c r="O3057">
        <v>4.35</v>
      </c>
      <c r="P3057">
        <v>3462</v>
      </c>
      <c r="Q3057" t="inlineStr">
        <is>
          <t>68c6988a24f1f800011d803d</t>
        </is>
      </c>
      <c r="R3057"/>
      <c r="S3057" t="inlineStr">
        <is>
          <t>求职面试/职场</t>
        </is>
      </c>
      <c r="T3057" t="inlineStr">
        <is>
          <t>2.92</t>
        </is>
      </c>
      <c r="U3057" s="3">
        <v>46129.99644675926</v>
      </c>
      <c r="V3057"/>
      <c r="W3057" s="3">
        <v>46129</v>
      </c>
      <c r="X3057" t="inlineStr">
        <is>
          <t>04</t>
        </is>
      </c>
      <c r="Y3057" t="inlineStr">
        <is>
          <t>2026-Q2</t>
        </is>
      </c>
    </row>
    <row r="3058" ht="38.25" customHeight="1">
      <c r="A3058" t="inlineStr">
        <is>
          <t>AI自媒体3天实操训练营/AI自媒体/AI短视频/AI绘画</t>
        </is>
      </c>
      <c r="B3058" t="inlineStr">
        <is>
          <t>__upload_recvh42zTHWLcW.jpg</t>
        </is>
      </c>
      <c r="C3058" s="2" t="str">
        <f>=HYPERLINK("https://xhslink.com/m/9iGw4YBeYwR", "https://xhslink.com/m/9iGw4YBeYwR")</f>
        <v>https://xhslink.com/m/9iGw4YBeYwR</v>
      </c>
      <c r="D3058"/>
      <c r="E3058">
        <v>21000</v>
      </c>
      <c r="F3058">
        <v>9.9</v>
      </c>
      <c r="G3058"/>
      <c r="H3058">
        <v>5500</v>
      </c>
      <c r="I3058"/>
      <c r="J3058"/>
      <c r="K3058" t="inlineStr">
        <is>
          <t>ai</t>
        </is>
      </c>
      <c r="L3058"/>
      <c r="M3058" t="inlineStr">
        <is>
          <t>AIGC魔法老爹的店</t>
        </is>
      </c>
      <c r="N3058">
        <v>41000</v>
      </c>
      <c r="O3058">
        <v>4.32</v>
      </c>
      <c r="P3058">
        <v>21000</v>
      </c>
      <c r="Q3058" t="inlineStr">
        <is>
          <t>6810a5087ccb230001950ae1</t>
        </is>
      </c>
      <c r="R3058" t="inlineStr">
        <is>
          <t>🚫重复</t>
        </is>
      </c>
      <c r="S3058" t="inlineStr">
        <is>
          <t>AI</t>
        </is>
      </c>
      <c r="T3058" t="inlineStr">
        <is>
          <t>0.51</t>
        </is>
      </c>
      <c r="U3058" s="3">
        <v>46129.99644675926</v>
      </c>
      <c r="V3058"/>
      <c r="W3058" s="3">
        <v>46129</v>
      </c>
      <c r="X3058" t="inlineStr">
        <is>
          <t>04</t>
        </is>
      </c>
      <c r="Y3058" t="inlineStr">
        <is>
          <t>2026-Q2</t>
        </is>
      </c>
    </row>
    <row r="3059" ht="38.25" customHeight="1">
      <c r="A3059" t="inlineStr">
        <is>
          <t>白得拼Baidepin · 医智赢MDWIN写文书办公辅助书写助手ai工具人工智能手机热点蓝牙</t>
        </is>
      </c>
      <c r="B3059" t="inlineStr">
        <is>
          <t>__upload_recvh42zTHmcgl.jpg</t>
        </is>
      </c>
      <c r="C3059" s="2" t="str">
        <f>=HYPERLINK("https://xhslink.com/m/6IWYj3OM6my", "https://xhslink.com/m/6IWYj3OM6my")</f>
        <v>https://xhslink.com/m/6IWYj3OM6my</v>
      </c>
      <c r="D3059"/>
      <c r="E3059">
        <v>2284</v>
      </c>
      <c r="F3059">
        <v>499</v>
      </c>
      <c r="G3059"/>
      <c r="H3059">
        <v>350</v>
      </c>
      <c r="I3059">
        <v>1000</v>
      </c>
      <c r="J3059"/>
      <c r="K3059" t="inlineStr">
        <is>
          <t>ai</t>
        </is>
      </c>
      <c r="L3059"/>
      <c r="M3059" t="inlineStr">
        <is>
          <t>医智赢MDWIN的店</t>
        </is>
      </c>
      <c r="N3059">
        <v>1126</v>
      </c>
      <c r="O3059">
        <v>4.81</v>
      </c>
      <c r="P3059">
        <v>2373</v>
      </c>
      <c r="Q3059" t="inlineStr">
        <is>
          <t>690b0ae57071920001be5a39</t>
        </is>
      </c>
      <c r="R3059" t="inlineStr">
        <is>
          <t>🚫重复</t>
        </is>
      </c>
      <c r="S3059" t="inlineStr">
        <is>
          <t>AI</t>
        </is>
      </c>
      <c r="T3059" t="inlineStr">
        <is>
          <t>2.03</t>
        </is>
      </c>
      <c r="U3059" s="3">
        <v>46129.99644675926</v>
      </c>
      <c r="V3059"/>
      <c r="W3059" s="3">
        <v>46129</v>
      </c>
      <c r="X3059" t="inlineStr">
        <is>
          <t>04</t>
        </is>
      </c>
      <c r="Y3059" t="inlineStr">
        <is>
          <t>2026-Q2</t>
        </is>
      </c>
    </row>
    <row r="3060" ht="38.25" customHeight="1">
      <c r="A3060" t="inlineStr">
        <is>
          <t>24小时不下班小红书文案智能体（迪安出品）5天后恢复原价</t>
        </is>
      </c>
      <c r="B3060" t="inlineStr">
        <is>
          <t>__upload_recvh42zTHHkFy.jpg</t>
        </is>
      </c>
      <c r="C3060" s="2" t="str">
        <f>=HYPERLINK("https://xhslink.com/m/7XByh5duYR0", "https://xhslink.com/m/7XByh5duYR0")</f>
        <v>https://xhslink.com/m/7XByh5duYR0</v>
      </c>
      <c r="D3060"/>
      <c r="E3060">
        <v>790</v>
      </c>
      <c r="F3060">
        <v>99</v>
      </c>
      <c r="G3060"/>
      <c r="H3060">
        <v>400</v>
      </c>
      <c r="I3060"/>
      <c r="J3060"/>
      <c r="K3060" t="inlineStr">
        <is>
          <t>ai</t>
        </is>
      </c>
      <c r="L3060"/>
      <c r="M3060" t="inlineStr">
        <is>
          <t>巅明内容电商咨询的店</t>
        </is>
      </c>
      <c r="N3060">
        <v>16000</v>
      </c>
      <c r="O3060">
        <v>4.49</v>
      </c>
      <c r="P3060">
        <v>12000</v>
      </c>
      <c r="Q3060" t="inlineStr">
        <is>
          <t>69cb75601053a5000195d613</t>
        </is>
      </c>
      <c r="R3060"/>
      <c r="S3060" t="inlineStr">
        <is>
          <t>AI</t>
        </is>
      </c>
      <c r="T3060" t="inlineStr">
        <is>
          <t>0.05</t>
        </is>
      </c>
      <c r="U3060" s="3">
        <v>46129.99644675926</v>
      </c>
      <c r="V3060"/>
      <c r="W3060" s="3">
        <v>46129</v>
      </c>
      <c r="X3060" t="inlineStr">
        <is>
          <t>04</t>
        </is>
      </c>
      <c r="Y3060" t="inlineStr">
        <is>
          <t>2026-Q2</t>
        </is>
      </c>
    </row>
    <row r="3061" ht="38.25" customHeight="1">
      <c r="A3061" t="inlineStr">
        <is>
          <t>清华大学出版社 · AI，学会豆包和DeepSeek就够了！</t>
        </is>
      </c>
      <c r="B3061" t="inlineStr">
        <is>
          <t>__upload_recvh42zTHJ9sD.jpg</t>
        </is>
      </c>
      <c r="C3061" s="2" t="str">
        <f>=HYPERLINK("https://xhslink.com/m/7r45i7AISKv", "https://xhslink.com/m/7r45i7AISKv")</f>
        <v>https://xhslink.com/m/7r45i7AISKv</v>
      </c>
      <c r="D3061"/>
      <c r="E3061">
        <v>597</v>
      </c>
      <c r="F3061">
        <v>39.8</v>
      </c>
      <c r="G3061"/>
      <c r="H3061">
        <v>450</v>
      </c>
      <c r="I3061"/>
      <c r="J3061"/>
      <c r="K3061" t="inlineStr">
        <is>
          <t>ai</t>
        </is>
      </c>
      <c r="L3061"/>
      <c r="M3061" t="inlineStr">
        <is>
          <t>清华大学出版社的店</t>
        </is>
      </c>
      <c r="N3061">
        <v>456000</v>
      </c>
      <c r="O3061">
        <v>4.45</v>
      </c>
      <c r="P3061">
        <v>313000</v>
      </c>
      <c r="Q3061" t="inlineStr">
        <is>
          <t>69a1499034470f000122c2b7</t>
        </is>
      </c>
      <c r="R3061" t="inlineStr">
        <is>
          <t>🚫重复</t>
        </is>
      </c>
      <c r="S3061" t="inlineStr">
        <is>
          <t>AI</t>
        </is>
      </c>
      <c r="T3061" t="inlineStr">
        <is>
          <t>0.00</t>
        </is>
      </c>
      <c r="U3061" s="3">
        <v>46129.99644675926</v>
      </c>
      <c r="V3061"/>
      <c r="W3061" s="3">
        <v>46129</v>
      </c>
      <c r="X3061" t="inlineStr">
        <is>
          <t>04</t>
        </is>
      </c>
      <c r="Y3061" t="inlineStr">
        <is>
          <t>2026-Q2</t>
        </is>
      </c>
    </row>
    <row r="3062" ht="38.25" customHeight="1">
      <c r="A3062" t="inlineStr">
        <is>
          <t>2026新人教英语课件｜七上/七下/八上/八下｜单课时拍下请备注</t>
        </is>
      </c>
      <c r="B3062" t="inlineStr">
        <is>
          <t>__upload_recvh42zTH7fGO.jpg</t>
        </is>
      </c>
      <c r="C3062" s="2" t="str">
        <f>=HYPERLINK("https://xhslink.com/m/1djEVrz862y", "https://xhslink.com/m/1djEVrz862y")</f>
        <v>https://xhslink.com/m/1djEVrz862y</v>
      </c>
      <c r="D3062"/>
      <c r="E3062">
        <v>9664</v>
      </c>
      <c r="F3062">
        <v>199</v>
      </c>
      <c r="G3062"/>
      <c r="H3062">
        <v>1000</v>
      </c>
      <c r="I3062"/>
      <c r="J3062"/>
      <c r="K3062" t="inlineStr">
        <is>
          <t>课件</t>
        </is>
      </c>
      <c r="L3062"/>
      <c r="M3062" t="inlineStr">
        <is>
          <t>Christina在努力的店</t>
        </is>
      </c>
      <c r="N3062">
        <v>14000</v>
      </c>
      <c r="O3062">
        <v>4.49</v>
      </c>
      <c r="P3062">
        <v>28000</v>
      </c>
      <c r="Q3062" t="inlineStr">
        <is>
          <t>69523ef600d76200019f5cbc</t>
        </is>
      </c>
      <c r="R3062" t="inlineStr">
        <is>
          <t>🚫重复</t>
        </is>
      </c>
      <c r="S3062" t="inlineStr">
        <is>
          <t>中小学教辅/教材</t>
        </is>
      </c>
      <c r="T3062" t="inlineStr">
        <is>
          <t>0.69</t>
        </is>
      </c>
      <c r="U3062" s="3">
        <v>46129.99644675926</v>
      </c>
      <c r="V3062"/>
      <c r="W3062" s="3">
        <v>46129</v>
      </c>
      <c r="X3062" t="inlineStr">
        <is>
          <t>04</t>
        </is>
      </c>
      <c r="Y3062" t="inlineStr">
        <is>
          <t>2026-Q2</t>
        </is>
      </c>
    </row>
    <row r="3063" ht="38.25" customHeight="1">
      <c r="A3063" t="inlineStr">
        <is>
          <t>卓越课程•优质•精美•教学ppt</t>
        </is>
      </c>
      <c r="B3063" t="inlineStr">
        <is>
          <t>__upload_recvh42zTHg5wX.jpg</t>
        </is>
      </c>
      <c r="C3063" s="2" t="str">
        <f>=HYPERLINK("https://xhslink.com/m/9MqDC2yLell", "https://xhslink.com/m/9MqDC2yLell")</f>
        <v>https://xhslink.com/m/9MqDC2yLell</v>
      </c>
      <c r="D3063"/>
      <c r="E3063">
        <v>8652</v>
      </c>
      <c r="F3063">
        <v>119.99</v>
      </c>
      <c r="G3063"/>
      <c r="H3063">
        <v>1000</v>
      </c>
      <c r="I3063"/>
      <c r="J3063"/>
      <c r="K3063" t="inlineStr">
        <is>
          <t>课件</t>
        </is>
      </c>
      <c r="L3063"/>
      <c r="M3063" t="inlineStr">
        <is>
          <t>万能口袋的店</t>
        </is>
      </c>
      <c r="N3063">
        <v>2931</v>
      </c>
      <c r="O3063">
        <v>4.53</v>
      </c>
      <c r="P3063">
        <v>14000</v>
      </c>
      <c r="Q3063" t="inlineStr">
        <is>
          <t>688c10010e13d500013a86c0</t>
        </is>
      </c>
      <c r="R3063" t="inlineStr">
        <is>
          <t>🚫重复</t>
        </is>
      </c>
      <c r="S3063" t="inlineStr">
        <is>
          <t>PPT模板</t>
        </is>
      </c>
      <c r="T3063" t="inlineStr">
        <is>
          <t>2.95</t>
        </is>
      </c>
      <c r="U3063" s="3">
        <v>46129.99644675926</v>
      </c>
      <c r="V3063"/>
      <c r="W3063" s="3">
        <v>46129</v>
      </c>
      <c r="X3063" t="inlineStr">
        <is>
          <t>04</t>
        </is>
      </c>
      <c r="Y3063" t="inlineStr">
        <is>
          <t>2026-Q2</t>
        </is>
      </c>
    </row>
    <row r="3064" ht="38.25" customHeight="1">
      <c r="A3064" t="inlineStr">
        <is>
          <t>幼儿园小中大班班本课程ppt园本课程方案</t>
        </is>
      </c>
      <c r="B3064" t="inlineStr">
        <is>
          <t>__upload_recvh42zTHRNfR.jpg</t>
        </is>
      </c>
      <c r="C3064" s="2" t="str">
        <f>=HYPERLINK("https://xhslink.com/m/2TvBknzRTnq", "https://xhslink.com/m/2TvBknzRTnq")</f>
        <v>https://xhslink.com/m/2TvBknzRTnq</v>
      </c>
      <c r="D3064"/>
      <c r="E3064">
        <v>8587</v>
      </c>
      <c r="F3064">
        <v>88</v>
      </c>
      <c r="G3064"/>
      <c r="H3064">
        <v>600</v>
      </c>
      <c r="I3064">
        <v>1000</v>
      </c>
      <c r="J3064"/>
      <c r="K3064" t="inlineStr">
        <is>
          <t>课件</t>
        </is>
      </c>
      <c r="L3064"/>
      <c r="M3064" t="inlineStr">
        <is>
          <t>幼儿园游戏案例呀的店</t>
        </is>
      </c>
      <c r="N3064">
        <v>4311</v>
      </c>
      <c r="O3064">
        <v>4.44</v>
      </c>
      <c r="P3064">
        <v>15000</v>
      </c>
      <c r="Q3064" t="inlineStr">
        <is>
          <t>66540cf6d5d5a10001e80dd6</t>
        </is>
      </c>
      <c r="R3064" t="inlineStr">
        <is>
          <t>🚫重复</t>
        </is>
      </c>
      <c r="S3064" t="inlineStr">
        <is>
          <t>PPT模板</t>
        </is>
      </c>
      <c r="T3064" t="inlineStr">
        <is>
          <t>1.99</t>
        </is>
      </c>
      <c r="U3064" s="3">
        <v>46129.99644675926</v>
      </c>
      <c r="V3064"/>
      <c r="W3064" s="3">
        <v>46129</v>
      </c>
      <c r="X3064" t="inlineStr">
        <is>
          <t>04</t>
        </is>
      </c>
      <c r="Y3064" t="inlineStr">
        <is>
          <t>2026-Q2</t>
        </is>
      </c>
    </row>
    <row r="3065" ht="38.25" customHeight="1">
      <c r="A3065" t="inlineStr">
        <is>
          <t>从PPT小白到大神的系统视频课（有老师答疑）</t>
        </is>
      </c>
      <c r="B3065" t="inlineStr">
        <is>
          <t>__upload_recvh42zTHAYNc.jpg</t>
        </is>
      </c>
      <c r="C3065" s="2" t="str">
        <f>=HYPERLINK("https://xhslink.com/m/6gRmAy9WTRW", "https://xhslink.com/m/6gRmAy9WTRW")</f>
        <v>https://xhslink.com/m/6gRmAy9WTRW</v>
      </c>
      <c r="D3065"/>
      <c r="E3065">
        <v>7488</v>
      </c>
      <c r="F3065">
        <v>399</v>
      </c>
      <c r="G3065"/>
      <c r="H3065">
        <v>300</v>
      </c>
      <c r="I3065"/>
      <c r="J3065"/>
      <c r="K3065" t="inlineStr">
        <is>
          <t>课件</t>
        </is>
      </c>
      <c r="L3065"/>
      <c r="M3065" t="inlineStr">
        <is>
          <t>利兄日志PPT的店</t>
        </is>
      </c>
      <c r="N3065">
        <v>471000</v>
      </c>
      <c r="O3065">
        <v>4.48</v>
      </c>
      <c r="P3065">
        <v>8388</v>
      </c>
      <c r="Q3065" t="inlineStr">
        <is>
          <t>6533740f797cb300017ec8a7</t>
        </is>
      </c>
      <c r="R3065" t="inlineStr">
        <is>
          <t>🚫重复</t>
        </is>
      </c>
      <c r="S3065" t="inlineStr">
        <is>
          <t>PPT模板</t>
        </is>
      </c>
      <c r="T3065" t="inlineStr">
        <is>
          <t>0.02</t>
        </is>
      </c>
      <c r="U3065" s="3">
        <v>46129.99644675926</v>
      </c>
      <c r="V3065"/>
      <c r="W3065" s="3">
        <v>46129</v>
      </c>
      <c r="X3065" t="inlineStr">
        <is>
          <t>04</t>
        </is>
      </c>
      <c r="Y3065" t="inlineStr">
        <is>
          <t>2026-Q2</t>
        </is>
      </c>
    </row>
    <row r="3066" ht="38.25" customHeight="1">
      <c r="A3066" t="inlineStr">
        <is>
          <t>创意美术绘画少儿美术课件美术课程体系PPT课件+课程大纲/可编辑</t>
        </is>
      </c>
      <c r="B3066" t="inlineStr">
        <is>
          <t>__upload_recvh42zTHBwOA.jpg</t>
        </is>
      </c>
      <c r="C3066" s="2" t="str">
        <f>=HYPERLINK("https://xhslink.com/m/2SzhwlD1r0w", "https://xhslink.com/m/2SzhwlD1r0w")</f>
        <v>https://xhslink.com/m/2SzhwlD1r0w</v>
      </c>
      <c r="D3066"/>
      <c r="E3066">
        <v>7367</v>
      </c>
      <c r="F3066">
        <v>36</v>
      </c>
      <c r="G3066"/>
      <c r="H3066">
        <v>800</v>
      </c>
      <c r="I3066">
        <v>1000</v>
      </c>
      <c r="J3066"/>
      <c r="K3066" t="inlineStr">
        <is>
          <t>课件</t>
        </is>
      </c>
      <c r="L3066"/>
      <c r="M3066" t="inlineStr">
        <is>
          <t>好牛课件的店</t>
        </is>
      </c>
      <c r="N3066">
        <v>8931</v>
      </c>
      <c r="O3066">
        <v>4.56</v>
      </c>
      <c r="P3066">
        <v>13000</v>
      </c>
      <c r="Q3066" t="inlineStr">
        <is>
          <t>6655bddfc33ca80001d88b23</t>
        </is>
      </c>
      <c r="R3066" t="inlineStr">
        <is>
          <t>🚫重复</t>
        </is>
      </c>
      <c r="S3066" t="inlineStr">
        <is>
          <t>中小学教辅/教材</t>
        </is>
      </c>
      <c r="T3066" t="inlineStr">
        <is>
          <t>0.82</t>
        </is>
      </c>
      <c r="U3066" s="3">
        <v>46129.99644675926</v>
      </c>
      <c r="V3066"/>
      <c r="W3066" s="3">
        <v>46129</v>
      </c>
      <c r="X3066" t="inlineStr">
        <is>
          <t>04</t>
        </is>
      </c>
      <c r="Y3066" t="inlineStr">
        <is>
          <t>2026-Q2</t>
        </is>
      </c>
    </row>
    <row r="3067" ht="38.25" customHeight="1">
      <c r="A3067" t="inlineStr">
        <is>
          <t>英语启蒙公开课WPS课件</t>
        </is>
      </c>
      <c r="B3067" t="inlineStr">
        <is>
          <t>__upload_recvh42zTH85sj.jpg</t>
        </is>
      </c>
      <c r="C3067" s="2" t="str">
        <f>=HYPERLINK("https://xhslink.com/m/8m8uxCpnD3V", "https://xhslink.com/m/8m8uxCpnD3V")</f>
        <v>https://xhslink.com/m/8m8uxCpnD3V</v>
      </c>
      <c r="D3067"/>
      <c r="E3067">
        <v>6817</v>
      </c>
      <c r="F3067">
        <v>89.9</v>
      </c>
      <c r="G3067"/>
      <c r="H3067">
        <v>1500</v>
      </c>
      <c r="I3067"/>
      <c r="J3067"/>
      <c r="K3067" t="inlineStr">
        <is>
          <t>课件</t>
        </is>
      </c>
      <c r="L3067"/>
      <c r="M3067" t="inlineStr">
        <is>
          <t>米妮老师~的店</t>
        </is>
      </c>
      <c r="N3067">
        <v>3600</v>
      </c>
      <c r="O3067">
        <v>4.56</v>
      </c>
      <c r="P3067">
        <v>20000</v>
      </c>
      <c r="Q3067" t="inlineStr">
        <is>
          <t>6978cc7e9738780001abb75a</t>
        </is>
      </c>
      <c r="R3067" t="inlineStr">
        <is>
          <t>🚫重复</t>
        </is>
      </c>
      <c r="S3067" t="inlineStr">
        <is>
          <t>中小学教辅/教材</t>
        </is>
      </c>
      <c r="T3067" t="inlineStr">
        <is>
          <t>1.89</t>
        </is>
      </c>
      <c r="U3067" s="3">
        <v>46129.99644675926</v>
      </c>
      <c r="V3067"/>
      <c r="W3067" s="3">
        <v>46129</v>
      </c>
      <c r="X3067" t="inlineStr">
        <is>
          <t>04</t>
        </is>
      </c>
      <c r="Y3067" t="inlineStr">
        <is>
          <t>2026-Q2</t>
        </is>
      </c>
    </row>
    <row r="3068" ht="38.25" customHeight="1">
      <c r="A3068" t="inlineStr">
        <is>
          <t>2026一二三四五六下册小凤自制课件PPT教案小凤课件</t>
        </is>
      </c>
      <c r="B3068" t="inlineStr">
        <is>
          <t>__upload_recvh42zTHvbG6.jpg</t>
        </is>
      </c>
      <c r="C3068" s="2" t="str">
        <f>=HYPERLINK("https://xhslink.com/m/2Y8CiUsGdXB", "https://xhslink.com/m/2Y8CiUsGdXB")</f>
        <v>https://xhslink.com/m/2Y8CiUsGdXB</v>
      </c>
      <c r="D3068"/>
      <c r="E3068">
        <v>4621</v>
      </c>
      <c r="F3068">
        <v>14.8</v>
      </c>
      <c r="G3068"/>
      <c r="H3068">
        <v>3500</v>
      </c>
      <c r="I3068">
        <v>4000</v>
      </c>
      <c r="J3068"/>
      <c r="K3068" t="inlineStr">
        <is>
          <t>课件</t>
        </is>
      </c>
      <c r="L3068"/>
      <c r="M3068" t="inlineStr">
        <is>
          <t>小凤自制课件的店</t>
        </is>
      </c>
      <c r="N3068">
        <v>21000</v>
      </c>
      <c r="O3068">
        <v>4.35</v>
      </c>
      <c r="P3068">
        <v>60000</v>
      </c>
      <c r="Q3068" t="inlineStr">
        <is>
          <t>698d18a16d22e70001f6cdb0</t>
        </is>
      </c>
      <c r="R3068" t="inlineStr">
        <is>
          <t>🚫重复</t>
        </is>
      </c>
      <c r="S3068" t="inlineStr">
        <is>
          <t>中小学教辅/教材</t>
        </is>
      </c>
      <c r="T3068" t="inlineStr">
        <is>
          <t>0.22</t>
        </is>
      </c>
      <c r="U3068" s="3">
        <v>46129.99644675926</v>
      </c>
      <c r="V3068"/>
      <c r="W3068" s="3">
        <v>46129</v>
      </c>
      <c r="X3068" t="inlineStr">
        <is>
          <t>04</t>
        </is>
      </c>
      <c r="Y3068" t="inlineStr">
        <is>
          <t>2026-Q2</t>
        </is>
      </c>
    </row>
    <row r="3069" ht="38.25" customHeight="1">
      <c r="A3069" t="inlineStr">
        <is>
          <t>2026人教部编版小学语文一二三四五六年级上下册教案课件PPT试题</t>
        </is>
      </c>
      <c r="B3069" t="inlineStr">
        <is>
          <t>__upload_recvh42zTH8Fru.jpg</t>
        </is>
      </c>
      <c r="C3069" s="2" t="str">
        <f>=HYPERLINK("https://xhslink.com/m/6iaVgcSJUBR", "https://xhslink.com/m/6iaVgcSJUBR")</f>
        <v>https://xhslink.com/m/6iaVgcSJUBR</v>
      </c>
      <c r="D3069"/>
      <c r="E3069">
        <v>4620</v>
      </c>
      <c r="F3069">
        <v>71.2</v>
      </c>
      <c r="G3069"/>
      <c r="H3069">
        <v>350</v>
      </c>
      <c r="I3069"/>
      <c r="J3069"/>
      <c r="K3069" t="inlineStr">
        <is>
          <t>课件</t>
        </is>
      </c>
      <c r="L3069"/>
      <c r="M3069" t="inlineStr">
        <is>
          <t>肖老师的店</t>
        </is>
      </c>
      <c r="N3069">
        <v>12000</v>
      </c>
      <c r="O3069">
        <v>4.58</v>
      </c>
      <c r="P3069">
        <v>75000</v>
      </c>
      <c r="Q3069" t="inlineStr">
        <is>
          <t>66e5d31deaae2c0001afda0b</t>
        </is>
      </c>
      <c r="R3069" t="inlineStr">
        <is>
          <t>🚫重复</t>
        </is>
      </c>
      <c r="S3069" t="inlineStr">
        <is>
          <t>中小学教辅/教材</t>
        </is>
      </c>
      <c r="T3069" t="inlineStr">
        <is>
          <t>0.39</t>
        </is>
      </c>
      <c r="U3069" s="3">
        <v>46129.99644675926</v>
      </c>
      <c r="V3069"/>
      <c r="W3069" s="3">
        <v>46129</v>
      </c>
      <c r="X3069" t="inlineStr">
        <is>
          <t>04</t>
        </is>
      </c>
      <c r="Y3069" t="inlineStr">
        <is>
          <t>2026-Q2</t>
        </is>
      </c>
    </row>
    <row r="3070" ht="38.25" customHeight="1">
      <c r="A3070" t="inlineStr">
        <is>
          <t>英语主题单词学习课件包（附简案）</t>
        </is>
      </c>
      <c r="B3070" t="inlineStr">
        <is>
          <t>__upload_recvh42zTHDo4b.jpg</t>
        </is>
      </c>
      <c r="C3070" s="2" t="str">
        <f>=HYPERLINK("https://xhslink.com/m/1ajMhRfOjgg", "https://xhslink.com/m/1ajMhRfOjgg")</f>
        <v>https://xhslink.com/m/1ajMhRfOjgg</v>
      </c>
      <c r="D3070"/>
      <c r="E3070">
        <v>4323</v>
      </c>
      <c r="F3070">
        <v>69.9</v>
      </c>
      <c r="G3070"/>
      <c r="H3070">
        <v>600</v>
      </c>
      <c r="I3070"/>
      <c r="J3070"/>
      <c r="K3070" t="inlineStr">
        <is>
          <t>课件</t>
        </is>
      </c>
      <c r="L3070"/>
      <c r="M3070" t="inlineStr">
        <is>
          <t>米妮老师~的店</t>
        </is>
      </c>
      <c r="N3070">
        <v>3600</v>
      </c>
      <c r="O3070">
        <v>4.56</v>
      </c>
      <c r="P3070">
        <v>20000</v>
      </c>
      <c r="Q3070" t="inlineStr">
        <is>
          <t>687bc03a4f80eb0001bf8f55</t>
        </is>
      </c>
      <c r="R3070" t="inlineStr">
        <is>
          <t>🚫重复</t>
        </is>
      </c>
      <c r="S3070" t="inlineStr">
        <is>
          <t>中小学教辅/教材</t>
        </is>
      </c>
      <c r="T3070" t="inlineStr">
        <is>
          <t>1.20</t>
        </is>
      </c>
      <c r="U3070" s="3">
        <v>46129.99644675926</v>
      </c>
      <c r="V3070"/>
      <c r="W3070" s="3">
        <v>46129</v>
      </c>
      <c r="X3070" t="inlineStr">
        <is>
          <t>04</t>
        </is>
      </c>
      <c r="Y3070" t="inlineStr">
        <is>
          <t>2026-Q2</t>
        </is>
      </c>
    </row>
    <row r="3071" ht="38.25" customHeight="1">
      <c r="A3071" t="inlineStr">
        <is>
          <t>2026新版于总ceo初中物理八九年级高清视频课程习题课件完整资料</t>
        </is>
      </c>
      <c r="B3071" t="inlineStr">
        <is>
          <t>__upload_recvh42zTHhVnK.jpg</t>
        </is>
      </c>
      <c r="C3071" s="2" t="str">
        <f>=HYPERLINK("https://xhslink.com/m/9i7LbauNvjl", "https://xhslink.com/m/9i7LbauNvjl")</f>
        <v>https://xhslink.com/m/9i7LbauNvjl</v>
      </c>
      <c r="D3071"/>
      <c r="E3071">
        <v>3265</v>
      </c>
      <c r="F3071">
        <v>99.9</v>
      </c>
      <c r="G3071"/>
      <c r="H3071">
        <v>400</v>
      </c>
      <c r="I3071">
        <v>1000</v>
      </c>
      <c r="J3071"/>
      <c r="K3071" t="inlineStr">
        <is>
          <t>课件</t>
        </is>
      </c>
      <c r="L3071"/>
      <c r="M3071" t="inlineStr">
        <is>
          <t>渔sir的店</t>
        </is>
      </c>
      <c r="N3071">
        <v>1460</v>
      </c>
      <c r="O3071">
        <v>4.59</v>
      </c>
      <c r="P3071">
        <v>6085</v>
      </c>
      <c r="Q3071" t="inlineStr">
        <is>
          <t>6926ca8901312b00015a4b87</t>
        </is>
      </c>
      <c r="R3071" t="inlineStr">
        <is>
          <t>🚫重复</t>
        </is>
      </c>
      <c r="S3071" t="inlineStr">
        <is>
          <t>中小学教辅/教材</t>
        </is>
      </c>
      <c r="T3071" t="inlineStr">
        <is>
          <t>2.24</t>
        </is>
      </c>
      <c r="U3071" s="3">
        <v>46129.99644675926</v>
      </c>
      <c r="V3071"/>
      <c r="W3071" s="3">
        <v>46129</v>
      </c>
      <c r="X3071" t="inlineStr">
        <is>
          <t>04</t>
        </is>
      </c>
      <c r="Y3071" t="inlineStr">
        <is>
          <t>2026-Q2</t>
        </is>
      </c>
    </row>
    <row r="3072" ht="38.25" customHeight="1">
      <c r="A3072" t="inlineStr">
        <is>
          <t>2026春季新版苏教版小学数学一二三四五六年级上下册课件PPT教案</t>
        </is>
      </c>
      <c r="B3072" t="inlineStr">
        <is>
          <t>__upload_recvh42zTHKixs.jpg</t>
        </is>
      </c>
      <c r="C3072" s="2" t="str">
        <f>=HYPERLINK("https://xhslink.com/m/xc7PUaeUC2", "https://xhslink.com/m/xc7PUaeUC2")</f>
        <v>https://xhslink.com/m/xc7PUaeUC2</v>
      </c>
      <c r="D3072"/>
      <c r="E3072">
        <v>3107</v>
      </c>
      <c r="F3072">
        <v>71.2</v>
      </c>
      <c r="G3072"/>
      <c r="H3072">
        <v>350</v>
      </c>
      <c r="I3072"/>
      <c r="J3072"/>
      <c r="K3072" t="inlineStr">
        <is>
          <t>课件</t>
        </is>
      </c>
      <c r="L3072"/>
      <c r="M3072" t="inlineStr">
        <is>
          <t>小小智慧的店</t>
        </is>
      </c>
      <c r="N3072">
        <v>8880</v>
      </c>
      <c r="O3072">
        <v>4.62</v>
      </c>
      <c r="P3072">
        <v>57000</v>
      </c>
      <c r="Q3072" t="inlineStr">
        <is>
          <t>67614dffb1267e00018f81a3</t>
        </is>
      </c>
      <c r="R3072" t="inlineStr">
        <is>
          <t>🚫重复</t>
        </is>
      </c>
      <c r="S3072" t="inlineStr">
        <is>
          <t>中小学教辅/教材</t>
        </is>
      </c>
      <c r="T3072" t="inlineStr">
        <is>
          <t>0.35</t>
        </is>
      </c>
      <c r="U3072" s="3">
        <v>46129.99644675926</v>
      </c>
      <c r="V3072"/>
      <c r="W3072" s="3">
        <v>46129</v>
      </c>
      <c r="X3072" t="inlineStr">
        <is>
          <t>04</t>
        </is>
      </c>
      <c r="Y3072" t="inlineStr">
        <is>
          <t>2026-Q2</t>
        </is>
      </c>
    </row>
    <row r="3073" ht="38.25" customHeight="1">
      <c r="A3073" t="inlineStr">
        <is>
          <t>2026新人教版高中物理自制PPT全套课件送核心素养教案习题单元卷</t>
        </is>
      </c>
      <c r="B3073" t="inlineStr">
        <is>
          <t>__upload_recvh42zTHQ6mL.jpg</t>
        </is>
      </c>
      <c r="C3073" s="2" t="str">
        <f>=HYPERLINK("https://xhslink.com/m/3saLjr7vT1m", "https://xhslink.com/m/3saLjr7vT1m")</f>
        <v>https://xhslink.com/m/3saLjr7vT1m</v>
      </c>
      <c r="D3073"/>
      <c r="E3073">
        <v>2040</v>
      </c>
      <c r="F3073">
        <v>189.9</v>
      </c>
      <c r="G3073"/>
      <c r="H3073">
        <v>350</v>
      </c>
      <c r="I3073"/>
      <c r="J3073"/>
      <c r="K3073" t="inlineStr">
        <is>
          <t>课件</t>
        </is>
      </c>
      <c r="L3073"/>
      <c r="M3073" t="inlineStr">
        <is>
          <t>小杜课件的店</t>
        </is>
      </c>
      <c r="N3073">
        <v>1201</v>
      </c>
      <c r="O3073">
        <v>4.27</v>
      </c>
      <c r="P3073">
        <v>3204</v>
      </c>
      <c r="Q3073" t="inlineStr">
        <is>
          <t>68e6383cf8d1f000016e7a6f</t>
        </is>
      </c>
      <c r="R3073"/>
      <c r="S3073" t="inlineStr">
        <is>
          <t>PPT模板</t>
        </is>
      </c>
      <c r="T3073" t="inlineStr">
        <is>
          <t>1.70</t>
        </is>
      </c>
      <c r="U3073" s="3">
        <v>46129.99644675926</v>
      </c>
      <c r="V3073"/>
      <c r="W3073" s="3">
        <v>46129</v>
      </c>
      <c r="X3073" t="inlineStr">
        <is>
          <t>04</t>
        </is>
      </c>
      <c r="Y3073" t="inlineStr">
        <is>
          <t>2026-Q2</t>
        </is>
      </c>
    </row>
    <row r="3074" ht="38.25" customHeight="1">
      <c r="A3074" t="inlineStr">
        <is>
          <t>【教师专用】2026春三下语文1-8单元课件+详细教案</t>
        </is>
      </c>
      <c r="B3074" t="inlineStr">
        <is>
          <t>__upload_recvh42zTH8wVx.jpg</t>
        </is>
      </c>
      <c r="C3074" s="2" t="str">
        <f>=HYPERLINK("https://xhslink.com/m/8dIzS4HcBQv", "https://xhslink.com/m/8dIzS4HcBQv")</f>
        <v>https://xhslink.com/m/8dIzS4HcBQv</v>
      </c>
      <c r="D3074"/>
      <c r="E3074">
        <v>1562</v>
      </c>
      <c r="F3074">
        <v>128</v>
      </c>
      <c r="G3074"/>
      <c r="H3074">
        <v>400</v>
      </c>
      <c r="I3074"/>
      <c r="J3074"/>
      <c r="K3074" t="inlineStr">
        <is>
          <t>课件</t>
        </is>
      </c>
      <c r="L3074"/>
      <c r="M3074" t="inlineStr">
        <is>
          <t>爱星星的张老师的店</t>
        </is>
      </c>
      <c r="N3074">
        <v>5649</v>
      </c>
      <c r="O3074">
        <v>4.46</v>
      </c>
      <c r="P3074">
        <v>8845</v>
      </c>
      <c r="Q3074" t="inlineStr">
        <is>
          <t>67b701bcdb1dc10001255e60</t>
        </is>
      </c>
      <c r="R3074"/>
      <c r="S3074" t="inlineStr">
        <is>
          <t>中小学教辅/教材</t>
        </is>
      </c>
      <c r="T3074" t="inlineStr">
        <is>
          <t>0.28</t>
        </is>
      </c>
      <c r="U3074" s="3">
        <v>46129.99644675926</v>
      </c>
      <c r="V3074"/>
      <c r="W3074" s="3">
        <v>46129</v>
      </c>
      <c r="X3074" t="inlineStr">
        <is>
          <t>04</t>
        </is>
      </c>
      <c r="Y3074" t="inlineStr">
        <is>
          <t>2026-Q2</t>
        </is>
      </c>
    </row>
    <row r="3075" ht="38.25" customHeight="1">
      <c r="A3075" t="inlineStr">
        <is>
          <t>2026春新教材七年级道法下册（PPT+教学设计）</t>
        </is>
      </c>
      <c r="B3075" t="inlineStr">
        <is>
          <t>__upload_recvh42zTHyFpA.jpg</t>
        </is>
      </c>
      <c r="C3075" s="2" t="str">
        <f>=HYPERLINK("https://xhslink.com/m/6bIXuL4PxRt", "https://xhslink.com/m/6bIXuL4PxRt")</f>
        <v>https://xhslink.com/m/6bIXuL4PxRt</v>
      </c>
      <c r="D3075"/>
      <c r="E3075">
        <v>1683</v>
      </c>
      <c r="F3075">
        <v>109.9</v>
      </c>
      <c r="G3075"/>
      <c r="H3075">
        <v>900</v>
      </c>
      <c r="I3075"/>
      <c r="J3075"/>
      <c r="K3075" t="inlineStr">
        <is>
          <t>课件</t>
        </is>
      </c>
      <c r="L3075"/>
      <c r="M3075" t="inlineStr">
        <is>
          <t>Lucky兔老师的店</t>
        </is>
      </c>
      <c r="N3075">
        <v>2158</v>
      </c>
      <c r="O3075">
        <v>4.57</v>
      </c>
      <c r="P3075">
        <v>17000</v>
      </c>
      <c r="Q3075" t="inlineStr">
        <is>
          <t>69763c562a96a00001187864</t>
        </is>
      </c>
      <c r="R3075" t="inlineStr">
        <is>
          <t>🚫重复</t>
        </is>
      </c>
      <c r="S3075" t="inlineStr">
        <is>
          <t>中小学教辅/教材</t>
        </is>
      </c>
      <c r="T3075" t="inlineStr">
        <is>
          <t>0.78</t>
        </is>
      </c>
      <c r="U3075" s="3">
        <v>46129.99644675926</v>
      </c>
      <c r="V3075"/>
      <c r="W3075" s="3">
        <v>46129</v>
      </c>
      <c r="X3075" t="inlineStr">
        <is>
          <t>04</t>
        </is>
      </c>
      <c r="Y3075" t="inlineStr">
        <is>
          <t>2026-Q2</t>
        </is>
      </c>
    </row>
    <row r="3076" ht="38.25" customHeight="1">
      <c r="A3076" t="inlineStr">
        <is>
          <t>2026春季四年级下册语文单元课件教案（禁止外传转卖违者必究</t>
        </is>
      </c>
      <c r="B3076" t="inlineStr">
        <is>
          <t>__upload_recvh42zTHoHyq.jpg</t>
        </is>
      </c>
      <c r="C3076" s="2" t="str">
        <f>=HYPERLINK("https://xhslink.com/m/6oVTAylSm8n", "https://xhslink.com/m/6oVTAylSm8n")</f>
        <v>https://xhslink.com/m/6oVTAylSm8n</v>
      </c>
      <c r="D3076"/>
      <c r="E3076">
        <v>1382</v>
      </c>
      <c r="F3076">
        <v>113</v>
      </c>
      <c r="G3076"/>
      <c r="H3076">
        <v>700</v>
      </c>
      <c r="I3076"/>
      <c r="J3076"/>
      <c r="K3076" t="inlineStr">
        <is>
          <t>课件</t>
        </is>
      </c>
      <c r="L3076"/>
      <c r="M3076" t="inlineStr">
        <is>
          <t>想躺平的李老师的店</t>
        </is>
      </c>
      <c r="N3076">
        <v>70000</v>
      </c>
      <c r="O3076">
        <v>4.61</v>
      </c>
      <c r="P3076">
        <v>85000</v>
      </c>
      <c r="Q3076" t="inlineStr">
        <is>
          <t>69a77b440635fd0001dc9cad</t>
        </is>
      </c>
      <c r="R3076" t="inlineStr">
        <is>
          <t>🚫重复</t>
        </is>
      </c>
      <c r="S3076" t="inlineStr">
        <is>
          <t>中小学教辅/教材</t>
        </is>
      </c>
      <c r="T3076" t="inlineStr">
        <is>
          <t>0.02</t>
        </is>
      </c>
      <c r="U3076" s="3">
        <v>46129.99644675926</v>
      </c>
      <c r="V3076"/>
      <c r="W3076" s="3">
        <v>46129</v>
      </c>
      <c r="X3076" t="inlineStr">
        <is>
          <t>04</t>
        </is>
      </c>
      <c r="Y3076" t="inlineStr">
        <is>
          <t>2026-Q2</t>
        </is>
      </c>
    </row>
    <row r="3077" ht="38.25" customHeight="1">
      <c r="A3077" t="inlineStr">
        <is>
          <t>【课件】咩咩扬仔七下历史新课课件（无教案，逐字稿需另外下单）</t>
        </is>
      </c>
      <c r="B3077" t="inlineStr">
        <is>
          <t>__upload_recvh42zTHggti.jpg</t>
        </is>
      </c>
      <c r="C3077" s="2" t="str">
        <f>=HYPERLINK("https://xhslink.com/m/2n9dNUx4hEm", "https://xhslink.com/m/2n9dNUx4hEm")</f>
        <v>https://xhslink.com/m/2n9dNUx4hEm</v>
      </c>
      <c r="D3077"/>
      <c r="E3077">
        <v>1319</v>
      </c>
      <c r="F3077">
        <v>188</v>
      </c>
      <c r="G3077"/>
      <c r="H3077">
        <v>750</v>
      </c>
      <c r="I3077"/>
      <c r="J3077"/>
      <c r="K3077" t="inlineStr">
        <is>
          <t>课件</t>
        </is>
      </c>
      <c r="L3077"/>
      <c r="M3077" t="inlineStr">
        <is>
          <t>咩咩扬仔🥕的店</t>
        </is>
      </c>
      <c r="N3077">
        <v>21000</v>
      </c>
      <c r="O3077">
        <v>4.55</v>
      </c>
      <c r="P3077">
        <v>22000</v>
      </c>
      <c r="Q3077" t="inlineStr">
        <is>
          <t>693a31c99373f20001967fbf</t>
        </is>
      </c>
      <c r="R3077" t="inlineStr">
        <is>
          <t>🚫重复</t>
        </is>
      </c>
      <c r="S3077" t="inlineStr">
        <is>
          <t>中小学教辅/教材</t>
        </is>
      </c>
      <c r="T3077" t="inlineStr">
        <is>
          <t>0.06</t>
        </is>
      </c>
      <c r="U3077" s="3">
        <v>46129.99644675926</v>
      </c>
      <c r="V3077"/>
      <c r="W3077" s="3">
        <v>46129</v>
      </c>
      <c r="X3077" t="inlineStr">
        <is>
          <t>04</t>
        </is>
      </c>
      <c r="Y3077" t="inlineStr">
        <is>
          <t>2026-Q2</t>
        </is>
      </c>
    </row>
    <row r="3078" ht="38.25" customHeight="1">
      <c r="A3078" t="inlineStr">
        <is>
          <t>2026版教师专用【小瓶盖儿精品课件】三下第一单元课件+详细教案</t>
        </is>
      </c>
      <c r="B3078" t="inlineStr">
        <is>
          <t>__upload_recvh42zTHq2tO.jpg</t>
        </is>
      </c>
      <c r="C3078" s="2" t="str">
        <f>=HYPERLINK("https://xhslink.com/m/8fvGV2vagKF", "https://xhslink.com/m/8fvGV2vagKF")</f>
        <v>https://xhslink.com/m/8fvGV2vagKF</v>
      </c>
      <c r="D3078"/>
      <c r="E3078">
        <v>1102</v>
      </c>
      <c r="F3078">
        <v>128</v>
      </c>
      <c r="G3078"/>
      <c r="H3078">
        <v>450</v>
      </c>
      <c r="I3078"/>
      <c r="J3078"/>
      <c r="K3078" t="inlineStr">
        <is>
          <t>课件</t>
        </is>
      </c>
      <c r="L3078"/>
      <c r="M3078" t="inlineStr">
        <is>
          <t>小小瓶盖儿的店</t>
        </is>
      </c>
      <c r="N3078">
        <v>39000</v>
      </c>
      <c r="O3078">
        <v>4.5</v>
      </c>
      <c r="P3078">
        <v>45000</v>
      </c>
      <c r="Q3078" t="inlineStr">
        <is>
          <t>697826ce78d8d50001509990</t>
        </is>
      </c>
      <c r="R3078" t="inlineStr">
        <is>
          <t>🚫重复</t>
        </is>
      </c>
      <c r="S3078" t="inlineStr">
        <is>
          <t>中小学教辅/教材</t>
        </is>
      </c>
      <c r="T3078" t="inlineStr">
        <is>
          <t>0.03</t>
        </is>
      </c>
      <c r="U3078" s="3">
        <v>46129.99644675926</v>
      </c>
      <c r="V3078"/>
      <c r="W3078" s="3">
        <v>46129</v>
      </c>
      <c r="X3078" t="inlineStr">
        <is>
          <t>04</t>
        </is>
      </c>
      <c r="Y3078" t="inlineStr">
        <is>
          <t>2026-Q2</t>
        </is>
      </c>
    </row>
    <row r="3079" ht="38.25" customHeight="1">
      <c r="A3079" t="inlineStr">
        <is>
          <t>2026新版四年级下册任务群课件+教案</t>
        </is>
      </c>
      <c r="B3079" t="inlineStr">
        <is>
          <t>__upload_recvh42zTH47rx.jpg</t>
        </is>
      </c>
      <c r="C3079" s="2" t="str">
        <f>=HYPERLINK("https://xhslink.com/m/8v2pnNc0hN7", "https://xhslink.com/m/8v2pnNc0hN7")</f>
        <v>https://xhslink.com/m/8v2pnNc0hN7</v>
      </c>
      <c r="D3079"/>
      <c r="E3079">
        <v>1199</v>
      </c>
      <c r="F3079">
        <v>129</v>
      </c>
      <c r="G3079"/>
      <c r="H3079">
        <v>500</v>
      </c>
      <c r="I3079"/>
      <c r="J3079"/>
      <c r="K3079" t="inlineStr">
        <is>
          <t>课件</t>
        </is>
      </c>
      <c r="L3079"/>
      <c r="M3079" t="inlineStr">
        <is>
          <t>曼曼老师呀的店</t>
        </is>
      </c>
      <c r="N3079">
        <v>2103</v>
      </c>
      <c r="O3079">
        <v>4.53</v>
      </c>
      <c r="P3079">
        <v>3689</v>
      </c>
      <c r="Q3079" t="inlineStr">
        <is>
          <t>699c608cce23340001fb44c0</t>
        </is>
      </c>
      <c r="R3079" t="inlineStr">
        <is>
          <t>🚫重复</t>
        </is>
      </c>
      <c r="S3079" t="inlineStr">
        <is>
          <t>中小学教辅/教材</t>
        </is>
      </c>
      <c r="T3079" t="inlineStr">
        <is>
          <t>0.57</t>
        </is>
      </c>
      <c r="U3079" s="3">
        <v>46129.99644675926</v>
      </c>
      <c r="V3079"/>
      <c r="W3079" s="3">
        <v>46129</v>
      </c>
      <c r="X3079" t="inlineStr">
        <is>
          <t>04</t>
        </is>
      </c>
      <c r="Y3079" t="inlineStr">
        <is>
          <t>2026-Q2</t>
        </is>
      </c>
    </row>
    <row r="3080" ht="38.25" customHeight="1">
      <c r="A3080" t="inlineStr">
        <is>
          <t>2026中班春季开学家长会ppt</t>
        </is>
      </c>
      <c r="B3080" t="inlineStr">
        <is>
          <t>__upload_recvh42zTHEPDW.jpg</t>
        </is>
      </c>
      <c r="C3080" s="2" t="str">
        <f>=HYPERLINK("https://xhslink.com/m/50dvtg1pCS0", "https://xhslink.com/m/50dvtg1pCS0")</f>
        <v>https://xhslink.com/m/50dvtg1pCS0</v>
      </c>
      <c r="D3080"/>
      <c r="E3080">
        <v>1029</v>
      </c>
      <c r="F3080">
        <v>199</v>
      </c>
      <c r="G3080"/>
      <c r="H3080">
        <v>750</v>
      </c>
      <c r="I3080"/>
      <c r="J3080"/>
      <c r="K3080" t="inlineStr">
        <is>
          <t>课件</t>
        </is>
      </c>
      <c r="L3080"/>
      <c r="M3080" t="inlineStr">
        <is>
          <t>柚教的店</t>
        </is>
      </c>
      <c r="N3080">
        <v>3265</v>
      </c>
      <c r="O3080">
        <v>4.55</v>
      </c>
      <c r="P3080">
        <v>8557</v>
      </c>
      <c r="Q3080" t="inlineStr">
        <is>
          <t>6985878e8c608e000118bb08</t>
        </is>
      </c>
      <c r="R3080"/>
      <c r="S3080" t="inlineStr">
        <is>
          <t>老师资料</t>
        </is>
      </c>
      <c r="T3080" t="inlineStr">
        <is>
          <t>0.32</t>
        </is>
      </c>
      <c r="U3080" s="3">
        <v>46129.99644675926</v>
      </c>
      <c r="V3080"/>
      <c r="W3080" s="3">
        <v>46129</v>
      </c>
      <c r="X3080" t="inlineStr">
        <is>
          <t>04</t>
        </is>
      </c>
      <c r="Y3080" t="inlineStr">
        <is>
          <t>2026-Q2</t>
        </is>
      </c>
    </row>
    <row r="3081" ht="38.25" customHeight="1">
      <c r="A3081" t="inlineStr">
        <is>
          <t>人教版美术课件PPT（一册课件+单元教案+课时教案）永久可用</t>
        </is>
      </c>
      <c r="B3081" t="inlineStr">
        <is>
          <t>__upload_recvh42zTHgTx6.jpg</t>
        </is>
      </c>
      <c r="C3081" s="2" t="str">
        <f>=HYPERLINK("https://xhslink.com/m/9lk1JdNgpsU", "https://xhslink.com/m/9lk1JdNgpsU")</f>
        <v>https://xhslink.com/m/9lk1JdNgpsU</v>
      </c>
      <c r="D3081"/>
      <c r="E3081">
        <v>718</v>
      </c>
      <c r="F3081">
        <v>110</v>
      </c>
      <c r="G3081"/>
      <c r="H3081">
        <v>500</v>
      </c>
      <c r="I3081"/>
      <c r="J3081"/>
      <c r="K3081" t="inlineStr">
        <is>
          <t>课件</t>
        </is>
      </c>
      <c r="L3081"/>
      <c r="M3081" t="inlineStr">
        <is>
          <t>宅心仁猴🙊的店</t>
        </is>
      </c>
      <c r="N3081">
        <v>2892</v>
      </c>
      <c r="O3081">
        <v>4.58</v>
      </c>
      <c r="P3081">
        <v>6362</v>
      </c>
      <c r="Q3081" t="inlineStr">
        <is>
          <t>699c1b4bd5afea00013df718</t>
        </is>
      </c>
      <c r="R3081" t="inlineStr">
        <is>
          <t>🚫重复</t>
        </is>
      </c>
      <c r="S3081" t="inlineStr">
        <is>
          <t>PPT模板</t>
        </is>
      </c>
      <c r="T3081" t="inlineStr">
        <is>
          <t>0.25</t>
        </is>
      </c>
      <c r="U3081" s="3">
        <v>46129.99644675926</v>
      </c>
      <c r="V3081"/>
      <c r="W3081" s="3">
        <v>46129</v>
      </c>
      <c r="X3081" t="inlineStr">
        <is>
          <t>04</t>
        </is>
      </c>
      <c r="Y3081" t="inlineStr">
        <is>
          <t>2026-Q2</t>
        </is>
      </c>
    </row>
    <row r="3082" ht="38.25" customHeight="1">
      <c r="A3082" t="inlineStr">
        <is>
          <t>【26春】四年级下册语文教学作文课件|单个9.9，里面没有授课视频</t>
        </is>
      </c>
      <c r="B3082" t="inlineStr">
        <is>
          <t>__upload_recvh42zTHxp9u.jpg</t>
        </is>
      </c>
      <c r="C3082" s="2" t="str">
        <f>=HYPERLINK("https://xhslink.com/m/2B21JTnqN7a", "https://xhslink.com/m/2B21JTnqN7a")</f>
        <v>https://xhslink.com/m/2B21JTnqN7a</v>
      </c>
      <c r="D3082"/>
      <c r="E3082">
        <v>1013</v>
      </c>
      <c r="F3082">
        <v>69.9</v>
      </c>
      <c r="G3082"/>
      <c r="H3082">
        <v>350</v>
      </c>
      <c r="I3082"/>
      <c r="J3082"/>
      <c r="K3082" t="inlineStr">
        <is>
          <t>课件</t>
        </is>
      </c>
      <c r="L3082"/>
      <c r="M3082" t="inlineStr">
        <is>
          <t>吾辈皆是备课人的店</t>
        </is>
      </c>
      <c r="N3082">
        <v>10000</v>
      </c>
      <c r="O3082">
        <v>4.49</v>
      </c>
      <c r="P3082">
        <v>20000</v>
      </c>
      <c r="Q3082" t="inlineStr">
        <is>
          <t>695551364e15d60001d373ce</t>
        </is>
      </c>
      <c r="R3082" t="inlineStr">
        <is>
          <t>🚫重复</t>
        </is>
      </c>
      <c r="S3082" t="inlineStr">
        <is>
          <t>中小学教辅/教材</t>
        </is>
      </c>
      <c r="T3082" t="inlineStr">
        <is>
          <t>0.10</t>
        </is>
      </c>
      <c r="U3082" s="3">
        <v>46129.99644675926</v>
      </c>
      <c r="V3082"/>
      <c r="W3082" s="3">
        <v>46129</v>
      </c>
      <c r="X3082" t="inlineStr">
        <is>
          <t>04</t>
        </is>
      </c>
      <c r="Y3082" t="inlineStr">
        <is>
          <t>2026-Q2</t>
        </is>
      </c>
    </row>
    <row r="3083" ht="38.25" customHeight="1">
      <c r="A3083" t="inlineStr">
        <is>
          <t>自动秒发货！五下语文PPT课件+教案电子版</t>
        </is>
      </c>
      <c r="B3083" t="inlineStr">
        <is>
          <t>__upload_recvh42zTHTjyA.jpg</t>
        </is>
      </c>
      <c r="C3083" s="2" t="str">
        <f>=HYPERLINK("https://xhslink.com/m/47ayzZomUBC", "https://xhslink.com/m/47ayzZomUBC")</f>
        <v>https://xhslink.com/m/47ayzZomUBC</v>
      </c>
      <c r="D3083"/>
      <c r="E3083">
        <v>920</v>
      </c>
      <c r="F3083">
        <v>69.9</v>
      </c>
      <c r="G3083"/>
      <c r="H3083">
        <v>450</v>
      </c>
      <c r="I3083"/>
      <c r="J3083"/>
      <c r="K3083" t="inlineStr">
        <is>
          <t>课件</t>
        </is>
      </c>
      <c r="L3083"/>
      <c r="M3083" t="inlineStr">
        <is>
          <t>小纸盒PPT的店</t>
        </is>
      </c>
      <c r="N3083">
        <v>12000</v>
      </c>
      <c r="O3083">
        <v>4.4</v>
      </c>
      <c r="P3083">
        <v>51000</v>
      </c>
      <c r="Q3083" t="inlineStr">
        <is>
          <t>69a0612f76da220001c8a669</t>
        </is>
      </c>
      <c r="R3083" t="inlineStr">
        <is>
          <t>🚫重复</t>
        </is>
      </c>
      <c r="S3083" t="inlineStr">
        <is>
          <t>中小学教辅/教材</t>
        </is>
      </c>
      <c r="T3083" t="inlineStr">
        <is>
          <t>0.08</t>
        </is>
      </c>
      <c r="U3083" s="3">
        <v>46129.99644675926</v>
      </c>
      <c r="V3083"/>
      <c r="W3083" s="3">
        <v>46129</v>
      </c>
      <c r="X3083" t="inlineStr">
        <is>
          <t>04</t>
        </is>
      </c>
      <c r="Y3083" t="inlineStr">
        <is>
          <t>2026-Q2</t>
        </is>
      </c>
    </row>
    <row r="3084" ht="38.25" customHeight="1">
      <c r="A3084" t="inlineStr">
        <is>
          <t>2026版三年级下册道法课件</t>
        </is>
      </c>
      <c r="B3084" t="inlineStr">
        <is>
          <t>__upload_recvh42zTHdyHq.jpg</t>
        </is>
      </c>
      <c r="C3084" s="2" t="str">
        <f>=HYPERLINK("https://xhslink.com/m/1Qw6hu2CKtf", "https://xhslink.com/m/1Qw6hu2CKtf")</f>
        <v>https://xhslink.com/m/1Qw6hu2CKtf</v>
      </c>
      <c r="D3084"/>
      <c r="E3084">
        <v>842</v>
      </c>
      <c r="F3084">
        <v>138</v>
      </c>
      <c r="G3084"/>
      <c r="H3084">
        <v>500</v>
      </c>
      <c r="I3084"/>
      <c r="J3084"/>
      <c r="K3084" t="inlineStr">
        <is>
          <t>课件</t>
        </is>
      </c>
      <c r="L3084"/>
      <c r="M3084" t="inlineStr">
        <is>
          <t>泡泡布吉岛的店</t>
        </is>
      </c>
      <c r="N3084">
        <v>700</v>
      </c>
      <c r="O3084">
        <v>4.05</v>
      </c>
      <c r="P3084">
        <v>2079</v>
      </c>
      <c r="Q3084" t="inlineStr">
        <is>
          <t>697de85ba60bac0001144fa3</t>
        </is>
      </c>
      <c r="R3084"/>
      <c r="S3084" t="inlineStr">
        <is>
          <t>中小学教辅/教材</t>
        </is>
      </c>
      <c r="T3084" t="inlineStr">
        <is>
          <t>1.20</t>
        </is>
      </c>
      <c r="U3084" s="3">
        <v>46129.99644675926</v>
      </c>
      <c r="V3084"/>
      <c r="W3084" s="3">
        <v>46129</v>
      </c>
      <c r="X3084" t="inlineStr">
        <is>
          <t>04</t>
        </is>
      </c>
      <c r="Y3084" t="inlineStr">
        <is>
          <t>2026-Q2</t>
        </is>
      </c>
    </row>
    <row r="3085" ht="38.25" customHeight="1">
      <c r="A3085" t="inlineStr">
        <is>
          <t>2026最新三年级下册语文单元PPT+教案（详情咨询客服）</t>
        </is>
      </c>
      <c r="B3085" t="inlineStr">
        <is>
          <t>__upload_recvh42zTHSLce.jpg</t>
        </is>
      </c>
      <c r="C3085" s="2" t="str">
        <f>=HYPERLINK("https://xhslink.com/m/7xvjSHTOxa0", "https://xhslink.com/m/7xvjSHTOxa0")</f>
        <v>https://xhslink.com/m/7xvjSHTOxa0</v>
      </c>
      <c r="D3085"/>
      <c r="E3085">
        <v>892</v>
      </c>
      <c r="F3085">
        <v>95</v>
      </c>
      <c r="G3085"/>
      <c r="H3085">
        <v>450</v>
      </c>
      <c r="I3085"/>
      <c r="J3085"/>
      <c r="K3085" t="inlineStr">
        <is>
          <t>课件</t>
        </is>
      </c>
      <c r="L3085"/>
      <c r="M3085" t="inlineStr">
        <is>
          <t>想躺平的李老师的店</t>
        </is>
      </c>
      <c r="N3085">
        <v>70000</v>
      </c>
      <c r="O3085">
        <v>4.61</v>
      </c>
      <c r="P3085">
        <v>85000</v>
      </c>
      <c r="Q3085" t="inlineStr">
        <is>
          <t>69a80161f6806b0001618e23</t>
        </is>
      </c>
      <c r="R3085" t="inlineStr">
        <is>
          <t>🚫重复</t>
        </is>
      </c>
      <c r="S3085" t="inlineStr">
        <is>
          <t>中小学教辅/教材</t>
        </is>
      </c>
      <c r="T3085" t="inlineStr">
        <is>
          <t>0.01</t>
        </is>
      </c>
      <c r="U3085" s="3">
        <v>46129.99644675926</v>
      </c>
      <c r="V3085"/>
      <c r="W3085" s="3">
        <v>46129</v>
      </c>
      <c r="X3085" t="inlineStr">
        <is>
          <t>04</t>
        </is>
      </c>
      <c r="Y3085" t="inlineStr">
        <is>
          <t>2026-Q2</t>
        </is>
      </c>
    </row>
    <row r="3086" ht="38.25" customHeight="1">
      <c r="A3086" t="inlineStr">
        <is>
          <t>2026春新版一年级下册小学语文课件PPT+教案|原创公开课课件</t>
        </is>
      </c>
      <c r="B3086" t="inlineStr">
        <is>
          <t>__upload_recvh42zTHKMXj.jpg</t>
        </is>
      </c>
      <c r="C3086" s="2" t="str">
        <f>=HYPERLINK("https://xhslink.com/m/2aTvYwtQyhV", "https://xhslink.com/m/2aTvYwtQyhV")</f>
        <v>https://xhslink.com/m/2aTvYwtQyhV</v>
      </c>
      <c r="D3086"/>
      <c r="E3086">
        <v>803</v>
      </c>
      <c r="F3086">
        <v>168</v>
      </c>
      <c r="G3086"/>
      <c r="H3086">
        <v>450</v>
      </c>
      <c r="I3086"/>
      <c r="J3086"/>
      <c r="K3086" t="inlineStr">
        <is>
          <t>课件</t>
        </is>
      </c>
      <c r="L3086"/>
      <c r="M3086" t="inlineStr">
        <is>
          <t>小苗苗知识小屋的店</t>
        </is>
      </c>
      <c r="N3086">
        <v>6629</v>
      </c>
      <c r="O3086">
        <v>4.41</v>
      </c>
      <c r="P3086">
        <v>30000</v>
      </c>
      <c r="Q3086" t="inlineStr">
        <is>
          <t>69491a446a3f3f0001403610</t>
        </is>
      </c>
      <c r="R3086" t="inlineStr">
        <is>
          <t>🚫重复</t>
        </is>
      </c>
      <c r="S3086" t="inlineStr">
        <is>
          <t>中小学教辅/教材</t>
        </is>
      </c>
      <c r="T3086" t="inlineStr">
        <is>
          <t>0.12</t>
        </is>
      </c>
      <c r="U3086" s="3">
        <v>46129.99644675926</v>
      </c>
      <c r="V3086"/>
      <c r="W3086" s="3">
        <v>46129</v>
      </c>
      <c r="X3086" t="inlineStr">
        <is>
          <t>04</t>
        </is>
      </c>
      <c r="Y3086" t="inlineStr">
        <is>
          <t>2026-Q2</t>
        </is>
      </c>
    </row>
    <row r="3087" ht="38.25" customHeight="1">
      <c r="A3087" t="inlineStr">
        <is>
          <t>（预售）2026春季四年级下册语文全册课件+教案（后续找客服要）</t>
        </is>
      </c>
      <c r="B3087" t="inlineStr">
        <is>
          <t>__upload_recvh42zTHCk6q.jpg</t>
        </is>
      </c>
      <c r="C3087" s="2" t="str">
        <f>=HYPERLINK("https://xhslink.com/m/4arSmEnqRua", "https://xhslink.com/m/4arSmEnqRua")</f>
        <v>https://xhslink.com/m/4arSmEnqRua</v>
      </c>
      <c r="D3087"/>
      <c r="E3087">
        <v>773</v>
      </c>
      <c r="F3087">
        <v>128</v>
      </c>
      <c r="G3087"/>
      <c r="H3087">
        <v>550</v>
      </c>
      <c r="I3087"/>
      <c r="J3087"/>
      <c r="K3087" t="inlineStr">
        <is>
          <t>课件</t>
        </is>
      </c>
      <c r="L3087"/>
      <c r="M3087" t="inlineStr">
        <is>
          <t>想躺平的李老师的店</t>
        </is>
      </c>
      <c r="N3087">
        <v>70000</v>
      </c>
      <c r="O3087">
        <v>4.61</v>
      </c>
      <c r="P3087">
        <v>85000</v>
      </c>
      <c r="Q3087" t="inlineStr">
        <is>
          <t>69683a1968700c0001299263</t>
        </is>
      </c>
      <c r="R3087" t="inlineStr">
        <is>
          <t>🚫重复</t>
        </is>
      </c>
      <c r="S3087" t="inlineStr">
        <is>
          <t>中小学教辅/教材</t>
        </is>
      </c>
      <c r="T3087" t="inlineStr">
        <is>
          <t>0.01</t>
        </is>
      </c>
      <c r="U3087" s="3">
        <v>46129.99644675926</v>
      </c>
      <c r="V3087"/>
      <c r="W3087" s="3">
        <v>46129</v>
      </c>
      <c r="X3087" t="inlineStr">
        <is>
          <t>04</t>
        </is>
      </c>
      <c r="Y3087" t="inlineStr">
        <is>
          <t>2026-Q2</t>
        </is>
      </c>
    </row>
    <row r="3088" ht="38.25" customHeight="1">
      <c r="A3088" t="inlineStr">
        <is>
          <t>【K03】2026新版三年级下册任务群课件｜教案｜Ai赋能(持续更新)</t>
        </is>
      </c>
      <c r="B3088" t="inlineStr">
        <is>
          <t>__upload_recvh42zTHsyiq.jpg</t>
        </is>
      </c>
      <c r="C3088" s="2" t="str">
        <f>=HYPERLINK("https://xhslink.com/m/7dADl05ye2l", "https://xhslink.com/m/7dADl05ye2l")</f>
        <v>https://xhslink.com/m/7dADl05ye2l</v>
      </c>
      <c r="D3088"/>
      <c r="E3088">
        <v>835</v>
      </c>
      <c r="F3088">
        <v>129</v>
      </c>
      <c r="G3088"/>
      <c r="H3088">
        <v>300</v>
      </c>
      <c r="I3088"/>
      <c r="J3088"/>
      <c r="K3088" t="inlineStr">
        <is>
          <t>课件</t>
        </is>
      </c>
      <c r="L3088"/>
      <c r="M3088" t="inlineStr">
        <is>
          <t>小雪老师的课堂的店</t>
        </is>
      </c>
      <c r="N3088">
        <v>15000</v>
      </c>
      <c r="O3088">
        <v>4.44</v>
      </c>
      <c r="P3088">
        <v>89000</v>
      </c>
      <c r="Q3088" t="inlineStr">
        <is>
          <t>68220b6bc408260001b109c4</t>
        </is>
      </c>
      <c r="R3088" t="inlineStr">
        <is>
          <t>🚫重复</t>
        </is>
      </c>
      <c r="S3088" t="inlineStr">
        <is>
          <t>中小学教辅/教材</t>
        </is>
      </c>
      <c r="T3088" t="inlineStr">
        <is>
          <t>0.06</t>
        </is>
      </c>
      <c r="U3088" s="3">
        <v>46129.99644675926</v>
      </c>
      <c r="V3088"/>
      <c r="W3088" s="3">
        <v>46129</v>
      </c>
      <c r="X3088" t="inlineStr">
        <is>
          <t>04</t>
        </is>
      </c>
      <c r="Y3088" t="inlineStr">
        <is>
          <t>2026-Q2</t>
        </is>
      </c>
    </row>
    <row r="3089" ht="38.25" customHeight="1">
      <c r="A3089" t="inlineStr">
        <is>
          <t>2026版小瓶盖儿四下语文第一单元课件+逐字稿</t>
        </is>
      </c>
      <c r="B3089" t="inlineStr">
        <is>
          <t>__upload_recvh42zTHujNO.jpg</t>
        </is>
      </c>
      <c r="C3089" s="2" t="str">
        <f>=HYPERLINK("https://xhslink.com/m/6aPwVFMfatI", "https://xhslink.com/m/6aPwVFMfatI")</f>
        <v>https://xhslink.com/m/6aPwVFMfatI</v>
      </c>
      <c r="D3089"/>
      <c r="E3089">
        <v>676</v>
      </c>
      <c r="F3089">
        <v>128</v>
      </c>
      <c r="G3089"/>
      <c r="H3089">
        <v>550</v>
      </c>
      <c r="I3089"/>
      <c r="J3089"/>
      <c r="K3089" t="inlineStr">
        <is>
          <t>课件</t>
        </is>
      </c>
      <c r="L3089"/>
      <c r="M3089" t="inlineStr">
        <is>
          <t>小小瓶盖儿的店</t>
        </is>
      </c>
      <c r="N3089">
        <v>39000</v>
      </c>
      <c r="O3089">
        <v>4.5</v>
      </c>
      <c r="P3089">
        <v>45000</v>
      </c>
      <c r="Q3089" t="inlineStr">
        <is>
          <t>6980106098142000014572b5</t>
        </is>
      </c>
      <c r="R3089" t="inlineStr">
        <is>
          <t>🚫重复</t>
        </is>
      </c>
      <c r="S3089" t="inlineStr">
        <is>
          <t>中小学教辅/教材</t>
        </is>
      </c>
      <c r="T3089" t="inlineStr">
        <is>
          <t>0.02</t>
        </is>
      </c>
      <c r="U3089" s="3">
        <v>46129.99644675926</v>
      </c>
      <c r="V3089"/>
      <c r="W3089" s="3">
        <v>46129</v>
      </c>
      <c r="X3089" t="inlineStr">
        <is>
          <t>04</t>
        </is>
      </c>
      <c r="Y3089" t="inlineStr">
        <is>
          <t>2026-Q2</t>
        </is>
      </c>
    </row>
    <row r="3090" ht="38.25" customHeight="1">
      <c r="A3090" t="inlineStr">
        <is>
          <t>【K04】2026新版四年级下册任务群课件｜教案｜逐字稿｜Ai赋能</t>
        </is>
      </c>
      <c r="B3090" t="inlineStr">
        <is>
          <t>__upload_recvh42zTHU8O2.jpg</t>
        </is>
      </c>
      <c r="C3090" s="2" t="str">
        <f>=HYPERLINK("https://xhslink.com/m/9JKTaTvfJPs", "https://xhslink.com/m/9JKTaTvfJPs")</f>
        <v>https://xhslink.com/m/9JKTaTvfJPs</v>
      </c>
      <c r="D3090"/>
      <c r="E3090">
        <v>613</v>
      </c>
      <c r="F3090">
        <v>129</v>
      </c>
      <c r="G3090"/>
      <c r="H3090">
        <v>400</v>
      </c>
      <c r="I3090"/>
      <c r="J3090"/>
      <c r="K3090" t="inlineStr">
        <is>
          <t>课件</t>
        </is>
      </c>
      <c r="L3090"/>
      <c r="M3090" t="inlineStr">
        <is>
          <t>小雪老师的课堂的店</t>
        </is>
      </c>
      <c r="N3090">
        <v>15000</v>
      </c>
      <c r="O3090">
        <v>4.44</v>
      </c>
      <c r="P3090">
        <v>89000</v>
      </c>
      <c r="Q3090" t="inlineStr">
        <is>
          <t>6978622006c7230001abf3ae</t>
        </is>
      </c>
      <c r="R3090" t="inlineStr">
        <is>
          <t>🚫重复</t>
        </is>
      </c>
      <c r="S3090" t="inlineStr">
        <is>
          <t>中小学教辅/教材</t>
        </is>
      </c>
      <c r="T3090" t="inlineStr">
        <is>
          <t>0.04</t>
        </is>
      </c>
      <c r="U3090" s="3">
        <v>46129.99644675926</v>
      </c>
      <c r="V3090"/>
      <c r="W3090" s="3">
        <v>46129</v>
      </c>
      <c r="X3090" t="inlineStr">
        <is>
          <t>04</t>
        </is>
      </c>
      <c r="Y3090" t="inlineStr">
        <is>
          <t>2026-Q2</t>
        </is>
      </c>
    </row>
    <row r="3091" ht="38.25" customHeight="1">
      <c r="A3091" t="inlineStr">
        <is>
          <t>新版浙美三年级下册（单课）</t>
        </is>
      </c>
      <c r="B3091" t="inlineStr">
        <is>
          <t>__upload_recvh42zTHE9rb.jpg</t>
        </is>
      </c>
      <c r="C3091" s="2" t="str">
        <f>=HYPERLINK("https://xhslink.com/m/AiMe6gASbPD", "https://xhslink.com/m/AiMe6gASbPD")</f>
        <v>https://xhslink.com/m/AiMe6gASbPD</v>
      </c>
      <c r="D3091"/>
      <c r="E3091">
        <v>629</v>
      </c>
      <c r="F3091">
        <v>168</v>
      </c>
      <c r="G3091"/>
      <c r="H3091">
        <v>350</v>
      </c>
      <c r="I3091"/>
      <c r="J3091"/>
      <c r="K3091" t="inlineStr">
        <is>
          <t>课件</t>
        </is>
      </c>
      <c r="L3091"/>
      <c r="M3091" t="inlineStr">
        <is>
          <t>Esme的美术课堂的店</t>
        </is>
      </c>
      <c r="N3091">
        <v>4839</v>
      </c>
      <c r="O3091">
        <v>4.6</v>
      </c>
      <c r="P3091">
        <v>2437</v>
      </c>
      <c r="Q3091" t="inlineStr">
        <is>
          <t>699c1281d5afea00013d1c57</t>
        </is>
      </c>
      <c r="R3091" t="inlineStr">
        <is>
          <t>🚫重复</t>
        </is>
      </c>
      <c r="S3091" t="inlineStr">
        <is>
          <t>中小学教辅/教材</t>
        </is>
      </c>
      <c r="T3091" t="inlineStr">
        <is>
          <t>0.13</t>
        </is>
      </c>
      <c r="U3091" s="3">
        <v>46129.99644675926</v>
      </c>
      <c r="V3091"/>
      <c r="W3091" s="3">
        <v>46129</v>
      </c>
      <c r="X3091" t="inlineStr">
        <is>
          <t>04</t>
        </is>
      </c>
      <c r="Y3091" t="inlineStr">
        <is>
          <t>2026-Q2</t>
        </is>
      </c>
    </row>
    <row r="3092" ht="38.25" customHeight="1">
      <c r="A3092" t="inlineStr">
        <is>
          <t>（预售）2026春季新版语文三下全册语文课件教案（后续找客服要）</t>
        </is>
      </c>
      <c r="B3092" t="inlineStr">
        <is>
          <t>__upload_recvh42zTHbBWz.jpg</t>
        </is>
      </c>
      <c r="C3092" s="2" t="str">
        <f>=HYPERLINK("https://xhslink.com/m/1S4lsF4YbGe", "https://xhslink.com/m/1S4lsF4YbGe")</f>
        <v>https://xhslink.com/m/1S4lsF4YbGe</v>
      </c>
      <c r="D3092"/>
      <c r="E3092">
        <v>565</v>
      </c>
      <c r="F3092">
        <v>123</v>
      </c>
      <c r="G3092"/>
      <c r="H3092">
        <v>400</v>
      </c>
      <c r="I3092"/>
      <c r="J3092"/>
      <c r="K3092" t="inlineStr">
        <is>
          <t>课件</t>
        </is>
      </c>
      <c r="L3092"/>
      <c r="M3092" t="inlineStr">
        <is>
          <t>想躺平的李老师的店</t>
        </is>
      </c>
      <c r="N3092">
        <v>70000</v>
      </c>
      <c r="O3092">
        <v>4.61</v>
      </c>
      <c r="P3092">
        <v>85000</v>
      </c>
      <c r="Q3092" t="inlineStr">
        <is>
          <t>6973362006c723000101c8ff</t>
        </is>
      </c>
      <c r="R3092" t="inlineStr">
        <is>
          <t>🚫重复</t>
        </is>
      </c>
      <c r="S3092" t="inlineStr">
        <is>
          <t>中小学教辅/教材</t>
        </is>
      </c>
      <c r="T3092" t="inlineStr">
        <is>
          <t>0.01</t>
        </is>
      </c>
      <c r="U3092" s="3">
        <v>46129.99644675926</v>
      </c>
      <c r="V3092"/>
      <c r="W3092" s="3">
        <v>46129</v>
      </c>
      <c r="X3092" t="inlineStr">
        <is>
          <t>04</t>
        </is>
      </c>
      <c r="Y3092" t="inlineStr">
        <is>
          <t>2026-Q2</t>
        </is>
      </c>
    </row>
    <row r="3093" ht="38.25" customHeight="1">
      <c r="A3093" t="inlineStr">
        <is>
          <t>浙美版三下课件+教案</t>
        </is>
      </c>
      <c r="B3093" t="inlineStr">
        <is>
          <t>__upload_recvh42zTHx29d.jpg</t>
        </is>
      </c>
      <c r="C3093" s="2" t="str">
        <f>=HYPERLINK("https://xhslink.com/m/73yuFwpuc7u", "https://xhslink.com/m/73yuFwpuc7u")</f>
        <v>https://xhslink.com/m/73yuFwpuc7u</v>
      </c>
      <c r="D3093"/>
      <c r="E3093">
        <v>633</v>
      </c>
      <c r="F3093">
        <v>98</v>
      </c>
      <c r="G3093"/>
      <c r="H3093">
        <v>350</v>
      </c>
      <c r="I3093"/>
      <c r="J3093"/>
      <c r="K3093" t="inlineStr">
        <is>
          <t>课件</t>
        </is>
      </c>
      <c r="L3093"/>
      <c r="M3093" t="inlineStr">
        <is>
          <t>伊子老师的店</t>
        </is>
      </c>
      <c r="N3093">
        <v>1244</v>
      </c>
      <c r="O3093">
        <v>4.27</v>
      </c>
      <c r="P3093">
        <v>2090</v>
      </c>
      <c r="Q3093" t="inlineStr">
        <is>
          <t>69a2ff3a094aed0001842124</t>
        </is>
      </c>
      <c r="R3093"/>
      <c r="S3093" t="inlineStr">
        <is>
          <t>中小学教辅/教材</t>
        </is>
      </c>
      <c r="T3093" t="inlineStr">
        <is>
          <t>0.51</t>
        </is>
      </c>
      <c r="U3093" s="3">
        <v>46129.99644675926</v>
      </c>
      <c r="V3093"/>
      <c r="W3093" s="3">
        <v>46129</v>
      </c>
      <c r="X3093" t="inlineStr">
        <is>
          <t>04</t>
        </is>
      </c>
      <c r="Y3093" t="inlineStr">
        <is>
          <t>2026-Q2</t>
        </is>
      </c>
    </row>
    <row r="3094" ht="38.25" customHeight="1">
      <c r="A3094" t="inlineStr">
        <is>
          <t>【国内版】性格与城市匹配 ｜秒发货</t>
        </is>
      </c>
      <c r="B3094" t="inlineStr">
        <is>
          <t>__upload_recvh42zTHKsne.jpg</t>
        </is>
      </c>
      <c r="C3094" s="2" t="str">
        <f>=HYPERLINK("https://xhslink.com/m/9R7hj61qRO4", "https://xhslink.com/m/9R7hj61qRO4")</f>
        <v>https://xhslink.com/m/9R7hj61qRO4</v>
      </c>
      <c r="D3094"/>
      <c r="E3094">
        <v>793</v>
      </c>
      <c r="F3094">
        <v>1.99</v>
      </c>
      <c r="G3094"/>
      <c r="H3094">
        <v>650</v>
      </c>
      <c r="I3094"/>
      <c r="J3094"/>
      <c r="K3094" t="inlineStr">
        <is>
          <t>性格与城市匹配</t>
        </is>
      </c>
      <c r="L3094"/>
      <c r="M3094" t="inlineStr">
        <is>
          <t>晴木🍀的店</t>
        </is>
      </c>
      <c r="N3094">
        <v>2250</v>
      </c>
      <c r="O3094">
        <v>4.27</v>
      </c>
      <c r="P3094">
        <v>940</v>
      </c>
      <c r="Q3094" t="inlineStr">
        <is>
          <t>698d4ceab6ceb400011310fe</t>
        </is>
      </c>
      <c r="R3094"/>
      <c r="S3094" t="inlineStr">
        <is>
          <t>生活成长</t>
        </is>
      </c>
      <c r="T3094" t="inlineStr">
        <is>
          <t>0.35</t>
        </is>
      </c>
      <c r="U3094" s="3">
        <v>46129.99644675926</v>
      </c>
      <c r="V3094"/>
      <c r="W3094" s="3">
        <v>46129</v>
      </c>
      <c r="X3094" t="inlineStr">
        <is>
          <t>04</t>
        </is>
      </c>
      <c r="Y3094" t="inlineStr">
        <is>
          <t>2026-Q2</t>
        </is>
      </c>
    </row>
    <row r="3095" ht="38.25" customHeight="1">
      <c r="A3095" t="inlineStr">
        <is>
          <t>【性格匹配城市测试】自动发货/秒拍秒发</t>
        </is>
      </c>
      <c r="B3095" t="inlineStr">
        <is>
          <t>__upload_recvh42zTHw2jJ.jpg</t>
        </is>
      </c>
      <c r="C3095" s="2" t="str">
        <f>=HYPERLINK("https://xhslink.com/m/AxgxT62zpmx", "https://xhslink.com/m/AxgxT62zpmx")</f>
        <v>https://xhslink.com/m/AxgxT62zpmx</v>
      </c>
      <c r="D3095"/>
      <c r="E3095">
        <v>574</v>
      </c>
      <c r="F3095">
        <v>0.99</v>
      </c>
      <c r="G3095"/>
      <c r="H3095">
        <v>500</v>
      </c>
      <c r="I3095"/>
      <c r="J3095"/>
      <c r="K3095" t="inlineStr">
        <is>
          <t>性格与城市匹配</t>
        </is>
      </c>
      <c r="L3095" t="inlineStr">
        <is>
          <t>🔥低粉爆款</t>
        </is>
      </c>
      <c r="M3095" t="inlineStr">
        <is>
          <t>星星软糖wh1的店</t>
        </is>
      </c>
      <c r="N3095">
        <v>114</v>
      </c>
      <c r="O3095">
        <v>4.47</v>
      </c>
      <c r="P3095">
        <v>6056</v>
      </c>
      <c r="Q3095" t="inlineStr">
        <is>
          <t>69b0322f7d0ce00001ac31f8</t>
        </is>
      </c>
      <c r="R3095"/>
      <c r="S3095" t="inlineStr">
        <is>
          <t>生活成长</t>
        </is>
      </c>
      <c r="T3095" t="inlineStr">
        <is>
          <t>5.04</t>
        </is>
      </c>
      <c r="U3095" s="3">
        <v>46129.99644675926</v>
      </c>
      <c r="V3095"/>
      <c r="W3095" s="3">
        <v>46129</v>
      </c>
      <c r="X3095" t="inlineStr">
        <is>
          <t>04</t>
        </is>
      </c>
      <c r="Y3095" t="inlineStr">
        <is>
          <t>2026-Q2</t>
        </is>
      </c>
    </row>
    <row r="3096" ht="38.25" customHeight="1">
      <c r="A3096" t="inlineStr">
        <is>
          <t>AI女装图文视频动态口令提示词大合集！高转化场景指令一键生图！</t>
        </is>
      </c>
      <c r="B3096" t="inlineStr">
        <is>
          <t>__upload_recvh42zTHebSf.jpg</t>
        </is>
      </c>
      <c r="C3096" s="2" t="str">
        <f>=HYPERLINK("https://xhslink.com/m/53aA8oTmWWU", "https://xhslink.com/m/53aA8oTmWWU")</f>
        <v>https://xhslink.com/m/53aA8oTmWWU</v>
      </c>
      <c r="D3096"/>
      <c r="E3096">
        <v>987</v>
      </c>
      <c r="F3096">
        <v>19.9</v>
      </c>
      <c r="G3096"/>
      <c r="H3096">
        <v>450</v>
      </c>
      <c r="I3096"/>
      <c r="J3096"/>
      <c r="K3096" t="inlineStr">
        <is>
          <t>提示词</t>
        </is>
      </c>
      <c r="L3096"/>
      <c r="M3096" t="inlineStr">
        <is>
          <t>冷静星期八的店</t>
        </is>
      </c>
      <c r="N3096">
        <v>5223</v>
      </c>
      <c r="O3096">
        <v>4.59</v>
      </c>
      <c r="P3096">
        <v>1413</v>
      </c>
      <c r="Q3096" t="inlineStr">
        <is>
          <t>6963e7d7aae29400015b621e</t>
        </is>
      </c>
      <c r="R3096"/>
      <c r="S3096" t="inlineStr">
        <is>
          <t>AI</t>
        </is>
      </c>
      <c r="T3096" t="inlineStr">
        <is>
          <t>0.19</t>
        </is>
      </c>
      <c r="U3096" s="3">
        <v>46129.99644675926</v>
      </c>
      <c r="V3096"/>
      <c r="W3096" s="3">
        <v>46129</v>
      </c>
      <c r="X3096" t="inlineStr">
        <is>
          <t>04</t>
        </is>
      </c>
      <c r="Y3096" t="inlineStr">
        <is>
          <t>2026-Q2</t>
        </is>
      </c>
    </row>
    <row r="3097" ht="38.25" customHeight="1">
      <c r="A3097" t="inlineStr">
        <is>
          <t>人力资源实操百科课程（人力资源知识库，HR人事文档，课时1年）</t>
        </is>
      </c>
      <c r="B3097" t="inlineStr">
        <is>
          <t>__upload_recvh42zTHZBJs.jpg</t>
        </is>
      </c>
      <c r="C3097" s="2" t="str">
        <f>=HYPERLINK("https://xhslink.com/m/8nwibNs32Hl", "https://xhslink.com/m/8nwibNs32Hl")</f>
        <v>https://xhslink.com/m/8nwibNs32Hl</v>
      </c>
      <c r="D3097"/>
      <c r="E3097">
        <v>8367</v>
      </c>
      <c r="F3097">
        <v>299</v>
      </c>
      <c r="G3097"/>
      <c r="H3097">
        <v>350</v>
      </c>
      <c r="I3097"/>
      <c r="J3097"/>
      <c r="K3097" t="inlineStr">
        <is>
          <t>知识库</t>
        </is>
      </c>
      <c r="L3097"/>
      <c r="M3097" t="inlineStr">
        <is>
          <t>HR导师徐博士的店</t>
        </is>
      </c>
      <c r="N3097">
        <v>78000</v>
      </c>
      <c r="O3097">
        <v>4.55</v>
      </c>
      <c r="P3097">
        <v>8362</v>
      </c>
      <c r="Q3097" t="inlineStr">
        <is>
          <t>65748a785c95510001de2269</t>
        </is>
      </c>
      <c r="R3097" t="inlineStr">
        <is>
          <t>🚫重复</t>
        </is>
      </c>
      <c r="S3097" t="inlineStr">
        <is>
          <t>生活成长</t>
        </is>
      </c>
      <c r="T3097" t="inlineStr">
        <is>
          <t>0.11</t>
        </is>
      </c>
      <c r="U3097" s="3">
        <v>46129.99644675926</v>
      </c>
      <c r="V3097"/>
      <c r="W3097" s="3">
        <v>46129</v>
      </c>
      <c r="X3097" t="inlineStr">
        <is>
          <t>04</t>
        </is>
      </c>
      <c r="Y3097" t="inlineStr">
        <is>
          <t>2026-Q2</t>
        </is>
      </c>
    </row>
    <row r="3098" ht="38.25" customHeight="1">
      <c r="A3098" t="inlineStr">
        <is>
          <t>高中高三高考总复习知识解题技巧归纳总结教程资料提分课程重点</t>
        </is>
      </c>
      <c r="B3098" t="inlineStr">
        <is>
          <t>__upload_recvhj3mrX7jFl.jpg</t>
        </is>
      </c>
      <c r="C3098" s="2" t="str">
        <f>=HYPERLINK("https://xhslink.com/m/4W6X0GVSFag", "https://xhslink.com/m/4W6X0GVSFag")</f>
        <v>https://xhslink.com/m/4W6X0GVSFag</v>
      </c>
      <c r="D3098"/>
      <c r="E3098">
        <v>19000</v>
      </c>
      <c r="F3098">
        <v>9.8</v>
      </c>
      <c r="G3098"/>
      <c r="H3098">
        <v>850</v>
      </c>
      <c r="I3098"/>
      <c r="J3098"/>
      <c r="K3098" t="inlineStr">
        <is>
          <t>高中数学</t>
        </is>
      </c>
      <c r="L3098"/>
      <c r="M3098" t="inlineStr">
        <is>
          <t>发发的高中资料库的店</t>
        </is>
      </c>
      <c r="N3098">
        <v>17000</v>
      </c>
      <c r="O3098">
        <v>4.47</v>
      </c>
      <c r="P3098">
        <v>59000</v>
      </c>
      <c r="Q3098" t="inlineStr">
        <is>
          <t>6607d2b65c3c5a000156f286</t>
        </is>
      </c>
      <c r="R3098" t="inlineStr">
        <is>
          <t>🚫重复</t>
        </is>
      </c>
      <c r="S3098" t="inlineStr">
        <is>
          <t>高中/高考资料</t>
        </is>
      </c>
      <c r="T3098" t="inlineStr">
        <is>
          <t>1.12</t>
        </is>
      </c>
      <c r="U3098" s="3">
        <v>46132.56381944445</v>
      </c>
      <c r="V3098"/>
      <c r="W3098" s="3">
        <v>46132</v>
      </c>
      <c r="X3098" t="inlineStr">
        <is>
          <t>04</t>
        </is>
      </c>
      <c r="Y3098" t="inlineStr">
        <is>
          <t>2026-Q2</t>
        </is>
      </c>
    </row>
    <row r="3099" ht="38.25" customHeight="1">
      <c r="A3099" t="inlineStr">
        <is>
          <t>2025年高考语文数学英语物理化学历史地理政治真题分类汇编电子版</t>
        </is>
      </c>
      <c r="B3099" t="inlineStr">
        <is>
          <t>__upload_recvhj3n33VEaq.jpg</t>
        </is>
      </c>
      <c r="C3099" s="2" t="str">
        <f>=HYPERLINK("https://xhslink.com/m/5NhhofIHv7E", "https://xhslink.com/m/5NhhofIHv7E")</f>
        <v>https://xhslink.com/m/5NhhofIHv7E</v>
      </c>
      <c r="D3099"/>
      <c r="E3099">
        <v>8301</v>
      </c>
      <c r="F3099">
        <v>8.8</v>
      </c>
      <c r="G3099"/>
      <c r="H3099">
        <v>400</v>
      </c>
      <c r="I3099">
        <v>1000</v>
      </c>
      <c r="J3099"/>
      <c r="K3099" t="inlineStr">
        <is>
          <t>高中数学</t>
        </is>
      </c>
      <c r="L3099"/>
      <c r="M3099" t="inlineStr">
        <is>
          <t>发发的高中资料库的店</t>
        </is>
      </c>
      <c r="N3099">
        <v>17000</v>
      </c>
      <c r="O3099">
        <v>4.47</v>
      </c>
      <c r="P3099">
        <v>59000</v>
      </c>
      <c r="Q3099" t="inlineStr">
        <is>
          <t>678f061e96b36c0001e7842b</t>
        </is>
      </c>
      <c r="R3099" t="inlineStr">
        <is>
          <t>🚫重复</t>
        </is>
      </c>
      <c r="S3099" t="inlineStr">
        <is>
          <t>高中/高考资料</t>
        </is>
      </c>
      <c r="T3099" t="inlineStr">
        <is>
          <t>0.49</t>
        </is>
      </c>
      <c r="U3099" s="3">
        <v>46132.56384259259</v>
      </c>
      <c r="V3099"/>
      <c r="W3099" s="3">
        <v>46132</v>
      </c>
      <c r="X3099" t="inlineStr">
        <is>
          <t>04</t>
        </is>
      </c>
      <c r="Y3099" t="inlineStr">
        <is>
          <t>2026-Q2</t>
        </is>
      </c>
    </row>
    <row r="3100" ht="38.25" customHeight="1">
      <c r="A3100" t="inlineStr">
        <is>
          <t>浙江大学出版社初高中数学思想方法导引张金良主编辅导资料书</t>
        </is>
      </c>
      <c r="B3100" t="inlineStr">
        <is>
          <t>__upload_recvhj3n33hssb.jpg</t>
        </is>
      </c>
      <c r="C3100" s="2" t="str">
        <f>=HYPERLINK("https://xhslink.com/m/3dTBx3Tlt6x", "https://xhslink.com/m/3dTBx3Tlt6x")</f>
        <v>https://xhslink.com/m/3dTBx3Tlt6x</v>
      </c>
      <c r="D3100"/>
      <c r="E3100">
        <v>4512</v>
      </c>
      <c r="F3100">
        <v>115.8</v>
      </c>
      <c r="G3100"/>
      <c r="H3100">
        <v>750</v>
      </c>
      <c r="I3100"/>
      <c r="J3100"/>
      <c r="K3100" t="inlineStr">
        <is>
          <t>高中数学</t>
        </is>
      </c>
      <c r="L3100" t="inlineStr">
        <is>
          <t>🔥低粉爆款</t>
        </is>
      </c>
      <c r="M3100" t="inlineStr">
        <is>
          <t>提分书屋的店</t>
        </is>
      </c>
      <c r="N3100">
        <v>1396</v>
      </c>
      <c r="O3100">
        <v>4.8</v>
      </c>
      <c r="P3100">
        <v>4750</v>
      </c>
      <c r="Q3100" t="inlineStr">
        <is>
          <t>6850beaeea2a8100017f5e6e</t>
        </is>
      </c>
      <c r="R3100" t="inlineStr">
        <is>
          <t>🚫重复</t>
        </is>
      </c>
      <c r="S3100" t="inlineStr">
        <is>
          <t>中小学教辅/教材</t>
        </is>
      </c>
      <c r="T3100" t="inlineStr">
        <is>
          <t>3.23</t>
        </is>
      </c>
      <c r="U3100" s="3">
        <v>46132.56384259259</v>
      </c>
      <c r="V3100"/>
      <c r="W3100" s="3">
        <v>46132</v>
      </c>
      <c r="X3100" t="inlineStr">
        <is>
          <t>04</t>
        </is>
      </c>
      <c r="Y3100" t="inlineStr">
        <is>
          <t>2026-Q2</t>
        </is>
      </c>
    </row>
    <row r="3101" ht="38.25" customHeight="1">
      <c r="A3101" t="inlineStr">
        <is>
          <t>【多维全练】高中数学PDF+word基础提分</t>
        </is>
      </c>
      <c r="B3101" t="inlineStr">
        <is>
          <t>__upload_recvhj3n33D3wG.jpg</t>
        </is>
      </c>
      <c r="C3101" s="2" t="str">
        <f>=HYPERLINK("https://xhslink.com/m/2X5aGCK4j7W", "https://xhslink.com/m/2X5aGCK4j7W")</f>
        <v>https://xhslink.com/m/2X5aGCK4j7W</v>
      </c>
      <c r="D3101"/>
      <c r="E3101">
        <v>4510</v>
      </c>
      <c r="F3101">
        <v>340</v>
      </c>
      <c r="G3101"/>
      <c r="H3101">
        <v>300</v>
      </c>
      <c r="I3101"/>
      <c r="J3101"/>
      <c r="K3101" t="inlineStr">
        <is>
          <t>高中数学</t>
        </is>
      </c>
      <c r="L3101"/>
      <c r="M3101" t="inlineStr">
        <is>
          <t>轻峰教育的店</t>
        </is>
      </c>
      <c r="N3101">
        <v>10000</v>
      </c>
      <c r="O3101">
        <v>4.43</v>
      </c>
      <c r="P3101">
        <v>10000</v>
      </c>
      <c r="Q3101" t="inlineStr">
        <is>
          <t>6874c0084485460001e69bfa</t>
        </is>
      </c>
      <c r="R3101" t="inlineStr">
        <is>
          <t>🚫重复</t>
        </is>
      </c>
      <c r="S3101" t="inlineStr">
        <is>
          <t>高中/高考资料</t>
        </is>
      </c>
      <c r="T3101" t="inlineStr">
        <is>
          <t>0.45</t>
        </is>
      </c>
      <c r="U3101" s="3">
        <v>46132.56384259259</v>
      </c>
      <c r="V3101"/>
      <c r="W3101" s="3">
        <v>46132</v>
      </c>
      <c r="X3101" t="inlineStr">
        <is>
          <t>04</t>
        </is>
      </c>
      <c r="Y3101" t="inlineStr">
        <is>
          <t>2026-Q2</t>
        </is>
      </c>
    </row>
    <row r="3102" ht="38.25" customHeight="1">
      <c r="A3102" t="inlineStr">
        <is>
          <t>创意美术绘画少儿美术课件美术课程体系PPT课件+课程大纲/可编辑</t>
        </is>
      </c>
      <c r="B3102" t="inlineStr">
        <is>
          <t>__upload_recvhj3n331AqA.jpg</t>
        </is>
      </c>
      <c r="C3102" s="2" t="str">
        <f>=HYPERLINK("https://xhslink.com/m/2t2Hxyp6DFE", "https://xhslink.com/m/2t2Hxyp6DFE")</f>
        <v>https://xhslink.com/m/2t2Hxyp6DFE</v>
      </c>
      <c r="D3102"/>
      <c r="E3102">
        <v>7384</v>
      </c>
      <c r="F3102">
        <v>36</v>
      </c>
      <c r="G3102"/>
      <c r="H3102">
        <v>800</v>
      </c>
      <c r="I3102">
        <v>1000</v>
      </c>
      <c r="J3102"/>
      <c r="K3102" t="inlineStr">
        <is>
          <t>美术</t>
        </is>
      </c>
      <c r="L3102"/>
      <c r="M3102" t="inlineStr">
        <is>
          <t>好牛课件的店</t>
        </is>
      </c>
      <c r="N3102">
        <v>8958</v>
      </c>
      <c r="O3102">
        <v>4.56</v>
      </c>
      <c r="P3102">
        <v>13000</v>
      </c>
      <c r="Q3102" t="inlineStr">
        <is>
          <t>6655bddfc33ca80001d88b23</t>
        </is>
      </c>
      <c r="R3102" t="inlineStr">
        <is>
          <t>🚫重复</t>
        </is>
      </c>
      <c r="S3102" t="inlineStr">
        <is>
          <t>中小学教辅/教材</t>
        </is>
      </c>
      <c r="T3102" t="inlineStr">
        <is>
          <t>0.82</t>
        </is>
      </c>
      <c r="U3102" s="3">
        <v>46132.56384259259</v>
      </c>
      <c r="V3102"/>
      <c r="W3102" s="3">
        <v>46132</v>
      </c>
      <c r="X3102" t="inlineStr">
        <is>
          <t>04</t>
        </is>
      </c>
      <c r="Y3102" t="inlineStr">
        <is>
          <t>2026-Q2</t>
        </is>
      </c>
    </row>
    <row r="3103" ht="38.25" customHeight="1">
      <c r="A3103" t="inlineStr">
        <is>
          <t>人美版新教材丨八年级下册（11课时）</t>
        </is>
      </c>
      <c r="B3103" t="inlineStr">
        <is>
          <t>__upload_recvhj3n33XWxP.jpg</t>
        </is>
      </c>
      <c r="C3103" s="2" t="str">
        <f>=HYPERLINK("https://xhslink.com/m/7dFp0I3yLKV", "https://xhslink.com/m/7dFp0I3yLKV")</f>
        <v>https://xhslink.com/m/7dFp0I3yLKV</v>
      </c>
      <c r="D3103"/>
      <c r="E3103">
        <v>636</v>
      </c>
      <c r="F3103">
        <v>110</v>
      </c>
      <c r="G3103"/>
      <c r="H3103">
        <v>400</v>
      </c>
      <c r="I3103"/>
      <c r="J3103"/>
      <c r="K3103" t="inlineStr">
        <is>
          <t>美术</t>
        </is>
      </c>
      <c r="L3103"/>
      <c r="M3103" t="inlineStr">
        <is>
          <t>美教护肝片的店</t>
        </is>
      </c>
      <c r="N3103">
        <v>12000</v>
      </c>
      <c r="O3103">
        <v>4.55</v>
      </c>
      <c r="P3103">
        <v>25000</v>
      </c>
      <c r="Q3103" t="inlineStr">
        <is>
          <t>679c52d475ca3a0001518a13</t>
        </is>
      </c>
      <c r="R3103" t="inlineStr">
        <is>
          <t>🚫重复</t>
        </is>
      </c>
      <c r="S3103" t="inlineStr">
        <is>
          <t>中小学教辅/教材</t>
        </is>
      </c>
      <c r="T3103" t="inlineStr">
        <is>
          <t>0.05</t>
        </is>
      </c>
      <c r="U3103" s="3">
        <v>46132.56384259259</v>
      </c>
      <c r="V3103"/>
      <c r="W3103" s="3">
        <v>46132</v>
      </c>
      <c r="X3103" t="inlineStr">
        <is>
          <t>04</t>
        </is>
      </c>
      <c r="Y3103" t="inlineStr">
        <is>
          <t>2026-Q2</t>
        </is>
      </c>
    </row>
    <row r="3104" ht="38.25" customHeight="1">
      <c r="A3104" t="inlineStr">
        <is>
          <t>新版浙美三年级下册（单课）</t>
        </is>
      </c>
      <c r="B3104" t="inlineStr">
        <is>
          <t>__upload_recvhj3n33nNFw.jpg</t>
        </is>
      </c>
      <c r="C3104" s="2" t="str">
        <f>=HYPERLINK("https://xhslink.com/m/1VSjkz4yPAz", "https://xhslink.com/m/1VSjkz4yPAz")</f>
        <v>https://xhslink.com/m/1VSjkz4yPAz</v>
      </c>
      <c r="D3104"/>
      <c r="E3104">
        <v>648</v>
      </c>
      <c r="F3104">
        <v>168</v>
      </c>
      <c r="G3104"/>
      <c r="H3104">
        <v>350</v>
      </c>
      <c r="I3104"/>
      <c r="J3104"/>
      <c r="K3104" t="inlineStr">
        <is>
          <t>美术</t>
        </is>
      </c>
      <c r="L3104"/>
      <c r="M3104" t="inlineStr">
        <is>
          <t>Esme的美术课堂的店</t>
        </is>
      </c>
      <c r="N3104">
        <v>4846</v>
      </c>
      <c r="O3104">
        <v>4.59</v>
      </c>
      <c r="P3104">
        <v>2498</v>
      </c>
      <c r="Q3104" t="inlineStr">
        <is>
          <t>699c1281d5afea00013d1c57</t>
        </is>
      </c>
      <c r="R3104" t="inlineStr">
        <is>
          <t>🚫重复</t>
        </is>
      </c>
      <c r="S3104" t="inlineStr">
        <is>
          <t>中小学教辅/教材</t>
        </is>
      </c>
      <c r="T3104" t="inlineStr">
        <is>
          <t>0.13</t>
        </is>
      </c>
      <c r="U3104" s="3">
        <v>46132.56384259259</v>
      </c>
      <c r="V3104"/>
      <c r="W3104" s="3">
        <v>46132</v>
      </c>
      <c r="X3104" t="inlineStr">
        <is>
          <t>04</t>
        </is>
      </c>
      <c r="Y3104" t="inlineStr">
        <is>
          <t>2026-Q2</t>
        </is>
      </c>
    </row>
    <row r="3105" ht="38.25" customHeight="1">
      <c r="A3105" t="inlineStr">
        <is>
          <t>麦叮水彩“情感表达”系列课程</t>
        </is>
      </c>
      <c r="B3105" t="inlineStr">
        <is>
          <t>__upload_recvhj3n33pj4q.jpg</t>
        </is>
      </c>
      <c r="C3105" s="2" t="str">
        <f>=HYPERLINK("https://xhslink.com/m/7GBy5rnLW3P", "https://xhslink.com/m/7GBy5rnLW3P")</f>
        <v>https://xhslink.com/m/7GBy5rnLW3P</v>
      </c>
      <c r="D3105"/>
      <c r="E3105">
        <v>575</v>
      </c>
      <c r="F3105">
        <v>996</v>
      </c>
      <c r="G3105"/>
      <c r="H3105">
        <v>350</v>
      </c>
      <c r="I3105"/>
      <c r="J3105"/>
      <c r="K3105" t="inlineStr">
        <is>
          <t>美术</t>
        </is>
      </c>
      <c r="L3105"/>
      <c r="M3105" t="inlineStr">
        <is>
          <t>麦叮水彩的店</t>
        </is>
      </c>
      <c r="N3105">
        <v>386000</v>
      </c>
      <c r="O3105">
        <v>4.56</v>
      </c>
      <c r="P3105">
        <v>6911</v>
      </c>
      <c r="Q3105" t="inlineStr">
        <is>
          <t>69b3ecdd5e5f0500011d70ef</t>
        </is>
      </c>
      <c r="R3105"/>
      <c r="S3105" t="inlineStr">
        <is>
          <t>生活成长</t>
        </is>
      </c>
      <c r="T3105" t="inlineStr">
        <is>
          <t>0.00</t>
        </is>
      </c>
      <c r="U3105" s="3">
        <v>46132.56384259259</v>
      </c>
      <c r="V3105"/>
      <c r="W3105" s="3">
        <v>46132</v>
      </c>
      <c r="X3105" t="inlineStr">
        <is>
          <t>04</t>
        </is>
      </c>
      <c r="Y3105" t="inlineStr">
        <is>
          <t>2026-Q2</t>
        </is>
      </c>
    </row>
    <row r="3106" ht="38.25" customHeight="1">
      <c r="A3106" t="inlineStr">
        <is>
          <t>【音乐教学软件】同步教材内所有课件包含乐器创编AI演唱等</t>
        </is>
      </c>
      <c r="B3106" t="inlineStr">
        <is>
          <t>__upload_recvhj3n33Iwp1.jpg</t>
        </is>
      </c>
      <c r="C3106" s="2" t="str">
        <f>=HYPERLINK("https://xhslink.com/m/4ZI58RFGTNC", "https://xhslink.com/m/4ZI58RFGTNC")</f>
        <v>https://xhslink.com/m/4ZI58RFGTNC</v>
      </c>
      <c r="D3106"/>
      <c r="E3106">
        <v>958</v>
      </c>
      <c r="F3106">
        <v>299</v>
      </c>
      <c r="G3106"/>
      <c r="H3106">
        <v>300</v>
      </c>
      <c r="I3106"/>
      <c r="J3106"/>
      <c r="K3106" t="inlineStr">
        <is>
          <t>音乐</t>
        </is>
      </c>
      <c r="L3106"/>
      <c r="M3106" t="inlineStr">
        <is>
          <t>小豚老师🎶的店</t>
        </is>
      </c>
      <c r="N3106">
        <v>5866</v>
      </c>
      <c r="O3106">
        <v>4.35</v>
      </c>
      <c r="P3106">
        <v>1002</v>
      </c>
      <c r="Q3106" t="inlineStr">
        <is>
          <t>694de9adb2492100018fb426</t>
        </is>
      </c>
      <c r="R3106"/>
      <c r="S3106" t="inlineStr">
        <is>
          <t>软件应用</t>
        </is>
      </c>
      <c r="T3106" t="inlineStr">
        <is>
          <t>0.16</t>
        </is>
      </c>
      <c r="U3106" s="3">
        <v>46132.56384259259</v>
      </c>
      <c r="V3106"/>
      <c r="W3106" s="3">
        <v>46132</v>
      </c>
      <c r="X3106" t="inlineStr">
        <is>
          <t>04</t>
        </is>
      </c>
      <c r="Y3106" t="inlineStr">
        <is>
          <t>2026-Q2</t>
        </is>
      </c>
    </row>
    <row r="3107" ht="38.25" customHeight="1">
      <c r="A3107" t="inlineStr">
        <is>
          <t>若琦老师零基础到四级钢琴课程</t>
        </is>
      </c>
      <c r="B3107" t="inlineStr">
        <is>
          <t>__upload_recvhj3n33kiEu.jpg</t>
        </is>
      </c>
      <c r="C3107" s="2" t="str">
        <f>=HYPERLINK("https://xhslink.com/m/2NmkaAgUMZ3", "https://xhslink.com/m/2NmkaAgUMZ3")</f>
        <v>https://xhslink.com/m/2NmkaAgUMZ3</v>
      </c>
      <c r="D3107"/>
      <c r="E3107">
        <v>529</v>
      </c>
      <c r="F3107">
        <v>399</v>
      </c>
      <c r="G3107"/>
      <c r="H3107">
        <v>300</v>
      </c>
      <c r="I3107"/>
      <c r="J3107"/>
      <c r="K3107" t="inlineStr">
        <is>
          <t>音乐</t>
        </is>
      </c>
      <c r="L3107"/>
      <c r="M3107" t="inlineStr">
        <is>
          <t>若琦老师的店</t>
        </is>
      </c>
      <c r="N3107">
        <v>61000</v>
      </c>
      <c r="O3107">
        <v>4.36</v>
      </c>
      <c r="P3107">
        <v>605</v>
      </c>
      <c r="Q3107" t="inlineStr">
        <is>
          <t>697382a81cd3a60001e42e99</t>
        </is>
      </c>
      <c r="R3107"/>
      <c r="S3107" t="inlineStr">
        <is>
          <t>生活成长</t>
        </is>
      </c>
      <c r="T3107" t="inlineStr">
        <is>
          <t>0.01</t>
        </is>
      </c>
      <c r="U3107" s="3">
        <v>46132.56384259259</v>
      </c>
      <c r="V3107"/>
      <c r="W3107" s="3">
        <v>46132</v>
      </c>
      <c r="X3107" t="inlineStr">
        <is>
          <t>04</t>
        </is>
      </c>
      <c r="Y3107" t="inlineStr">
        <is>
          <t>2026-Q2</t>
        </is>
      </c>
    </row>
    <row r="3108" ht="38.25" customHeight="1">
      <c r="A3108" t="inlineStr">
        <is>
          <t>从PPT小白到大神的系统视频课（有老师答疑）</t>
        </is>
      </c>
      <c r="B3108" t="inlineStr">
        <is>
          <t>__upload_recvhj3n33HyZ4.jpg</t>
        </is>
      </c>
      <c r="C3108" s="2" t="str">
        <f>=HYPERLINK("https://xhslink.com/m/8u1K3PYx7Y3", "https://xhslink.com/m/8u1K3PYx7Y3")</f>
        <v>https://xhslink.com/m/8u1K3PYx7Y3</v>
      </c>
      <c r="D3108"/>
      <c r="E3108">
        <v>7492</v>
      </c>
      <c r="F3108">
        <v>399</v>
      </c>
      <c r="G3108"/>
      <c r="H3108">
        <v>350</v>
      </c>
      <c r="I3108"/>
      <c r="J3108"/>
      <c r="K3108" t="inlineStr">
        <is>
          <t>生活技能培训</t>
        </is>
      </c>
      <c r="L3108"/>
      <c r="M3108" t="inlineStr">
        <is>
          <t>利兄日志PPT的店</t>
        </is>
      </c>
      <c r="N3108">
        <v>472000</v>
      </c>
      <c r="O3108">
        <v>4.47</v>
      </c>
      <c r="P3108">
        <v>8402</v>
      </c>
      <c r="Q3108" t="inlineStr">
        <is>
          <t>6533740f797cb300017ec8a7</t>
        </is>
      </c>
      <c r="R3108" t="inlineStr">
        <is>
          <t>🚫重复</t>
        </is>
      </c>
      <c r="S3108" t="inlineStr">
        <is>
          <t>PPT模板</t>
        </is>
      </c>
      <c r="T3108" t="inlineStr">
        <is>
          <t>0.02</t>
        </is>
      </c>
      <c r="U3108" s="3">
        <v>46132.56384259259</v>
      </c>
      <c r="V3108"/>
      <c r="W3108" s="3">
        <v>46132</v>
      </c>
      <c r="X3108" t="inlineStr">
        <is>
          <t>04</t>
        </is>
      </c>
      <c r="Y3108" t="inlineStr">
        <is>
          <t>2026-Q2</t>
        </is>
      </c>
    </row>
    <row r="3109" ht="38.25" customHeight="1">
      <c r="A3109" t="inlineStr">
        <is>
          <t>【短信领课】高能量社交心法</t>
        </is>
      </c>
      <c r="B3109" t="inlineStr">
        <is>
          <t>__upload_recvhj3n33ntBo.jpg</t>
        </is>
      </c>
      <c r="C3109" s="2" t="str">
        <f>=HYPERLINK("https://xhslink.com/m/1HSY9R4db9G", "https://xhslink.com/m/1HSY9R4db9G")</f>
        <v>https://xhslink.com/m/1HSY9R4db9G</v>
      </c>
      <c r="D3109"/>
      <c r="E3109">
        <v>6906</v>
      </c>
      <c r="F3109">
        <v>199</v>
      </c>
      <c r="G3109"/>
      <c r="H3109">
        <v>500</v>
      </c>
      <c r="I3109">
        <v>1000</v>
      </c>
      <c r="J3109"/>
      <c r="K3109" t="inlineStr">
        <is>
          <t>社交/心理</t>
        </is>
      </c>
      <c r="L3109"/>
      <c r="M3109" t="inlineStr">
        <is>
          <t>洋名立万的店</t>
        </is>
      </c>
      <c r="N3109">
        <v>10000</v>
      </c>
      <c r="O3109">
        <v>4.54</v>
      </c>
      <c r="P3109">
        <v>7100</v>
      </c>
      <c r="Q3109" t="inlineStr">
        <is>
          <t>67e619a5acb9900001aad4a2</t>
        </is>
      </c>
      <c r="R3109" t="inlineStr">
        <is>
          <t>🚫重复</t>
        </is>
      </c>
      <c r="S3109" t="inlineStr">
        <is>
          <t>生活成长</t>
        </is>
      </c>
      <c r="T3109" t="inlineStr">
        <is>
          <t>0.69</t>
        </is>
      </c>
      <c r="U3109" s="3">
        <v>46132.56384259259</v>
      </c>
      <c r="V3109"/>
      <c r="W3109" s="3">
        <v>46132</v>
      </c>
      <c r="X3109" t="inlineStr">
        <is>
          <t>04</t>
        </is>
      </c>
      <c r="Y3109" t="inlineStr">
        <is>
          <t>2026-Q2</t>
        </is>
      </c>
    </row>
    <row r="3110" ht="38.25" customHeight="1">
      <c r="A3110" t="inlineStr">
        <is>
          <t>考研数据考研拟录取名单复试名单分数线复试方案考研择校考研调剂</t>
        </is>
      </c>
      <c r="B3110" t="inlineStr">
        <is>
          <t>__upload_recvhj3n33I82y.jpg</t>
        </is>
      </c>
      <c r="C3110" s="2" t="str">
        <f>=HYPERLINK("https://xhslink.com/m/15iwIQn5CVn", "https://xhslink.com/m/15iwIQn5CVn")</f>
        <v>https://xhslink.com/m/15iwIQn5CVn</v>
      </c>
      <c r="D3110"/>
      <c r="E3110">
        <v>19000</v>
      </c>
      <c r="F3110">
        <v>299</v>
      </c>
      <c r="G3110"/>
      <c r="H3110">
        <v>7000</v>
      </c>
      <c r="I3110"/>
      <c r="J3110"/>
      <c r="K3110" t="inlineStr">
        <is>
          <t>大学英语专业考试</t>
        </is>
      </c>
      <c r="L3110" t="inlineStr">
        <is>
          <t>🔥低粉爆款</t>
        </is>
      </c>
      <c r="M3110" t="inlineStr">
        <is>
          <t>考研择校宝的店</t>
        </is>
      </c>
      <c r="N3110">
        <v>2777</v>
      </c>
      <c r="O3110">
        <v>4.45</v>
      </c>
      <c r="P3110">
        <v>27000</v>
      </c>
      <c r="Q3110" t="inlineStr">
        <is>
          <t>6948a41330effa00015c8fdf</t>
        </is>
      </c>
      <c r="R3110" t="inlineStr">
        <is>
          <t>🚫重复</t>
        </is>
      </c>
      <c r="S3110" t="inlineStr">
        <is>
          <t>考研资料</t>
        </is>
      </c>
      <c r="T3110" t="inlineStr">
        <is>
          <t>6.84</t>
        </is>
      </c>
      <c r="U3110" s="3">
        <v>46132.56384259259</v>
      </c>
      <c r="V3110"/>
      <c r="W3110" s="3">
        <v>46132</v>
      </c>
      <c r="X3110" t="inlineStr">
        <is>
          <t>04</t>
        </is>
      </c>
      <c r="Y3110" t="inlineStr">
        <is>
          <t>2026-Q2</t>
        </is>
      </c>
    </row>
    <row r="3111" ht="38.25" customHeight="1">
      <c r="A3111" t="inlineStr">
        <is>
          <t>130电子版春节识字小报新年习俗剪贴手抄报新年体识字小报可打印</t>
        </is>
      </c>
      <c r="B3111" t="inlineStr">
        <is>
          <t>__upload_recvhj3n33AD66.jpg</t>
        </is>
      </c>
      <c r="C3111" s="2" t="str">
        <f>=HYPERLINK("https://xhslink.com/m/4p2YZjqfJuK", "https://xhslink.com/m/4p2YZjqfJuK")</f>
        <v>https://xhslink.com/m/4p2YZjqfJuK</v>
      </c>
      <c r="D3111"/>
      <c r="E3111">
        <v>1572</v>
      </c>
      <c r="F3111">
        <v>9.95</v>
      </c>
      <c r="G3111"/>
      <c r="H3111">
        <v>600</v>
      </c>
      <c r="I3111">
        <v>1000</v>
      </c>
      <c r="J3111"/>
      <c r="K3111" t="inlineStr">
        <is>
          <t>手抄报</t>
        </is>
      </c>
      <c r="L3111"/>
      <c r="M3111" t="inlineStr">
        <is>
          <t>嘟妈手工的店</t>
        </is>
      </c>
      <c r="N3111">
        <v>148000</v>
      </c>
      <c r="O3111">
        <v>4.6</v>
      </c>
      <c r="P3111">
        <v>42000</v>
      </c>
      <c r="Q3111" t="inlineStr">
        <is>
          <t>697a0457a1496d00011ce892</t>
        </is>
      </c>
      <c r="R3111"/>
      <c r="S3111" t="inlineStr">
        <is>
          <t>中小学教辅/教材</t>
        </is>
      </c>
      <c r="T3111" t="inlineStr">
        <is>
          <t>0.01</t>
        </is>
      </c>
      <c r="U3111" s="3">
        <v>46132.56384259259</v>
      </c>
      <c r="V3111"/>
      <c r="W3111" s="3">
        <v>46132</v>
      </c>
      <c r="X3111" t="inlineStr">
        <is>
          <t>04</t>
        </is>
      </c>
      <c r="Y3111" t="inlineStr">
        <is>
          <t>2026-Q2</t>
        </is>
      </c>
    </row>
    <row r="3112" ht="38.25" customHeight="1">
      <c r="A3112" t="inlineStr">
        <is>
          <t>124-新年手抄报|马年吉祥手抄报</t>
        </is>
      </c>
      <c r="B3112" t="inlineStr">
        <is>
          <t>__upload_recvhj3n33DnnI.jpg</t>
        </is>
      </c>
      <c r="C3112" s="2" t="str">
        <f>=HYPERLINK("https://xhslink.com/m/HevrnpN5Rn", "https://xhslink.com/m/HevrnpN5Rn")</f>
        <v>https://xhslink.com/m/HevrnpN5Rn</v>
      </c>
      <c r="D3112"/>
      <c r="E3112">
        <v>744</v>
      </c>
      <c r="F3112">
        <v>6.78</v>
      </c>
      <c r="G3112"/>
      <c r="H3112">
        <v>300</v>
      </c>
      <c r="I3112"/>
      <c r="J3112"/>
      <c r="K3112" t="inlineStr">
        <is>
          <t>手抄报</t>
        </is>
      </c>
      <c r="L3112"/>
      <c r="M3112" t="inlineStr">
        <is>
          <t>童年手抄报的店</t>
        </is>
      </c>
      <c r="N3112">
        <v>3546</v>
      </c>
      <c r="O3112">
        <v>4.67</v>
      </c>
      <c r="P3112">
        <v>13000</v>
      </c>
      <c r="Q3112" t="inlineStr">
        <is>
          <t>694b6a75f489e4000165203b</t>
        </is>
      </c>
      <c r="R3112"/>
      <c r="S3112" t="inlineStr">
        <is>
          <t>中小学教辅/教材</t>
        </is>
      </c>
      <c r="T3112" t="inlineStr">
        <is>
          <t>0.21</t>
        </is>
      </c>
      <c r="U3112" s="3">
        <v>46132.56384259259</v>
      </c>
      <c r="V3112"/>
      <c r="W3112" s="3">
        <v>46132</v>
      </c>
      <c r="X3112" t="inlineStr">
        <is>
          <t>04</t>
        </is>
      </c>
      <c r="Y3112" t="inlineStr">
        <is>
          <t>2026-Q2</t>
        </is>
      </c>
    </row>
    <row r="3113" ht="38.25" customHeight="1">
      <c r="A3113" t="inlineStr">
        <is>
          <t>1075马年说马春节手抄报马汉字演变古诗马年成语小报电子线稿模板</t>
        </is>
      </c>
      <c r="B3113" t="inlineStr">
        <is>
          <t>__upload_recvhj3n33Q8jZ.jpg</t>
        </is>
      </c>
      <c r="C3113" s="2" t="str">
        <f>=HYPERLINK("https://xhslink.com/m/2lrJIEQR6GH", "https://xhslink.com/m/2lrJIEQR6GH")</f>
        <v>https://xhslink.com/m/2lrJIEQR6GH</v>
      </c>
      <c r="D3113"/>
      <c r="E3113">
        <v>651</v>
      </c>
      <c r="F3113">
        <v>5.98</v>
      </c>
      <c r="G3113"/>
      <c r="H3113">
        <v>300</v>
      </c>
      <c r="I3113"/>
      <c r="J3113"/>
      <c r="K3113" t="inlineStr">
        <is>
          <t>手抄报</t>
        </is>
      </c>
      <c r="L3113"/>
      <c r="M3113" t="inlineStr">
        <is>
          <t>鹅妈妈手抄报的店</t>
        </is>
      </c>
      <c r="N3113">
        <v>10000</v>
      </c>
      <c r="O3113">
        <v>4.68</v>
      </c>
      <c r="P3113">
        <v>23000</v>
      </c>
      <c r="Q3113" t="inlineStr">
        <is>
          <t>69734cf643eb760001bdf27f</t>
        </is>
      </c>
      <c r="R3113"/>
      <c r="S3113" t="inlineStr">
        <is>
          <t>中小学教辅/教材</t>
        </is>
      </c>
      <c r="T3113" t="inlineStr">
        <is>
          <t>0.07</t>
        </is>
      </c>
      <c r="U3113" s="3">
        <v>46132.56384259259</v>
      </c>
      <c r="V3113"/>
      <c r="W3113" s="3">
        <v>46132</v>
      </c>
      <c r="X3113" t="inlineStr">
        <is>
          <t>04</t>
        </is>
      </c>
      <c r="Y3113" t="inlineStr">
        <is>
          <t>2026-Q2</t>
        </is>
      </c>
    </row>
    <row r="3114" ht="38.25" customHeight="1">
      <c r="A3114" t="inlineStr">
        <is>
          <t>春节习俗手抄报98</t>
        </is>
      </c>
      <c r="B3114" t="inlineStr">
        <is>
          <t>__upload_recvhj3n335Xt2.jpg</t>
        </is>
      </c>
      <c r="C3114" s="2" t="str">
        <f>=HYPERLINK("https://xhslink.com/m/84Q2X3FFc6i", "https://xhslink.com/m/84Q2X3FFc6i")</f>
        <v>https://xhslink.com/m/84Q2X3FFc6i</v>
      </c>
      <c r="D3114"/>
      <c r="E3114">
        <v>576</v>
      </c>
      <c r="F3114">
        <v>4.99</v>
      </c>
      <c r="G3114"/>
      <c r="H3114">
        <v>400</v>
      </c>
      <c r="I3114"/>
      <c r="J3114"/>
      <c r="K3114" t="inlineStr">
        <is>
          <t>手抄报</t>
        </is>
      </c>
      <c r="L3114"/>
      <c r="M3114" t="inlineStr">
        <is>
          <t>若云美术资料的店</t>
        </is>
      </c>
      <c r="N3114">
        <v>3296</v>
      </c>
      <c r="O3114">
        <v>4.45</v>
      </c>
      <c r="P3114">
        <v>3011</v>
      </c>
      <c r="Q3114" t="inlineStr">
        <is>
          <t>6951fed4d96c450001cfeedb</t>
        </is>
      </c>
      <c r="R3114"/>
      <c r="S3114" t="inlineStr">
        <is>
          <t>中小学教辅/教材</t>
        </is>
      </c>
      <c r="T3114" t="inlineStr">
        <is>
          <t>0.17</t>
        </is>
      </c>
      <c r="U3114" s="3">
        <v>46132.56384259259</v>
      </c>
      <c r="V3114"/>
      <c r="W3114" s="3">
        <v>46132</v>
      </c>
      <c r="X3114" t="inlineStr">
        <is>
          <t>04</t>
        </is>
      </c>
      <c r="Y3114" t="inlineStr">
        <is>
          <t>2026-Q2</t>
        </is>
      </c>
    </row>
    <row r="3115" ht="38.25" customHeight="1">
      <c r="A3115" t="inlineStr">
        <is>
          <t>电子版资料温州专版校内资料123456下册手抄报</t>
        </is>
      </c>
      <c r="B3115" t="inlineStr">
        <is>
          <t>__upload_recvhj3n33zGpV.jpg</t>
        </is>
      </c>
      <c r="C3115" s="2" t="str">
        <f>=HYPERLINK("https://xhslink.com/m/9M4YBJVZlJF", "https://xhslink.com/m/9M4YBJVZlJF")</f>
        <v>https://xhslink.com/m/9M4YBJVZlJF</v>
      </c>
      <c r="D3115"/>
      <c r="E3115">
        <v>522</v>
      </c>
      <c r="F3115">
        <v>39.9</v>
      </c>
      <c r="G3115"/>
      <c r="H3115">
        <v>300</v>
      </c>
      <c r="I3115"/>
      <c r="J3115"/>
      <c r="K3115" t="inlineStr">
        <is>
          <t>手抄报</t>
        </is>
      </c>
      <c r="L3115"/>
      <c r="M3115" t="inlineStr">
        <is>
          <t>温州老教师（1到9年级全）的店</t>
        </is>
      </c>
      <c r="N3115">
        <v>11000</v>
      </c>
      <c r="O3115">
        <v>4.35</v>
      </c>
      <c r="P3115">
        <v>16000</v>
      </c>
      <c r="Q3115" t="inlineStr">
        <is>
          <t>69a6a8e34072640001485769</t>
        </is>
      </c>
      <c r="R3115" t="inlineStr">
        <is>
          <t>🚫重复</t>
        </is>
      </c>
      <c r="S3115" t="inlineStr">
        <is>
          <t>中小学教辅/教材</t>
        </is>
      </c>
      <c r="T3115" t="inlineStr">
        <is>
          <t>0.05</t>
        </is>
      </c>
      <c r="U3115" s="3">
        <v>46132.56384259259</v>
      </c>
      <c r="V3115"/>
      <c r="W3115" s="3">
        <v>46132</v>
      </c>
      <c r="X3115" t="inlineStr">
        <is>
          <t>04</t>
        </is>
      </c>
      <c r="Y3115" t="inlineStr">
        <is>
          <t>2026-Q2</t>
        </is>
      </c>
    </row>
    <row r="3116" ht="38.25" customHeight="1">
      <c r="A3116" t="inlineStr">
        <is>
          <t>手抄报定制按需求制作</t>
        </is>
      </c>
      <c r="B3116" t="inlineStr">
        <is>
          <t>__upload_recvhj3n3341Pk.jpg</t>
        </is>
      </c>
      <c r="C3116" s="2" t="str">
        <f>=HYPERLINK("https://xhslink.com/m/KZeB4KW5W9", "https://xhslink.com/m/KZeB4KW5W9")</f>
        <v>https://xhslink.com/m/KZeB4KW5W9</v>
      </c>
      <c r="D3116"/>
      <c r="E3116">
        <v>428</v>
      </c>
      <c r="F3116">
        <v>69</v>
      </c>
      <c r="G3116"/>
      <c r="H3116">
        <v>300</v>
      </c>
      <c r="I3116"/>
      <c r="J3116"/>
      <c r="K3116" t="inlineStr">
        <is>
          <t>手抄报</t>
        </is>
      </c>
      <c r="L3116"/>
      <c r="M3116" t="inlineStr">
        <is>
          <t>koko手工手抄报的店</t>
        </is>
      </c>
      <c r="N3116">
        <v>11000</v>
      </c>
      <c r="O3116">
        <v>4.53</v>
      </c>
      <c r="P3116">
        <v>3338</v>
      </c>
      <c r="Q3116" t="inlineStr">
        <is>
          <t>6981504bd5afea0001b9bc83</t>
        </is>
      </c>
      <c r="R3116"/>
      <c r="S3116" t="inlineStr">
        <is>
          <t>设计素材</t>
        </is>
      </c>
      <c r="T3116" t="inlineStr">
        <is>
          <t>0.04</t>
        </is>
      </c>
      <c r="U3116" s="3">
        <v>46132.56384259259</v>
      </c>
      <c r="V3116"/>
      <c r="W3116" s="3">
        <v>46132</v>
      </c>
      <c r="X3116" t="inlineStr">
        <is>
          <t>04</t>
        </is>
      </c>
      <c r="Y3116" t="inlineStr">
        <is>
          <t>2026-Q2</t>
        </is>
      </c>
    </row>
    <row r="3117" ht="38.25" customHeight="1">
      <c r="A3117" t="inlineStr">
        <is>
          <t>人力资源实操百科课程（人力资源知识库，HR人事文档，课时1年）</t>
        </is>
      </c>
      <c r="B3117" t="inlineStr">
        <is>
          <t>__upload_recvhj3n338gOu.jpg</t>
        </is>
      </c>
      <c r="C3117" s="2" t="str">
        <f>=HYPERLINK("https://xhslink.com/m/3A4UJeFaaik", "https://xhslink.com/m/3A4UJeFaaik")</f>
        <v>https://xhslink.com/m/3A4UJeFaaik</v>
      </c>
      <c r="D3117"/>
      <c r="E3117">
        <v>8380</v>
      </c>
      <c r="F3117">
        <v>299</v>
      </c>
      <c r="G3117"/>
      <c r="H3117">
        <v>350</v>
      </c>
      <c r="I3117"/>
      <c r="J3117"/>
      <c r="K3117" t="inlineStr">
        <is>
          <t>人力资源师</t>
        </is>
      </c>
      <c r="L3117"/>
      <c r="M3117" t="inlineStr">
        <is>
          <t>HR导师徐博士的店</t>
        </is>
      </c>
      <c r="N3117">
        <v>78000</v>
      </c>
      <c r="O3117">
        <v>4.55</v>
      </c>
      <c r="P3117">
        <v>8391</v>
      </c>
      <c r="Q3117" t="inlineStr">
        <is>
          <t>65748a785c95510001de2269</t>
        </is>
      </c>
      <c r="R3117" t="inlineStr">
        <is>
          <t>🚫重复</t>
        </is>
      </c>
      <c r="S3117" t="inlineStr">
        <is>
          <t>生活成长</t>
        </is>
      </c>
      <c r="T3117" t="inlineStr">
        <is>
          <t>0.11</t>
        </is>
      </c>
      <c r="U3117" s="3">
        <v>46132.56384259259</v>
      </c>
      <c r="V3117"/>
      <c r="W3117" s="3">
        <v>46132</v>
      </c>
      <c r="X3117" t="inlineStr">
        <is>
          <t>04</t>
        </is>
      </c>
      <c r="Y3117" t="inlineStr">
        <is>
          <t>2026-Q2</t>
        </is>
      </c>
    </row>
    <row r="3118" ht="38.25" customHeight="1">
      <c r="A3118" t="inlineStr">
        <is>
          <t>考研数据考研拟录取名单复试名单分数线复试方案考研择校考研调剂</t>
        </is>
      </c>
      <c r="B3118" t="inlineStr">
        <is>
          <t>__upload_recvhj3n33LHw2.jpg</t>
        </is>
      </c>
      <c r="C3118" s="2" t="str">
        <f>=HYPERLINK("https://xhslink.com/m/96fIKEaoNRn", "https://xhslink.com/m/96fIKEaoNRn")</f>
        <v>https://xhslink.com/m/96fIKEaoNRn</v>
      </c>
      <c r="D3118"/>
      <c r="E3118">
        <v>19000</v>
      </c>
      <c r="F3118">
        <v>299</v>
      </c>
      <c r="G3118"/>
      <c r="H3118">
        <v>7000</v>
      </c>
      <c r="I3118"/>
      <c r="J3118"/>
      <c r="K3118" t="inlineStr">
        <is>
          <t>大学英语专业考试</t>
        </is>
      </c>
      <c r="L3118" t="inlineStr">
        <is>
          <t>🔥低粉爆款</t>
        </is>
      </c>
      <c r="M3118" t="inlineStr">
        <is>
          <t>考研择校宝的店</t>
        </is>
      </c>
      <c r="N3118">
        <v>2777</v>
      </c>
      <c r="O3118">
        <v>4.45</v>
      </c>
      <c r="P3118">
        <v>27000</v>
      </c>
      <c r="Q3118" t="inlineStr">
        <is>
          <t>6948a41330effa00015c8fdf</t>
        </is>
      </c>
      <c r="R3118" t="inlineStr">
        <is>
          <t>🚫重复</t>
        </is>
      </c>
      <c r="S3118" t="inlineStr">
        <is>
          <t>考研资料</t>
        </is>
      </c>
      <c r="T3118" t="inlineStr">
        <is>
          <t>6.84</t>
        </is>
      </c>
      <c r="U3118" s="3">
        <v>46132.56384259259</v>
      </c>
      <c r="V3118"/>
      <c r="W3118" s="3">
        <v>46132</v>
      </c>
      <c r="X3118" t="inlineStr">
        <is>
          <t>04</t>
        </is>
      </c>
      <c r="Y3118" t="inlineStr">
        <is>
          <t>2026-Q2</t>
        </is>
      </c>
    </row>
    <row r="3119" ht="38.25" customHeight="1">
      <c r="A3119" t="inlineStr">
        <is>
          <t>2026年全国计算机等级考试题库计算机一级二级三级题库软件APP</t>
        </is>
      </c>
      <c r="B3119" t="inlineStr">
        <is>
          <t>__upload_recvhj3n33cNEE.jpg</t>
        </is>
      </c>
      <c r="C3119" s="2" t="str">
        <f>=HYPERLINK("https://xhslink.com/m/18DT9xoxJBk", "https://xhslink.com/m/18DT9xoxJBk")</f>
        <v>https://xhslink.com/m/18DT9xoxJBk</v>
      </c>
      <c r="D3119"/>
      <c r="E3119">
        <v>497</v>
      </c>
      <c r="F3119">
        <v>9.9</v>
      </c>
      <c r="G3119"/>
      <c r="H3119">
        <v>400</v>
      </c>
      <c r="I3119"/>
      <c r="J3119"/>
      <c r="K3119" t="inlineStr">
        <is>
          <t>计算机考试</t>
        </is>
      </c>
      <c r="L3119" t="inlineStr">
        <is>
          <t>🔥低粉爆款</t>
        </is>
      </c>
      <c r="M3119" t="inlineStr">
        <is>
          <t>小丸纸＊的店</t>
        </is>
      </c>
      <c r="N3119">
        <v>18</v>
      </c>
      <c r="O3119">
        <v>4.65</v>
      </c>
      <c r="P3119">
        <v>650</v>
      </c>
      <c r="Q3119" t="inlineStr">
        <is>
          <t>697aefe8a1496d0001357cd2</t>
        </is>
      </c>
      <c r="R3119"/>
      <c r="S3119" t="inlineStr">
        <is>
          <t>软件应用</t>
        </is>
      </c>
      <c r="T3119" t="inlineStr">
        <is>
          <t>27.61</t>
        </is>
      </c>
      <c r="U3119" s="3">
        <v>46132.56384259259</v>
      </c>
      <c r="V3119"/>
      <c r="W3119" s="3">
        <v>46132</v>
      </c>
      <c r="X3119" t="inlineStr">
        <is>
          <t>04</t>
        </is>
      </c>
      <c r="Y3119" t="inlineStr">
        <is>
          <t>2026-Q2</t>
        </is>
      </c>
    </row>
  </sheetData>
  <dataValidations count="2">
    <dataValidation allowBlank="false" sqref="S2:S3118" type="list">
      <formula1>"PPT模板,中小学教辅/教材,考公资料,无匹配类别,考研资料,幼教资料,英语资料,求职面试/职场,教资资料,会计资料,司法考试,运营资料,生活成长,老师资料,设计素材,咨询服务,软件应用,头像壁纸,高中/高考资料,大学资料,AI,幼儿园"</formula1>
    </dataValidation>
    <dataValidation allowBlank="false" sqref="V2:V3118" type="list">
      <formula1>"虚拟产品,2026/02/10,2026/02/15,2026/02/27,2026/02/28,5.81,0.05,0.00"</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